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tro/Desktop/BAVARIA/PRACTICANTES/2027/CREATÓN 2027/LISTADOS Y SELECCIÓN CANDIDATOS 2027/"/>
    </mc:Choice>
  </mc:AlternateContent>
  <xr:revisionPtr revIDLastSave="0" documentId="8_{A852A35B-3978-8245-8E7B-242BEC6D3F39}" xr6:coauthVersionLast="47" xr6:coauthVersionMax="47" xr10:uidLastSave="{00000000-0000-0000-0000-000000000000}"/>
  <bookViews>
    <workbookView xWindow="0" yWindow="660" windowWidth="29400" windowHeight="17400" activeTab="2" xr2:uid="{00000000-000D-0000-FFFF-FFFF00000000}"/>
  </bookViews>
  <sheets>
    <sheet name="Maestra" sheetId="1" r:id="rId1"/>
    <sheet name="Vacantes" sheetId="2" r:id="rId2"/>
    <sheet name="127 - R.CENTRO" sheetId="3" r:id="rId3"/>
    <sheet name="INDUGRAL" sheetId="4" r:id="rId4"/>
    <sheet name="C.CALI" sheetId="5" r:id="rId5"/>
    <sheet name="C.MEDELLÍN" sheetId="6" r:id="rId6"/>
    <sheet name="R.ANDES" sheetId="7" r:id="rId7"/>
    <sheet name="C.ATLÁNTICO" sheetId="8" r:id="rId8"/>
    <sheet name="C.BARRANQUILLA" sheetId="9" r:id="rId9"/>
    <sheet name="R.NORTE" sheetId="10" r:id="rId10"/>
    <sheet name="C.BOYACÁ" sheetId="11" r:id="rId11"/>
    <sheet name="R.SUR" sheetId="12" r:id="rId12"/>
    <sheet name="C.BUCARAMANGA" sheetId="13" r:id="rId13"/>
    <sheet name="C.TOCANCIPÁ" sheetId="14" r:id="rId14"/>
    <sheet name="C.TIBITÓ" sheetId="15" r:id="rId15"/>
  </sheets>
  <calcPr calcId="191029" fullCalcOnLoad="1"/>
  <pivotCaches>
    <pivotCache cacheId="62" r:id="rId1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84" i="1" l="1"/>
  <c r="AZ384" i="1"/>
  <c r="AY384" i="1"/>
  <c r="AX384" i="1"/>
  <c r="AW384" i="1"/>
  <c r="BA383" i="1"/>
  <c r="AZ383" i="1"/>
  <c r="AY383" i="1"/>
  <c r="AX383" i="1"/>
  <c r="AW383" i="1"/>
  <c r="BA382" i="1"/>
  <c r="AZ382" i="1"/>
  <c r="AY382" i="1"/>
  <c r="AX382" i="1"/>
  <c r="AW382" i="1"/>
  <c r="BA381" i="1"/>
  <c r="AZ381" i="1"/>
  <c r="AY381" i="1"/>
  <c r="AX381" i="1"/>
  <c r="AW381" i="1"/>
  <c r="BA164" i="1"/>
  <c r="AZ164" i="1"/>
  <c r="AY164" i="1"/>
  <c r="AX164" i="1"/>
  <c r="AW164" i="1"/>
  <c r="BA163" i="1"/>
  <c r="AZ163" i="1"/>
  <c r="AY163" i="1"/>
  <c r="AX163" i="1"/>
  <c r="AW163" i="1"/>
  <c r="BA162" i="1"/>
  <c r="AZ162" i="1"/>
  <c r="AY162" i="1"/>
  <c r="AX162" i="1"/>
  <c r="AW162" i="1"/>
  <c r="BA424" i="1"/>
  <c r="AZ424" i="1"/>
  <c r="AY424" i="1"/>
  <c r="AX424" i="1"/>
  <c r="AW424" i="1"/>
  <c r="BA423" i="1"/>
  <c r="AZ423" i="1"/>
  <c r="AY423" i="1"/>
  <c r="AX423" i="1"/>
  <c r="AW423" i="1"/>
  <c r="BA161" i="1"/>
  <c r="AZ161" i="1"/>
  <c r="AY161" i="1"/>
  <c r="AX161" i="1"/>
  <c r="AW161" i="1"/>
  <c r="BA160" i="1"/>
  <c r="AZ160" i="1"/>
  <c r="AY160" i="1"/>
  <c r="AX160" i="1"/>
  <c r="AW160" i="1"/>
  <c r="BA159" i="1"/>
  <c r="AZ159" i="1"/>
  <c r="AY159" i="1"/>
  <c r="AX159" i="1"/>
  <c r="AW159" i="1"/>
  <c r="BA158" i="1"/>
  <c r="AZ158" i="1"/>
  <c r="AY158" i="1"/>
  <c r="AX158" i="1"/>
  <c r="AW158" i="1"/>
  <c r="BA157" i="1"/>
  <c r="AZ157" i="1"/>
  <c r="AY157" i="1"/>
  <c r="AX157" i="1"/>
  <c r="AW157" i="1"/>
  <c r="BA380" i="1"/>
  <c r="AZ380" i="1"/>
  <c r="AY380" i="1"/>
  <c r="AX380" i="1"/>
  <c r="AW380" i="1"/>
  <c r="BA379" i="1"/>
  <c r="AZ379" i="1"/>
  <c r="AY379" i="1"/>
  <c r="AX379" i="1"/>
  <c r="AW379" i="1"/>
  <c r="BA378" i="1"/>
  <c r="AZ378" i="1"/>
  <c r="AY378" i="1"/>
  <c r="AX378" i="1"/>
  <c r="AW378" i="1"/>
  <c r="BA377" i="1"/>
  <c r="AZ377" i="1"/>
  <c r="AY377" i="1"/>
  <c r="AX377" i="1"/>
  <c r="AW377" i="1"/>
  <c r="BA156" i="1"/>
  <c r="AZ156" i="1"/>
  <c r="AY156" i="1"/>
  <c r="AX156" i="1"/>
  <c r="AW156" i="1"/>
  <c r="BA471" i="1"/>
  <c r="AZ471" i="1"/>
  <c r="AY471" i="1"/>
  <c r="AX471" i="1"/>
  <c r="AW471" i="1"/>
  <c r="BA470" i="1"/>
  <c r="AZ470" i="1"/>
  <c r="AY470" i="1"/>
  <c r="AX470" i="1"/>
  <c r="AW470" i="1"/>
  <c r="BA502" i="1"/>
  <c r="AZ502" i="1"/>
  <c r="AY502" i="1"/>
  <c r="AX502" i="1"/>
  <c r="AW502" i="1"/>
  <c r="BA501" i="1"/>
  <c r="AZ501" i="1"/>
  <c r="AY501" i="1"/>
  <c r="AX501" i="1"/>
  <c r="AW501" i="1"/>
  <c r="BA500" i="1"/>
  <c r="AZ500" i="1"/>
  <c r="AY500" i="1"/>
  <c r="AX500" i="1"/>
  <c r="AW500" i="1"/>
  <c r="BA499" i="1"/>
  <c r="AZ499" i="1"/>
  <c r="AY499" i="1"/>
  <c r="AX499" i="1"/>
  <c r="AW499" i="1"/>
  <c r="BA498" i="1"/>
  <c r="AZ498" i="1"/>
  <c r="AY498" i="1"/>
  <c r="AX498" i="1"/>
  <c r="AW498" i="1"/>
  <c r="BA497" i="1"/>
  <c r="AZ497" i="1"/>
  <c r="AY497" i="1"/>
  <c r="AX497" i="1"/>
  <c r="AW497" i="1"/>
  <c r="BA496" i="1"/>
  <c r="AZ496" i="1"/>
  <c r="AY496" i="1"/>
  <c r="AX496" i="1"/>
  <c r="AW496" i="1"/>
  <c r="BA495" i="1"/>
  <c r="AZ495" i="1"/>
  <c r="AY495" i="1"/>
  <c r="AX495" i="1"/>
  <c r="AW495" i="1"/>
  <c r="BA494" i="1"/>
  <c r="AZ494" i="1"/>
  <c r="AY494" i="1"/>
  <c r="AX494" i="1"/>
  <c r="AW494" i="1"/>
  <c r="BA493" i="1"/>
  <c r="AZ493" i="1"/>
  <c r="AY493" i="1"/>
  <c r="AX493" i="1"/>
  <c r="AW493" i="1"/>
  <c r="BA376" i="1"/>
  <c r="AZ376" i="1"/>
  <c r="AY376" i="1"/>
  <c r="AX376" i="1"/>
  <c r="AW376" i="1"/>
  <c r="BA311" i="1"/>
  <c r="AZ311" i="1"/>
  <c r="AY311" i="1"/>
  <c r="AX311" i="1"/>
  <c r="AW311" i="1"/>
  <c r="BA310" i="1"/>
  <c r="AZ310" i="1"/>
  <c r="AY310" i="1"/>
  <c r="AX310" i="1"/>
  <c r="AW310" i="1"/>
  <c r="BA309" i="1"/>
  <c r="AZ309" i="1"/>
  <c r="AY309" i="1"/>
  <c r="AX309" i="1"/>
  <c r="AW309" i="1"/>
  <c r="BA375" i="1"/>
  <c r="AZ375" i="1"/>
  <c r="AY375" i="1"/>
  <c r="AX375" i="1"/>
  <c r="AW375" i="1"/>
  <c r="BA374" i="1"/>
  <c r="AZ374" i="1"/>
  <c r="AY374" i="1"/>
  <c r="AX374" i="1"/>
  <c r="AW374" i="1"/>
  <c r="BA373" i="1"/>
  <c r="AZ373" i="1"/>
  <c r="AY373" i="1"/>
  <c r="AX373" i="1"/>
  <c r="AW373" i="1"/>
  <c r="BA372" i="1"/>
  <c r="AZ372" i="1"/>
  <c r="AY372" i="1"/>
  <c r="AX372" i="1"/>
  <c r="AW372" i="1"/>
  <c r="BA371" i="1"/>
  <c r="AZ371" i="1"/>
  <c r="AY371" i="1"/>
  <c r="AX371" i="1"/>
  <c r="AW371" i="1"/>
  <c r="BA155" i="1"/>
  <c r="AZ155" i="1"/>
  <c r="AY155" i="1"/>
  <c r="AX155" i="1"/>
  <c r="AW155" i="1"/>
  <c r="BA154" i="1"/>
  <c r="AZ154" i="1"/>
  <c r="AY154" i="1"/>
  <c r="AX154" i="1"/>
  <c r="AW154" i="1"/>
  <c r="BA153" i="1"/>
  <c r="AZ153" i="1"/>
  <c r="AY153" i="1"/>
  <c r="AX153" i="1"/>
  <c r="AW153" i="1"/>
  <c r="BA152" i="1"/>
  <c r="AZ152" i="1"/>
  <c r="AY152" i="1"/>
  <c r="AX152" i="1"/>
  <c r="AW152" i="1"/>
  <c r="BA151" i="1"/>
  <c r="AZ151" i="1"/>
  <c r="AY151" i="1"/>
  <c r="AX151" i="1"/>
  <c r="AW151" i="1"/>
  <c r="BA308" i="1"/>
  <c r="AZ308" i="1"/>
  <c r="AY308" i="1"/>
  <c r="AX308" i="1"/>
  <c r="AW308" i="1"/>
  <c r="BA307" i="1"/>
  <c r="AZ307" i="1"/>
  <c r="AY307" i="1"/>
  <c r="AX307" i="1"/>
  <c r="AW307" i="1"/>
  <c r="BA306" i="1"/>
  <c r="AZ306" i="1"/>
  <c r="AY306" i="1"/>
  <c r="AX306" i="1"/>
  <c r="AW306" i="1"/>
  <c r="BA305" i="1"/>
  <c r="AZ305" i="1"/>
  <c r="AY305" i="1"/>
  <c r="AX305" i="1"/>
  <c r="AW305" i="1"/>
  <c r="BA246" i="1"/>
  <c r="AZ246" i="1"/>
  <c r="AY246" i="1"/>
  <c r="AX246" i="1"/>
  <c r="AW246" i="1"/>
  <c r="BA245" i="1"/>
  <c r="AZ245" i="1"/>
  <c r="AY245" i="1"/>
  <c r="AX245" i="1"/>
  <c r="AW245" i="1"/>
  <c r="BA244" i="1"/>
  <c r="AZ244" i="1"/>
  <c r="AY244" i="1"/>
  <c r="AX244" i="1"/>
  <c r="AW244" i="1"/>
  <c r="BA243" i="1"/>
  <c r="AZ243" i="1"/>
  <c r="AY243" i="1"/>
  <c r="AX243" i="1"/>
  <c r="AW243" i="1"/>
  <c r="BA250" i="1"/>
  <c r="AZ250" i="1"/>
  <c r="AY250" i="1"/>
  <c r="AX250" i="1"/>
  <c r="AW250" i="1"/>
  <c r="BA249" i="1"/>
  <c r="AZ249" i="1"/>
  <c r="AY249" i="1"/>
  <c r="AX249" i="1"/>
  <c r="AW249" i="1"/>
  <c r="BA492" i="1"/>
  <c r="AZ492" i="1"/>
  <c r="AY492" i="1"/>
  <c r="AX492" i="1"/>
  <c r="AW492" i="1"/>
  <c r="BA491" i="1"/>
  <c r="AZ491" i="1"/>
  <c r="AY491" i="1"/>
  <c r="AX491" i="1"/>
  <c r="AW491" i="1"/>
  <c r="BA490" i="1"/>
  <c r="AZ490" i="1"/>
  <c r="AY490" i="1"/>
  <c r="AX490" i="1"/>
  <c r="AW490" i="1"/>
  <c r="BA489" i="1"/>
  <c r="AZ489" i="1"/>
  <c r="AY489" i="1"/>
  <c r="AX489" i="1"/>
  <c r="AW489" i="1"/>
  <c r="BA488" i="1"/>
  <c r="AZ488" i="1"/>
  <c r="AY488" i="1"/>
  <c r="AX488" i="1"/>
  <c r="AW488" i="1"/>
  <c r="BA487" i="1"/>
  <c r="AZ487" i="1"/>
  <c r="AY487" i="1"/>
  <c r="AX487" i="1"/>
  <c r="AW487" i="1"/>
  <c r="BA486" i="1"/>
  <c r="AZ486" i="1"/>
  <c r="AY486" i="1"/>
  <c r="AX486" i="1"/>
  <c r="AW486" i="1"/>
  <c r="BA485" i="1"/>
  <c r="AZ485" i="1"/>
  <c r="AY485" i="1"/>
  <c r="AX485" i="1"/>
  <c r="AW485" i="1"/>
  <c r="BA484" i="1"/>
  <c r="AZ484" i="1"/>
  <c r="AY484" i="1"/>
  <c r="AX484" i="1"/>
  <c r="AW484" i="1"/>
  <c r="BA483" i="1"/>
  <c r="AZ483" i="1"/>
  <c r="AY483" i="1"/>
  <c r="AX483" i="1"/>
  <c r="AW483" i="1"/>
  <c r="BA482" i="1"/>
  <c r="AZ482" i="1"/>
  <c r="AY482" i="1"/>
  <c r="AX482" i="1"/>
  <c r="AW482" i="1"/>
  <c r="BA469" i="1"/>
  <c r="AZ469" i="1"/>
  <c r="AY469" i="1"/>
  <c r="AX469" i="1"/>
  <c r="AW469" i="1"/>
  <c r="BA468" i="1"/>
  <c r="AZ468" i="1"/>
  <c r="AY468" i="1"/>
  <c r="AX468" i="1"/>
  <c r="AW468" i="1"/>
  <c r="BA467" i="1"/>
  <c r="AZ467" i="1"/>
  <c r="AY467" i="1"/>
  <c r="AX467" i="1"/>
  <c r="AW467" i="1"/>
  <c r="BA466" i="1"/>
  <c r="AZ466" i="1"/>
  <c r="AY466" i="1"/>
  <c r="AX466" i="1"/>
  <c r="AW466" i="1"/>
  <c r="BA465" i="1"/>
  <c r="AZ465" i="1"/>
  <c r="AY465" i="1"/>
  <c r="AX465" i="1"/>
  <c r="AW465" i="1"/>
  <c r="BA304" i="1"/>
  <c r="AZ304" i="1"/>
  <c r="AY304" i="1"/>
  <c r="AX304" i="1"/>
  <c r="AW304" i="1"/>
  <c r="BA303" i="1"/>
  <c r="AZ303" i="1"/>
  <c r="AY303" i="1"/>
  <c r="AX303" i="1"/>
  <c r="AW303" i="1"/>
  <c r="BA302" i="1"/>
  <c r="AZ302" i="1"/>
  <c r="AY302" i="1"/>
  <c r="AX302" i="1"/>
  <c r="AW302" i="1"/>
  <c r="BA422" i="1"/>
  <c r="AZ422" i="1"/>
  <c r="AY422" i="1"/>
  <c r="AX422" i="1"/>
  <c r="AW422" i="1"/>
  <c r="BA421" i="1"/>
  <c r="AZ421" i="1"/>
  <c r="AY421" i="1"/>
  <c r="AX421" i="1"/>
  <c r="AW421" i="1"/>
  <c r="BA150" i="1"/>
  <c r="AZ150" i="1"/>
  <c r="AY150" i="1"/>
  <c r="AX150" i="1"/>
  <c r="AW150" i="1"/>
  <c r="BA149" i="1"/>
  <c r="AZ149" i="1"/>
  <c r="AY149" i="1"/>
  <c r="AX149" i="1"/>
  <c r="AW149" i="1"/>
  <c r="BA230" i="1"/>
  <c r="AZ230" i="1"/>
  <c r="AY230" i="1"/>
  <c r="AX230" i="1"/>
  <c r="AW230" i="1"/>
  <c r="BA229" i="1"/>
  <c r="AZ229" i="1"/>
  <c r="AY229" i="1"/>
  <c r="AX229" i="1"/>
  <c r="AW229" i="1"/>
  <c r="BA228" i="1"/>
  <c r="AZ228" i="1"/>
  <c r="AY228" i="1"/>
  <c r="AX228" i="1"/>
  <c r="AW228" i="1"/>
  <c r="BA227" i="1"/>
  <c r="AZ227" i="1"/>
  <c r="AY227" i="1"/>
  <c r="AX227" i="1"/>
  <c r="AW227" i="1"/>
  <c r="BA226" i="1"/>
  <c r="AZ226" i="1"/>
  <c r="AY226" i="1"/>
  <c r="AX226" i="1"/>
  <c r="AW226" i="1"/>
  <c r="BA420" i="1"/>
  <c r="AZ420" i="1"/>
  <c r="AY420" i="1"/>
  <c r="AX420" i="1"/>
  <c r="AW420" i="1"/>
  <c r="BA419" i="1"/>
  <c r="AZ419" i="1"/>
  <c r="AY419" i="1"/>
  <c r="AX419" i="1"/>
  <c r="AW419" i="1"/>
  <c r="BA418" i="1"/>
  <c r="AZ418" i="1"/>
  <c r="AY418" i="1"/>
  <c r="AX418" i="1"/>
  <c r="AW418" i="1"/>
  <c r="BA417" i="1"/>
  <c r="AZ417" i="1"/>
  <c r="AY417" i="1"/>
  <c r="AX417" i="1"/>
  <c r="AW417" i="1"/>
  <c r="BA148" i="1"/>
  <c r="AZ148" i="1"/>
  <c r="AY148" i="1"/>
  <c r="AX148" i="1"/>
  <c r="AW148" i="1"/>
  <c r="BA147" i="1"/>
  <c r="AZ147" i="1"/>
  <c r="AY147" i="1"/>
  <c r="AX147" i="1"/>
  <c r="AW147" i="1"/>
  <c r="BA146" i="1"/>
  <c r="AZ146" i="1"/>
  <c r="AY146" i="1"/>
  <c r="AX146" i="1"/>
  <c r="AW146" i="1"/>
  <c r="BA464" i="1"/>
  <c r="AZ464" i="1"/>
  <c r="AY464" i="1"/>
  <c r="AX464" i="1"/>
  <c r="AW464" i="1"/>
  <c r="BA463" i="1"/>
  <c r="AZ463" i="1"/>
  <c r="AY463" i="1"/>
  <c r="AX463" i="1"/>
  <c r="AW463" i="1"/>
  <c r="BA462" i="1"/>
  <c r="AZ462" i="1"/>
  <c r="AY462" i="1"/>
  <c r="AX462" i="1"/>
  <c r="AW462" i="1"/>
  <c r="BA225" i="1"/>
  <c r="AZ225" i="1"/>
  <c r="AY225" i="1"/>
  <c r="AX225" i="1"/>
  <c r="AW225" i="1"/>
  <c r="BA370" i="1"/>
  <c r="AZ370" i="1"/>
  <c r="AY370" i="1"/>
  <c r="AX370" i="1"/>
  <c r="AW370" i="1"/>
  <c r="BA369" i="1"/>
  <c r="AZ369" i="1"/>
  <c r="AY369" i="1"/>
  <c r="AX369" i="1"/>
  <c r="AW369" i="1"/>
  <c r="BA368" i="1"/>
  <c r="AZ368" i="1"/>
  <c r="AY368" i="1"/>
  <c r="AX368" i="1"/>
  <c r="AW368" i="1"/>
  <c r="BA301" i="1"/>
  <c r="AZ301" i="1"/>
  <c r="AY301" i="1"/>
  <c r="AX301" i="1"/>
  <c r="AW301" i="1"/>
  <c r="BA187" i="1"/>
  <c r="AZ187" i="1"/>
  <c r="AY187" i="1"/>
  <c r="AX187" i="1"/>
  <c r="AW187" i="1"/>
  <c r="BA186" i="1"/>
  <c r="AZ186" i="1"/>
  <c r="AY186" i="1"/>
  <c r="AX186" i="1"/>
  <c r="AW186" i="1"/>
  <c r="BA185" i="1"/>
  <c r="AZ185" i="1"/>
  <c r="AY185" i="1"/>
  <c r="AX185" i="1"/>
  <c r="AW185" i="1"/>
  <c r="BA300" i="1"/>
  <c r="AZ300" i="1"/>
  <c r="AY300" i="1"/>
  <c r="AX300" i="1"/>
  <c r="AW300" i="1"/>
  <c r="BA367" i="1"/>
  <c r="AZ367" i="1"/>
  <c r="AY367" i="1"/>
  <c r="AX367" i="1"/>
  <c r="AW367" i="1"/>
  <c r="BA366" i="1"/>
  <c r="AZ366" i="1"/>
  <c r="AY366" i="1"/>
  <c r="AX366" i="1"/>
  <c r="AW366" i="1"/>
  <c r="BA365" i="1"/>
  <c r="AZ365" i="1"/>
  <c r="AY365" i="1"/>
  <c r="AX365" i="1"/>
  <c r="AW365" i="1"/>
  <c r="BA299" i="1"/>
  <c r="AZ299" i="1"/>
  <c r="AY299" i="1"/>
  <c r="AX299" i="1"/>
  <c r="AW299" i="1"/>
  <c r="BA461" i="1"/>
  <c r="AZ461" i="1"/>
  <c r="AY461" i="1"/>
  <c r="AX461" i="1"/>
  <c r="AW461" i="1"/>
  <c r="BA460" i="1"/>
  <c r="AZ460" i="1"/>
  <c r="AY460" i="1"/>
  <c r="AX460" i="1"/>
  <c r="AW460" i="1"/>
  <c r="BA459" i="1"/>
  <c r="AZ459" i="1"/>
  <c r="AY459" i="1"/>
  <c r="AX459" i="1"/>
  <c r="AW459" i="1"/>
  <c r="BA458" i="1"/>
  <c r="AZ458" i="1"/>
  <c r="AY458" i="1"/>
  <c r="AX458" i="1"/>
  <c r="AW458" i="1"/>
  <c r="BA298" i="1"/>
  <c r="AZ298" i="1"/>
  <c r="AY298" i="1"/>
  <c r="AX298" i="1"/>
  <c r="AW298" i="1"/>
  <c r="BA481" i="1"/>
  <c r="AZ481" i="1"/>
  <c r="AY481" i="1"/>
  <c r="AX481" i="1"/>
  <c r="AW481" i="1"/>
  <c r="BA480" i="1"/>
  <c r="AZ480" i="1"/>
  <c r="AY480" i="1"/>
  <c r="AX480" i="1"/>
  <c r="AW480" i="1"/>
  <c r="BA479" i="1"/>
  <c r="AZ479" i="1"/>
  <c r="AY479" i="1"/>
  <c r="AX479" i="1"/>
  <c r="AW479" i="1"/>
  <c r="BA478" i="1"/>
  <c r="AZ478" i="1"/>
  <c r="AY478" i="1"/>
  <c r="AX478" i="1"/>
  <c r="AW478" i="1"/>
  <c r="BA477" i="1"/>
  <c r="AZ477" i="1"/>
  <c r="AY477" i="1"/>
  <c r="AX477" i="1"/>
  <c r="AW477" i="1"/>
  <c r="BA476" i="1"/>
  <c r="AZ476" i="1"/>
  <c r="AY476" i="1"/>
  <c r="AX476" i="1"/>
  <c r="AW476" i="1"/>
  <c r="BA475" i="1"/>
  <c r="AZ475" i="1"/>
  <c r="AY475" i="1"/>
  <c r="AX475" i="1"/>
  <c r="AW475" i="1"/>
  <c r="BA474" i="1"/>
  <c r="AZ474" i="1"/>
  <c r="AY474" i="1"/>
  <c r="AX474" i="1"/>
  <c r="AW474" i="1"/>
  <c r="BA238" i="1"/>
  <c r="AZ238" i="1"/>
  <c r="AY238" i="1"/>
  <c r="AX238" i="1"/>
  <c r="AW238" i="1"/>
  <c r="BA237" i="1"/>
  <c r="AZ237" i="1"/>
  <c r="AY237" i="1"/>
  <c r="AX237" i="1"/>
  <c r="AW237" i="1"/>
  <c r="BA241" i="1"/>
  <c r="AZ241" i="1"/>
  <c r="AY241" i="1"/>
  <c r="AX241" i="1"/>
  <c r="AW241" i="1"/>
  <c r="BA145" i="1"/>
  <c r="AZ145" i="1"/>
  <c r="AY145" i="1"/>
  <c r="AX145" i="1"/>
  <c r="AW145" i="1"/>
  <c r="BA144" i="1"/>
  <c r="AZ144" i="1"/>
  <c r="AY144" i="1"/>
  <c r="AX144" i="1"/>
  <c r="AW144" i="1"/>
  <c r="BA143" i="1"/>
  <c r="AZ143" i="1"/>
  <c r="AY143" i="1"/>
  <c r="AX143" i="1"/>
  <c r="AW143" i="1"/>
  <c r="BA142" i="1"/>
  <c r="AZ142" i="1"/>
  <c r="AY142" i="1"/>
  <c r="AX142" i="1"/>
  <c r="AW142" i="1"/>
  <c r="BA141" i="1"/>
  <c r="AZ141" i="1"/>
  <c r="AY141" i="1"/>
  <c r="AX141" i="1"/>
  <c r="AW141" i="1"/>
  <c r="BA140" i="1"/>
  <c r="AZ140" i="1"/>
  <c r="AY140" i="1"/>
  <c r="AX140" i="1"/>
  <c r="AW140" i="1"/>
  <c r="BA139" i="1"/>
  <c r="AZ139" i="1"/>
  <c r="AY139" i="1"/>
  <c r="AX139" i="1"/>
  <c r="AW139" i="1"/>
  <c r="BA138" i="1"/>
  <c r="AZ138" i="1"/>
  <c r="AY138" i="1"/>
  <c r="AX138" i="1"/>
  <c r="AW138" i="1"/>
  <c r="BA137" i="1"/>
  <c r="AZ137" i="1"/>
  <c r="AY137" i="1"/>
  <c r="AX137" i="1"/>
  <c r="AW137" i="1"/>
  <c r="BA136" i="1"/>
  <c r="AZ136" i="1"/>
  <c r="AY136" i="1"/>
  <c r="AX136" i="1"/>
  <c r="AW136" i="1"/>
  <c r="BA135" i="1"/>
  <c r="AZ135" i="1"/>
  <c r="AY135" i="1"/>
  <c r="AX135" i="1"/>
  <c r="AW135" i="1"/>
  <c r="BA134" i="1"/>
  <c r="AZ134" i="1"/>
  <c r="AY134" i="1"/>
  <c r="AX134" i="1"/>
  <c r="AW134" i="1"/>
  <c r="BA133" i="1"/>
  <c r="AZ133" i="1"/>
  <c r="AY133" i="1"/>
  <c r="AX133" i="1"/>
  <c r="AW133" i="1"/>
  <c r="BA473" i="1"/>
  <c r="AZ473" i="1"/>
  <c r="AY473" i="1"/>
  <c r="AX473" i="1"/>
  <c r="AW473" i="1"/>
  <c r="BA132" i="1"/>
  <c r="AZ132" i="1"/>
  <c r="AY132" i="1"/>
  <c r="AX132" i="1"/>
  <c r="AW132" i="1"/>
  <c r="BA131" i="1"/>
  <c r="AZ131" i="1"/>
  <c r="AY131" i="1"/>
  <c r="AX131" i="1"/>
  <c r="AW131" i="1"/>
  <c r="BA130" i="1"/>
  <c r="AZ130" i="1"/>
  <c r="AY130" i="1"/>
  <c r="AX130" i="1"/>
  <c r="AW130" i="1"/>
  <c r="BA129" i="1"/>
  <c r="AZ129" i="1"/>
  <c r="AY129" i="1"/>
  <c r="AX129" i="1"/>
  <c r="AW129" i="1"/>
  <c r="BA128" i="1"/>
  <c r="AZ128" i="1"/>
  <c r="AY128" i="1"/>
  <c r="AX128" i="1"/>
  <c r="AW128" i="1"/>
  <c r="BA127" i="1"/>
  <c r="AZ127" i="1"/>
  <c r="AY127" i="1"/>
  <c r="AX127" i="1"/>
  <c r="AW127" i="1"/>
  <c r="BA126" i="1"/>
  <c r="AZ126" i="1"/>
  <c r="AY126" i="1"/>
  <c r="AX126" i="1"/>
  <c r="AW126" i="1"/>
  <c r="BA125" i="1"/>
  <c r="AZ125" i="1"/>
  <c r="AY125" i="1"/>
  <c r="AX125" i="1"/>
  <c r="AW125" i="1"/>
  <c r="BA124" i="1"/>
  <c r="AZ124" i="1"/>
  <c r="AY124" i="1"/>
  <c r="AX124" i="1"/>
  <c r="AW124" i="1"/>
  <c r="BA123" i="1"/>
  <c r="AZ123" i="1"/>
  <c r="AY123" i="1"/>
  <c r="AX123" i="1"/>
  <c r="AW123" i="1"/>
  <c r="BA122" i="1"/>
  <c r="AZ122" i="1"/>
  <c r="AY122" i="1"/>
  <c r="AX122" i="1"/>
  <c r="AW122" i="1"/>
  <c r="BA184" i="1"/>
  <c r="AZ184" i="1"/>
  <c r="AY184" i="1"/>
  <c r="AX184" i="1"/>
  <c r="AW184" i="1"/>
  <c r="BA183" i="1"/>
  <c r="AZ183" i="1"/>
  <c r="AY183" i="1"/>
  <c r="AX183" i="1"/>
  <c r="AW183" i="1"/>
  <c r="BA297" i="1"/>
  <c r="AZ297" i="1"/>
  <c r="AY297" i="1"/>
  <c r="AX297" i="1"/>
  <c r="AW297" i="1"/>
  <c r="BA296" i="1"/>
  <c r="AZ296" i="1"/>
  <c r="AY296" i="1"/>
  <c r="AX296" i="1"/>
  <c r="AW296" i="1"/>
  <c r="BA457" i="1"/>
  <c r="AZ457" i="1"/>
  <c r="AY457" i="1"/>
  <c r="AX457" i="1"/>
  <c r="AW457" i="1"/>
  <c r="BA456" i="1"/>
  <c r="AZ456" i="1"/>
  <c r="AY456" i="1"/>
  <c r="AX456" i="1"/>
  <c r="AW456" i="1"/>
  <c r="BA364" i="1"/>
  <c r="AZ364" i="1"/>
  <c r="AY364" i="1"/>
  <c r="AX364" i="1"/>
  <c r="AW364" i="1"/>
  <c r="BA363" i="1"/>
  <c r="AZ363" i="1"/>
  <c r="AY363" i="1"/>
  <c r="AX363" i="1"/>
  <c r="AW363" i="1"/>
  <c r="BA362" i="1"/>
  <c r="AZ362" i="1"/>
  <c r="AY362" i="1"/>
  <c r="AX362" i="1"/>
  <c r="AW362" i="1"/>
  <c r="BA121" i="1"/>
  <c r="AZ121" i="1"/>
  <c r="AY121" i="1"/>
  <c r="AX121" i="1"/>
  <c r="AW121" i="1"/>
  <c r="BA120" i="1"/>
  <c r="AZ120" i="1"/>
  <c r="AY120" i="1"/>
  <c r="AX120" i="1"/>
  <c r="AW120" i="1"/>
  <c r="BA119" i="1"/>
  <c r="AZ119" i="1"/>
  <c r="AY119" i="1"/>
  <c r="AX119" i="1"/>
  <c r="AW119" i="1"/>
  <c r="BA118" i="1"/>
  <c r="AZ118" i="1"/>
  <c r="AY118" i="1"/>
  <c r="AX118" i="1"/>
  <c r="AW118" i="1"/>
  <c r="BA117" i="1"/>
  <c r="AZ117" i="1"/>
  <c r="AY117" i="1"/>
  <c r="AX117" i="1"/>
  <c r="AW117" i="1"/>
  <c r="BA116" i="1"/>
  <c r="AZ116" i="1"/>
  <c r="AY116" i="1"/>
  <c r="AX116" i="1"/>
  <c r="AW116" i="1"/>
  <c r="BA115" i="1"/>
  <c r="AZ115" i="1"/>
  <c r="AY115" i="1"/>
  <c r="AX115" i="1"/>
  <c r="AW115" i="1"/>
  <c r="BA114" i="1"/>
  <c r="AZ114" i="1"/>
  <c r="AY114" i="1"/>
  <c r="AX114" i="1"/>
  <c r="AW114" i="1"/>
  <c r="BA113" i="1"/>
  <c r="AZ113" i="1"/>
  <c r="AY113" i="1"/>
  <c r="AX113" i="1"/>
  <c r="AW113" i="1"/>
  <c r="BA112" i="1"/>
  <c r="AZ112" i="1"/>
  <c r="AY112" i="1"/>
  <c r="AX112" i="1"/>
  <c r="AW112" i="1"/>
  <c r="BA111" i="1"/>
  <c r="AZ111" i="1"/>
  <c r="AY111" i="1"/>
  <c r="AX111" i="1"/>
  <c r="AW111" i="1"/>
  <c r="BA110" i="1"/>
  <c r="AZ110" i="1"/>
  <c r="AY110" i="1"/>
  <c r="AX110" i="1"/>
  <c r="AW110" i="1"/>
  <c r="BA109" i="1"/>
  <c r="AZ109" i="1"/>
  <c r="AY109" i="1"/>
  <c r="AX109" i="1"/>
  <c r="AW109" i="1"/>
  <c r="BA108" i="1"/>
  <c r="AZ108" i="1"/>
  <c r="AY108" i="1"/>
  <c r="AX108" i="1"/>
  <c r="AW108" i="1"/>
  <c r="BA107" i="1"/>
  <c r="AZ107" i="1"/>
  <c r="AY107" i="1"/>
  <c r="AX107" i="1"/>
  <c r="AW107" i="1"/>
  <c r="BA106" i="1"/>
  <c r="AZ106" i="1"/>
  <c r="AY106" i="1"/>
  <c r="AX106" i="1"/>
  <c r="AW106" i="1"/>
  <c r="BA105" i="1"/>
  <c r="AZ105" i="1"/>
  <c r="AY105" i="1"/>
  <c r="AX105" i="1"/>
  <c r="AW105" i="1"/>
  <c r="BA416" i="1"/>
  <c r="AZ416" i="1"/>
  <c r="AY416" i="1"/>
  <c r="AX416" i="1"/>
  <c r="AW416" i="1"/>
  <c r="BA472" i="1"/>
  <c r="AZ472" i="1"/>
  <c r="AY472" i="1"/>
  <c r="AX472" i="1"/>
  <c r="AW472" i="1"/>
  <c r="BA361" i="1"/>
  <c r="AZ361" i="1"/>
  <c r="AY361" i="1"/>
  <c r="AX361" i="1"/>
  <c r="AW361" i="1"/>
  <c r="BA360" i="1"/>
  <c r="AZ360" i="1"/>
  <c r="AY360" i="1"/>
  <c r="AX360" i="1"/>
  <c r="AW360" i="1"/>
  <c r="BA415" i="1"/>
  <c r="AZ415" i="1"/>
  <c r="AY415" i="1"/>
  <c r="AX415" i="1"/>
  <c r="AW415" i="1"/>
  <c r="BA104" i="1"/>
  <c r="AZ104" i="1"/>
  <c r="AY104" i="1"/>
  <c r="AX104" i="1"/>
  <c r="AW104" i="1"/>
  <c r="BA359" i="1"/>
  <c r="AZ359" i="1"/>
  <c r="AY359" i="1"/>
  <c r="AX359" i="1"/>
  <c r="AW359" i="1"/>
  <c r="BA455" i="1"/>
  <c r="AZ455" i="1"/>
  <c r="AY455" i="1"/>
  <c r="AX455" i="1"/>
  <c r="AW455" i="1"/>
  <c r="BA358" i="1"/>
  <c r="AZ358" i="1"/>
  <c r="AY358" i="1"/>
  <c r="AX358" i="1"/>
  <c r="AW358" i="1"/>
  <c r="BA295" i="1"/>
  <c r="AZ295" i="1"/>
  <c r="AY295" i="1"/>
  <c r="AX295" i="1"/>
  <c r="AW295" i="1"/>
  <c r="BA357" i="1"/>
  <c r="AZ357" i="1"/>
  <c r="AY357" i="1"/>
  <c r="AX357" i="1"/>
  <c r="AW357" i="1"/>
  <c r="BA294" i="1"/>
  <c r="AZ294" i="1"/>
  <c r="AY294" i="1"/>
  <c r="AX294" i="1"/>
  <c r="AW294" i="1"/>
  <c r="BA242" i="1"/>
  <c r="AZ242" i="1"/>
  <c r="AY242" i="1"/>
  <c r="AX242" i="1"/>
  <c r="AW242" i="1"/>
  <c r="BA454" i="1"/>
  <c r="AZ454" i="1"/>
  <c r="AY454" i="1"/>
  <c r="AX454" i="1"/>
  <c r="AW454" i="1"/>
  <c r="BA293" i="1"/>
  <c r="AZ293" i="1"/>
  <c r="AY293" i="1"/>
  <c r="AX293" i="1"/>
  <c r="AW293" i="1"/>
  <c r="BA414" i="1"/>
  <c r="AZ414" i="1"/>
  <c r="AY414" i="1"/>
  <c r="AX414" i="1"/>
  <c r="AW414" i="1"/>
  <c r="BA103" i="1"/>
  <c r="AZ103" i="1"/>
  <c r="AY103" i="1"/>
  <c r="AX103" i="1"/>
  <c r="AW103" i="1"/>
  <c r="BA102" i="1"/>
  <c r="AZ102" i="1"/>
  <c r="AY102" i="1"/>
  <c r="AX102" i="1"/>
  <c r="AW102" i="1"/>
  <c r="BA101" i="1"/>
  <c r="AZ101" i="1"/>
  <c r="AY101" i="1"/>
  <c r="AX101" i="1"/>
  <c r="AW101" i="1"/>
  <c r="BA100" i="1"/>
  <c r="AZ100" i="1"/>
  <c r="AY100" i="1"/>
  <c r="AX100" i="1"/>
  <c r="AW100" i="1"/>
  <c r="BA224" i="1"/>
  <c r="AZ224" i="1"/>
  <c r="AY224" i="1"/>
  <c r="AX224" i="1"/>
  <c r="AW224" i="1"/>
  <c r="BA223" i="1"/>
  <c r="AZ223" i="1"/>
  <c r="AY223" i="1"/>
  <c r="AX223" i="1"/>
  <c r="AW223" i="1"/>
  <c r="BA222" i="1"/>
  <c r="AZ222" i="1"/>
  <c r="AY222" i="1"/>
  <c r="AX222" i="1"/>
  <c r="AW222" i="1"/>
  <c r="BA221" i="1"/>
  <c r="AZ221" i="1"/>
  <c r="AY221" i="1"/>
  <c r="AX221" i="1"/>
  <c r="AW221" i="1"/>
  <c r="BA413" i="1"/>
  <c r="AZ413" i="1"/>
  <c r="AY413" i="1"/>
  <c r="AX413" i="1"/>
  <c r="AW413" i="1"/>
  <c r="BA99" i="1"/>
  <c r="AZ99" i="1"/>
  <c r="AY99" i="1"/>
  <c r="AX99" i="1"/>
  <c r="AW99" i="1"/>
  <c r="BA453" i="1"/>
  <c r="AZ453" i="1"/>
  <c r="AY453" i="1"/>
  <c r="AX453" i="1"/>
  <c r="AW453" i="1"/>
  <c r="BA452" i="1"/>
  <c r="AZ452" i="1"/>
  <c r="AY452" i="1"/>
  <c r="AX452" i="1"/>
  <c r="AW452" i="1"/>
  <c r="BA292" i="1"/>
  <c r="AZ292" i="1"/>
  <c r="AY292" i="1"/>
  <c r="AX292" i="1"/>
  <c r="AW292" i="1"/>
  <c r="BA291" i="1"/>
  <c r="AZ291" i="1"/>
  <c r="AY291" i="1"/>
  <c r="AX291" i="1"/>
  <c r="AW291" i="1"/>
  <c r="BA290" i="1"/>
  <c r="AZ290" i="1"/>
  <c r="AY290" i="1"/>
  <c r="AX290" i="1"/>
  <c r="AW290" i="1"/>
  <c r="BA289" i="1"/>
  <c r="AZ289" i="1"/>
  <c r="AY289" i="1"/>
  <c r="AX289" i="1"/>
  <c r="AW289" i="1"/>
  <c r="BA288" i="1"/>
  <c r="AZ288" i="1"/>
  <c r="AY288" i="1"/>
  <c r="AX288" i="1"/>
  <c r="AW288" i="1"/>
  <c r="BA287" i="1"/>
  <c r="AZ287" i="1"/>
  <c r="AY287" i="1"/>
  <c r="AX287" i="1"/>
  <c r="AW287" i="1"/>
  <c r="BA356" i="1"/>
  <c r="AZ356" i="1"/>
  <c r="AY356" i="1"/>
  <c r="AX356" i="1"/>
  <c r="AW356" i="1"/>
  <c r="BA286" i="1"/>
  <c r="AZ286" i="1"/>
  <c r="AY286" i="1"/>
  <c r="AX286" i="1"/>
  <c r="AW286" i="1"/>
  <c r="BA451" i="1"/>
  <c r="AZ451" i="1"/>
  <c r="AY451" i="1"/>
  <c r="AX451" i="1"/>
  <c r="AW451" i="1"/>
  <c r="BA231" i="1"/>
  <c r="AZ231" i="1"/>
  <c r="AY231" i="1"/>
  <c r="AX231" i="1"/>
  <c r="AW231" i="1"/>
  <c r="BA236" i="1"/>
  <c r="AZ236" i="1"/>
  <c r="AY236" i="1"/>
  <c r="AX236" i="1"/>
  <c r="AW236" i="1"/>
  <c r="BA98" i="1"/>
  <c r="AZ98" i="1"/>
  <c r="AY98" i="1"/>
  <c r="AX98" i="1"/>
  <c r="AW98" i="1"/>
  <c r="BA97" i="1"/>
  <c r="AZ97" i="1"/>
  <c r="AY97" i="1"/>
  <c r="AX97" i="1"/>
  <c r="AW97" i="1"/>
  <c r="BA96" i="1"/>
  <c r="AZ96" i="1"/>
  <c r="AY96" i="1"/>
  <c r="AX96" i="1"/>
  <c r="AW96" i="1"/>
  <c r="BA285" i="1"/>
  <c r="AZ285" i="1"/>
  <c r="AY285" i="1"/>
  <c r="AX285" i="1"/>
  <c r="AW285" i="1"/>
  <c r="BA95" i="1"/>
  <c r="AZ95" i="1"/>
  <c r="AY95" i="1"/>
  <c r="AX95" i="1"/>
  <c r="AW95" i="1"/>
  <c r="BA94" i="1"/>
  <c r="AZ94" i="1"/>
  <c r="AY94" i="1"/>
  <c r="AX94" i="1"/>
  <c r="AW94" i="1"/>
  <c r="BA93" i="1"/>
  <c r="AZ93" i="1"/>
  <c r="AY93" i="1"/>
  <c r="AX93" i="1"/>
  <c r="AW93" i="1"/>
  <c r="BA450" i="1"/>
  <c r="AZ450" i="1"/>
  <c r="AY450" i="1"/>
  <c r="AX450" i="1"/>
  <c r="AW450" i="1"/>
  <c r="BA412" i="1"/>
  <c r="AZ412" i="1"/>
  <c r="AY412" i="1"/>
  <c r="AX412" i="1"/>
  <c r="AW412" i="1"/>
  <c r="BA220" i="1"/>
  <c r="AZ220" i="1"/>
  <c r="AY220" i="1"/>
  <c r="AX220" i="1"/>
  <c r="AW220" i="1"/>
  <c r="BA355" i="1"/>
  <c r="AZ355" i="1"/>
  <c r="AY355" i="1"/>
  <c r="AX355" i="1"/>
  <c r="AW355" i="1"/>
  <c r="BA354" i="1"/>
  <c r="AZ354" i="1"/>
  <c r="AY354" i="1"/>
  <c r="AX354" i="1"/>
  <c r="AW354" i="1"/>
  <c r="BA353" i="1"/>
  <c r="AZ353" i="1"/>
  <c r="AY353" i="1"/>
  <c r="AX353" i="1"/>
  <c r="AW353" i="1"/>
  <c r="BA352" i="1"/>
  <c r="AZ352" i="1"/>
  <c r="AY352" i="1"/>
  <c r="AX352" i="1"/>
  <c r="AW352" i="1"/>
  <c r="BA92" i="1"/>
  <c r="AZ92" i="1"/>
  <c r="AY92" i="1"/>
  <c r="AX92" i="1"/>
  <c r="AW92" i="1"/>
  <c r="BA91" i="1"/>
  <c r="AZ91" i="1"/>
  <c r="AY91" i="1"/>
  <c r="AX91" i="1"/>
  <c r="AW91" i="1"/>
  <c r="BA90" i="1"/>
  <c r="AZ90" i="1"/>
  <c r="AY90" i="1"/>
  <c r="AX90" i="1"/>
  <c r="AW90" i="1"/>
  <c r="BA89" i="1"/>
  <c r="AZ89" i="1"/>
  <c r="AY89" i="1"/>
  <c r="AX89" i="1"/>
  <c r="AW89" i="1"/>
  <c r="BA88" i="1"/>
  <c r="AZ88" i="1"/>
  <c r="AY88" i="1"/>
  <c r="AX88" i="1"/>
  <c r="AW88" i="1"/>
  <c r="BA87" i="1"/>
  <c r="AZ87" i="1"/>
  <c r="AY87" i="1"/>
  <c r="AX87" i="1"/>
  <c r="AW87" i="1"/>
  <c r="BA86" i="1"/>
  <c r="AZ86" i="1"/>
  <c r="AY86" i="1"/>
  <c r="AX86" i="1"/>
  <c r="AW86" i="1"/>
  <c r="BA411" i="1"/>
  <c r="AZ411" i="1"/>
  <c r="AY411" i="1"/>
  <c r="AX411" i="1"/>
  <c r="AW411" i="1"/>
  <c r="BA410" i="1"/>
  <c r="AZ410" i="1"/>
  <c r="AY410" i="1"/>
  <c r="AX410" i="1"/>
  <c r="AW410" i="1"/>
  <c r="BA409" i="1"/>
  <c r="AZ409" i="1"/>
  <c r="AY409" i="1"/>
  <c r="AX409" i="1"/>
  <c r="AW409" i="1"/>
  <c r="BA408" i="1"/>
  <c r="AZ408" i="1"/>
  <c r="AY408" i="1"/>
  <c r="AX408" i="1"/>
  <c r="AW408" i="1"/>
  <c r="BA407" i="1"/>
  <c r="AZ407" i="1"/>
  <c r="AY407" i="1"/>
  <c r="AX407" i="1"/>
  <c r="AW407" i="1"/>
  <c r="BA406" i="1"/>
  <c r="AZ406" i="1"/>
  <c r="AY406" i="1"/>
  <c r="AX406" i="1"/>
  <c r="AW406" i="1"/>
  <c r="BA405" i="1"/>
  <c r="AZ405" i="1"/>
  <c r="AY405" i="1"/>
  <c r="AX405" i="1"/>
  <c r="AW405" i="1"/>
  <c r="BA404" i="1"/>
  <c r="AZ404" i="1"/>
  <c r="AY404" i="1"/>
  <c r="AX404" i="1"/>
  <c r="AW404" i="1"/>
  <c r="BA85" i="1"/>
  <c r="AZ85" i="1"/>
  <c r="AY85" i="1"/>
  <c r="AX85" i="1"/>
  <c r="AW85" i="1"/>
  <c r="BA84" i="1"/>
  <c r="AZ84" i="1"/>
  <c r="AY84" i="1"/>
  <c r="AX84" i="1"/>
  <c r="AW84" i="1"/>
  <c r="BA83" i="1"/>
  <c r="AZ83" i="1"/>
  <c r="AY83" i="1"/>
  <c r="AX83" i="1"/>
  <c r="AW83" i="1"/>
  <c r="BA351" i="1"/>
  <c r="AZ351" i="1"/>
  <c r="AY351" i="1"/>
  <c r="AX351" i="1"/>
  <c r="AW351" i="1"/>
  <c r="BA350" i="1"/>
  <c r="AZ350" i="1"/>
  <c r="AY350" i="1"/>
  <c r="AX350" i="1"/>
  <c r="AW350" i="1"/>
  <c r="BA349" i="1"/>
  <c r="AZ349" i="1"/>
  <c r="AY349" i="1"/>
  <c r="AX349" i="1"/>
  <c r="AW349" i="1"/>
  <c r="BA348" i="1"/>
  <c r="AZ348" i="1"/>
  <c r="AY348" i="1"/>
  <c r="AX348" i="1"/>
  <c r="AW348" i="1"/>
  <c r="BA347" i="1"/>
  <c r="AZ347" i="1"/>
  <c r="AY347" i="1"/>
  <c r="AX347" i="1"/>
  <c r="AW347" i="1"/>
  <c r="BA449" i="1"/>
  <c r="AZ449" i="1"/>
  <c r="AY449" i="1"/>
  <c r="AX449" i="1"/>
  <c r="AW449" i="1"/>
  <c r="BA448" i="1"/>
  <c r="AZ448" i="1"/>
  <c r="AY448" i="1"/>
  <c r="AX448" i="1"/>
  <c r="AW448" i="1"/>
  <c r="BA447" i="1"/>
  <c r="AZ447" i="1"/>
  <c r="AY447" i="1"/>
  <c r="AX447" i="1"/>
  <c r="AW447" i="1"/>
  <c r="BA446" i="1"/>
  <c r="AZ446" i="1"/>
  <c r="AY446" i="1"/>
  <c r="AX446" i="1"/>
  <c r="AW446" i="1"/>
  <c r="BA445" i="1"/>
  <c r="AZ445" i="1"/>
  <c r="AY445" i="1"/>
  <c r="AX445" i="1"/>
  <c r="AW445" i="1"/>
  <c r="BA346" i="1"/>
  <c r="AZ346" i="1"/>
  <c r="AY346" i="1"/>
  <c r="AX346" i="1"/>
  <c r="AW346" i="1"/>
  <c r="BA345" i="1"/>
  <c r="AZ345" i="1"/>
  <c r="AY345" i="1"/>
  <c r="AX345" i="1"/>
  <c r="AW345" i="1"/>
  <c r="BA344" i="1"/>
  <c r="AZ344" i="1"/>
  <c r="AY344" i="1"/>
  <c r="AX344" i="1"/>
  <c r="AW344" i="1"/>
  <c r="BA343" i="1"/>
  <c r="AZ343" i="1"/>
  <c r="AY343" i="1"/>
  <c r="AX343" i="1"/>
  <c r="AW343" i="1"/>
  <c r="BA342" i="1"/>
  <c r="AZ342" i="1"/>
  <c r="AY342" i="1"/>
  <c r="AX342" i="1"/>
  <c r="AW342" i="1"/>
  <c r="BA341" i="1"/>
  <c r="AZ341" i="1"/>
  <c r="AY341" i="1"/>
  <c r="AX341" i="1"/>
  <c r="AW341" i="1"/>
  <c r="BA340" i="1"/>
  <c r="AZ340" i="1"/>
  <c r="AY340" i="1"/>
  <c r="AX340" i="1"/>
  <c r="AW340" i="1"/>
  <c r="BA339" i="1"/>
  <c r="AZ339" i="1"/>
  <c r="AY339" i="1"/>
  <c r="AX339" i="1"/>
  <c r="AW339" i="1"/>
  <c r="BA284" i="1"/>
  <c r="AZ284" i="1"/>
  <c r="AY284" i="1"/>
  <c r="AX284" i="1"/>
  <c r="AW284" i="1"/>
  <c r="BA283" i="1"/>
  <c r="AZ283" i="1"/>
  <c r="AY283" i="1"/>
  <c r="AX283" i="1"/>
  <c r="AW283" i="1"/>
  <c r="BA282" i="1"/>
  <c r="AZ282" i="1"/>
  <c r="AY282" i="1"/>
  <c r="AX282" i="1"/>
  <c r="AW282" i="1"/>
  <c r="BA338" i="1"/>
  <c r="AZ338" i="1"/>
  <c r="AY338" i="1"/>
  <c r="AX338" i="1"/>
  <c r="AW338" i="1"/>
  <c r="BA82" i="1"/>
  <c r="AZ82" i="1"/>
  <c r="AY82" i="1"/>
  <c r="AX82" i="1"/>
  <c r="AW82" i="1"/>
  <c r="BA81" i="1"/>
  <c r="AZ81" i="1"/>
  <c r="AY81" i="1"/>
  <c r="AX81" i="1"/>
  <c r="AW81" i="1"/>
  <c r="BA80" i="1"/>
  <c r="AZ80" i="1"/>
  <c r="AY80" i="1"/>
  <c r="AX80" i="1"/>
  <c r="AW80" i="1"/>
  <c r="BA79" i="1"/>
  <c r="AZ79" i="1"/>
  <c r="AY79" i="1"/>
  <c r="AX79" i="1"/>
  <c r="AW79" i="1"/>
  <c r="BA78" i="1"/>
  <c r="AZ78" i="1"/>
  <c r="AY78" i="1"/>
  <c r="AX78" i="1"/>
  <c r="AW78" i="1"/>
  <c r="BA77" i="1"/>
  <c r="AZ77" i="1"/>
  <c r="AY77" i="1"/>
  <c r="AX77" i="1"/>
  <c r="AW77" i="1"/>
  <c r="BA281" i="1"/>
  <c r="AZ281" i="1"/>
  <c r="AY281" i="1"/>
  <c r="AX281" i="1"/>
  <c r="AW281" i="1"/>
  <c r="BA280" i="1"/>
  <c r="AZ280" i="1"/>
  <c r="AY280" i="1"/>
  <c r="AX280" i="1"/>
  <c r="AW280" i="1"/>
  <c r="BA279" i="1"/>
  <c r="AZ279" i="1"/>
  <c r="AY279" i="1"/>
  <c r="AX279" i="1"/>
  <c r="AW279" i="1"/>
  <c r="BA248" i="1"/>
  <c r="AZ248" i="1"/>
  <c r="AY248" i="1"/>
  <c r="AX248" i="1"/>
  <c r="AW248" i="1"/>
  <c r="BA247" i="1"/>
  <c r="AZ247" i="1"/>
  <c r="AY247" i="1"/>
  <c r="AX247" i="1"/>
  <c r="AW247" i="1"/>
  <c r="BA444" i="1"/>
  <c r="AZ444" i="1"/>
  <c r="AY444" i="1"/>
  <c r="AX444" i="1"/>
  <c r="AW444" i="1"/>
  <c r="BA443" i="1"/>
  <c r="AZ443" i="1"/>
  <c r="AY443" i="1"/>
  <c r="AX443" i="1"/>
  <c r="AW443" i="1"/>
  <c r="BA278" i="1"/>
  <c r="AZ278" i="1"/>
  <c r="AY278" i="1"/>
  <c r="AX278" i="1"/>
  <c r="AW278" i="1"/>
  <c r="BA277" i="1"/>
  <c r="AZ277" i="1"/>
  <c r="AY277" i="1"/>
  <c r="AX277" i="1"/>
  <c r="AW277" i="1"/>
  <c r="BA276" i="1"/>
  <c r="AZ276" i="1"/>
  <c r="AY276" i="1"/>
  <c r="AX276" i="1"/>
  <c r="AW276" i="1"/>
  <c r="BA275" i="1"/>
  <c r="AZ275" i="1"/>
  <c r="AY275" i="1"/>
  <c r="AX275" i="1"/>
  <c r="AW275" i="1"/>
  <c r="BA274" i="1"/>
  <c r="AZ274" i="1"/>
  <c r="AY274" i="1"/>
  <c r="AX274" i="1"/>
  <c r="AW274" i="1"/>
  <c r="BA273" i="1"/>
  <c r="AZ273" i="1"/>
  <c r="AY273" i="1"/>
  <c r="AX273" i="1"/>
  <c r="AW273" i="1"/>
  <c r="BA272" i="1"/>
  <c r="AZ272" i="1"/>
  <c r="AY272" i="1"/>
  <c r="AX272" i="1"/>
  <c r="AW272" i="1"/>
  <c r="BA403" i="1"/>
  <c r="AZ403" i="1"/>
  <c r="AY403" i="1"/>
  <c r="AX403" i="1"/>
  <c r="AW403" i="1"/>
  <c r="BA402" i="1"/>
  <c r="AZ402" i="1"/>
  <c r="AY402" i="1"/>
  <c r="AX402" i="1"/>
  <c r="AW402" i="1"/>
  <c r="BA401" i="1"/>
  <c r="AZ401" i="1"/>
  <c r="AY401" i="1"/>
  <c r="AX401" i="1"/>
  <c r="AW401" i="1"/>
  <c r="BA400" i="1"/>
  <c r="AZ400" i="1"/>
  <c r="AY400" i="1"/>
  <c r="AX400" i="1"/>
  <c r="AW400" i="1"/>
  <c r="BA399" i="1"/>
  <c r="AZ399" i="1"/>
  <c r="AY399" i="1"/>
  <c r="AX399" i="1"/>
  <c r="AW399" i="1"/>
  <c r="BA398" i="1"/>
  <c r="AZ398" i="1"/>
  <c r="AY398" i="1"/>
  <c r="AX398" i="1"/>
  <c r="AW398" i="1"/>
  <c r="BA397" i="1"/>
  <c r="AZ397" i="1"/>
  <c r="AY397" i="1"/>
  <c r="AX397" i="1"/>
  <c r="AW397" i="1"/>
  <c r="BA396" i="1"/>
  <c r="AZ396" i="1"/>
  <c r="AY396" i="1"/>
  <c r="AX396" i="1"/>
  <c r="AW396" i="1"/>
  <c r="BA395" i="1"/>
  <c r="AZ395" i="1"/>
  <c r="AY395" i="1"/>
  <c r="AX395" i="1"/>
  <c r="AW395" i="1"/>
  <c r="BA394" i="1"/>
  <c r="AZ394" i="1"/>
  <c r="AY394" i="1"/>
  <c r="AX394" i="1"/>
  <c r="AW394" i="1"/>
  <c r="BA393" i="1"/>
  <c r="AZ393" i="1"/>
  <c r="AY393" i="1"/>
  <c r="AX393" i="1"/>
  <c r="AW393" i="1"/>
  <c r="BA392" i="1"/>
  <c r="AZ392" i="1"/>
  <c r="AY392" i="1"/>
  <c r="AX392" i="1"/>
  <c r="AW392" i="1"/>
  <c r="BA391" i="1"/>
  <c r="AZ391" i="1"/>
  <c r="AY391" i="1"/>
  <c r="AX391" i="1"/>
  <c r="AW391" i="1"/>
  <c r="BA390" i="1"/>
  <c r="AZ390" i="1"/>
  <c r="AY390" i="1"/>
  <c r="AX390" i="1"/>
  <c r="AW390" i="1"/>
  <c r="BA76" i="1"/>
  <c r="AZ76" i="1"/>
  <c r="AY76" i="1"/>
  <c r="AX76" i="1"/>
  <c r="AW76" i="1"/>
  <c r="BA75" i="1"/>
  <c r="AZ75" i="1"/>
  <c r="AY75" i="1"/>
  <c r="AX75" i="1"/>
  <c r="AW75" i="1"/>
  <c r="BA74" i="1"/>
  <c r="AZ74" i="1"/>
  <c r="AY74" i="1"/>
  <c r="AX74" i="1"/>
  <c r="AW74" i="1"/>
  <c r="BA73" i="1"/>
  <c r="AZ73" i="1"/>
  <c r="AY73" i="1"/>
  <c r="AX73" i="1"/>
  <c r="AW73" i="1"/>
  <c r="BA72" i="1"/>
  <c r="AZ72" i="1"/>
  <c r="AY72" i="1"/>
  <c r="AX72" i="1"/>
  <c r="AW72" i="1"/>
  <c r="BA71" i="1"/>
  <c r="AZ71" i="1"/>
  <c r="AY71" i="1"/>
  <c r="AX71" i="1"/>
  <c r="AW71" i="1"/>
  <c r="BA70" i="1"/>
  <c r="AZ70" i="1"/>
  <c r="AY70" i="1"/>
  <c r="AX70" i="1"/>
  <c r="AW70" i="1"/>
  <c r="BA69" i="1"/>
  <c r="AZ69" i="1"/>
  <c r="AY69" i="1"/>
  <c r="AX69" i="1"/>
  <c r="AW69" i="1"/>
  <c r="BA68" i="1"/>
  <c r="AZ68" i="1"/>
  <c r="AY68" i="1"/>
  <c r="AX68" i="1"/>
  <c r="AW68" i="1"/>
  <c r="BA67" i="1"/>
  <c r="AZ67" i="1"/>
  <c r="AY67" i="1"/>
  <c r="AX67" i="1"/>
  <c r="AW67" i="1"/>
  <c r="BA66" i="1"/>
  <c r="AZ66" i="1"/>
  <c r="AY66" i="1"/>
  <c r="AX66" i="1"/>
  <c r="AW66" i="1"/>
  <c r="BA65" i="1"/>
  <c r="AZ65" i="1"/>
  <c r="AY65" i="1"/>
  <c r="AX65" i="1"/>
  <c r="AW65" i="1"/>
  <c r="BA64" i="1"/>
  <c r="AZ64" i="1"/>
  <c r="AY64" i="1"/>
  <c r="AX64" i="1"/>
  <c r="AW64" i="1"/>
  <c r="BA63" i="1"/>
  <c r="AZ63" i="1"/>
  <c r="AY63" i="1"/>
  <c r="AX63" i="1"/>
  <c r="AW63" i="1"/>
  <c r="BA62" i="1"/>
  <c r="AZ62" i="1"/>
  <c r="AY62" i="1"/>
  <c r="AX62" i="1"/>
  <c r="AW62" i="1"/>
  <c r="BA61" i="1"/>
  <c r="AZ61" i="1"/>
  <c r="AY61" i="1"/>
  <c r="AX61" i="1"/>
  <c r="AW61" i="1"/>
  <c r="BA219" i="1"/>
  <c r="AZ219" i="1"/>
  <c r="AY219" i="1"/>
  <c r="AX219" i="1"/>
  <c r="AW219" i="1"/>
  <c r="BA218" i="1"/>
  <c r="AZ218" i="1"/>
  <c r="AY218" i="1"/>
  <c r="AX218" i="1"/>
  <c r="AW218" i="1"/>
  <c r="BA217" i="1"/>
  <c r="AZ217" i="1"/>
  <c r="AY217" i="1"/>
  <c r="AX217" i="1"/>
  <c r="AW217" i="1"/>
  <c r="BA216" i="1"/>
  <c r="AZ216" i="1"/>
  <c r="AY216" i="1"/>
  <c r="AX216" i="1"/>
  <c r="AW216" i="1"/>
  <c r="BA215" i="1"/>
  <c r="AZ215" i="1"/>
  <c r="AY215" i="1"/>
  <c r="AX215" i="1"/>
  <c r="AW215" i="1"/>
  <c r="BA214" i="1"/>
  <c r="AZ214" i="1"/>
  <c r="AY214" i="1"/>
  <c r="AX214" i="1"/>
  <c r="AW214" i="1"/>
  <c r="BA213" i="1"/>
  <c r="AZ213" i="1"/>
  <c r="AY213" i="1"/>
  <c r="AX213" i="1"/>
  <c r="AW213" i="1"/>
  <c r="BA212" i="1"/>
  <c r="AZ212" i="1"/>
  <c r="AY212" i="1"/>
  <c r="AX212" i="1"/>
  <c r="AW212" i="1"/>
  <c r="BA211" i="1"/>
  <c r="AZ211" i="1"/>
  <c r="AY211" i="1"/>
  <c r="AX211" i="1"/>
  <c r="AW211" i="1"/>
  <c r="BA210" i="1"/>
  <c r="AZ210" i="1"/>
  <c r="AY210" i="1"/>
  <c r="AX210" i="1"/>
  <c r="AW210" i="1"/>
  <c r="BA209" i="1"/>
  <c r="AZ209" i="1"/>
  <c r="AY209" i="1"/>
  <c r="AX209" i="1"/>
  <c r="AW209" i="1"/>
  <c r="BA208" i="1"/>
  <c r="AZ208" i="1"/>
  <c r="AY208" i="1"/>
  <c r="AX208" i="1"/>
  <c r="AW208" i="1"/>
  <c r="BA207" i="1"/>
  <c r="AZ207" i="1"/>
  <c r="AY207" i="1"/>
  <c r="AX207" i="1"/>
  <c r="AW207" i="1"/>
  <c r="BA206" i="1"/>
  <c r="AZ206" i="1"/>
  <c r="AY206" i="1"/>
  <c r="AX206" i="1"/>
  <c r="AW206" i="1"/>
  <c r="BA205" i="1"/>
  <c r="AZ205" i="1"/>
  <c r="AY205" i="1"/>
  <c r="AX205" i="1"/>
  <c r="AW205" i="1"/>
  <c r="BA204" i="1"/>
  <c r="AZ204" i="1"/>
  <c r="AY204" i="1"/>
  <c r="AX204" i="1"/>
  <c r="AW204" i="1"/>
  <c r="BA203" i="1"/>
  <c r="AZ203" i="1"/>
  <c r="AY203" i="1"/>
  <c r="AX203" i="1"/>
  <c r="AW203" i="1"/>
  <c r="BA202" i="1"/>
  <c r="AZ202" i="1"/>
  <c r="AY202" i="1"/>
  <c r="AX202" i="1"/>
  <c r="AW202" i="1"/>
  <c r="BA201" i="1"/>
  <c r="AZ201" i="1"/>
  <c r="AY201" i="1"/>
  <c r="AX201" i="1"/>
  <c r="AW201" i="1"/>
  <c r="BA200" i="1"/>
  <c r="AZ200" i="1"/>
  <c r="AY200" i="1"/>
  <c r="AX200" i="1"/>
  <c r="AW200" i="1"/>
  <c r="BA199" i="1"/>
  <c r="AZ199" i="1"/>
  <c r="AY199" i="1"/>
  <c r="AX199" i="1"/>
  <c r="AW199" i="1"/>
  <c r="BA198" i="1"/>
  <c r="AZ198" i="1"/>
  <c r="AY198" i="1"/>
  <c r="AX198" i="1"/>
  <c r="AW198" i="1"/>
  <c r="BA197" i="1"/>
  <c r="AZ197" i="1"/>
  <c r="AY197" i="1"/>
  <c r="AX197" i="1"/>
  <c r="AW197" i="1"/>
  <c r="BA196" i="1"/>
  <c r="AZ196" i="1"/>
  <c r="AY196" i="1"/>
  <c r="AX196" i="1"/>
  <c r="AW196" i="1"/>
  <c r="BA195" i="1"/>
  <c r="AZ195" i="1"/>
  <c r="AY195" i="1"/>
  <c r="AX195" i="1"/>
  <c r="AW195" i="1"/>
  <c r="BA194" i="1"/>
  <c r="AZ194" i="1"/>
  <c r="AY194" i="1"/>
  <c r="AX194" i="1"/>
  <c r="AW194" i="1"/>
  <c r="BA193" i="1"/>
  <c r="AZ193" i="1"/>
  <c r="AY193" i="1"/>
  <c r="AX193" i="1"/>
  <c r="AW193" i="1"/>
  <c r="BA192" i="1"/>
  <c r="AZ192" i="1"/>
  <c r="AY192" i="1"/>
  <c r="AX192" i="1"/>
  <c r="AW192" i="1"/>
  <c r="BA191" i="1"/>
  <c r="AZ191" i="1"/>
  <c r="AY191" i="1"/>
  <c r="AX191" i="1"/>
  <c r="AW191" i="1"/>
  <c r="BA190" i="1"/>
  <c r="AZ190" i="1"/>
  <c r="AY190" i="1"/>
  <c r="AX190" i="1"/>
  <c r="AW190" i="1"/>
  <c r="BA189" i="1"/>
  <c r="AZ189" i="1"/>
  <c r="AY189" i="1"/>
  <c r="AX189" i="1"/>
  <c r="AW189" i="1"/>
  <c r="BA389" i="1"/>
  <c r="AZ389" i="1"/>
  <c r="AY389" i="1"/>
  <c r="AX389" i="1"/>
  <c r="AW389" i="1"/>
  <c r="BA388" i="1"/>
  <c r="AZ388" i="1"/>
  <c r="AY388" i="1"/>
  <c r="AX388" i="1"/>
  <c r="AW388" i="1"/>
  <c r="BA387" i="1"/>
  <c r="AZ387" i="1"/>
  <c r="AY387" i="1"/>
  <c r="AX387" i="1"/>
  <c r="AW387" i="1"/>
  <c r="BA60" i="1"/>
  <c r="AZ60" i="1"/>
  <c r="AY60" i="1"/>
  <c r="AX60" i="1"/>
  <c r="AW60" i="1"/>
  <c r="BA59" i="1"/>
  <c r="AZ59" i="1"/>
  <c r="AY59" i="1"/>
  <c r="AX59" i="1"/>
  <c r="AW59" i="1"/>
  <c r="BA58" i="1"/>
  <c r="AZ58" i="1"/>
  <c r="AY58" i="1"/>
  <c r="AX58" i="1"/>
  <c r="AW58" i="1"/>
  <c r="BA57" i="1"/>
  <c r="AZ57" i="1"/>
  <c r="AY57" i="1"/>
  <c r="AX57" i="1"/>
  <c r="AW57" i="1"/>
  <c r="BA56" i="1"/>
  <c r="AZ56" i="1"/>
  <c r="AY56" i="1"/>
  <c r="AX56" i="1"/>
  <c r="AW56" i="1"/>
  <c r="BA55" i="1"/>
  <c r="AZ55" i="1"/>
  <c r="AY55" i="1"/>
  <c r="AX55" i="1"/>
  <c r="AW55" i="1"/>
  <c r="BA54" i="1"/>
  <c r="AZ54" i="1"/>
  <c r="AY54" i="1"/>
  <c r="AX54" i="1"/>
  <c r="AW54" i="1"/>
  <c r="BA442" i="1"/>
  <c r="AZ442" i="1"/>
  <c r="AY442" i="1"/>
  <c r="AX442" i="1"/>
  <c r="AW442" i="1"/>
  <c r="BA441" i="1"/>
  <c r="AZ441" i="1"/>
  <c r="AY441" i="1"/>
  <c r="AX441" i="1"/>
  <c r="AW441" i="1"/>
  <c r="BA440" i="1"/>
  <c r="AZ440" i="1"/>
  <c r="AY440" i="1"/>
  <c r="AX440" i="1"/>
  <c r="AW440" i="1"/>
  <c r="BA439" i="1"/>
  <c r="AZ439" i="1"/>
  <c r="AY439" i="1"/>
  <c r="AX439" i="1"/>
  <c r="AW439" i="1"/>
  <c r="BA438" i="1"/>
  <c r="AZ438" i="1"/>
  <c r="AY438" i="1"/>
  <c r="AX438" i="1"/>
  <c r="AW438" i="1"/>
  <c r="BA337" i="1"/>
  <c r="AZ337" i="1"/>
  <c r="AY337" i="1"/>
  <c r="AX337" i="1"/>
  <c r="AW337" i="1"/>
  <c r="BA336" i="1"/>
  <c r="AZ336" i="1"/>
  <c r="AY336" i="1"/>
  <c r="AX336" i="1"/>
  <c r="AW336" i="1"/>
  <c r="BA335" i="1"/>
  <c r="AZ335" i="1"/>
  <c r="AY335" i="1"/>
  <c r="AX335" i="1"/>
  <c r="AW335" i="1"/>
  <c r="BA334" i="1"/>
  <c r="AZ334" i="1"/>
  <c r="AY334" i="1"/>
  <c r="AX334" i="1"/>
  <c r="AW334" i="1"/>
  <c r="BA333" i="1"/>
  <c r="AZ333" i="1"/>
  <c r="AY333" i="1"/>
  <c r="AX333" i="1"/>
  <c r="AW333" i="1"/>
  <c r="BA332" i="1"/>
  <c r="AZ332" i="1"/>
  <c r="AY332" i="1"/>
  <c r="AX332" i="1"/>
  <c r="AW332" i="1"/>
  <c r="BA271" i="1"/>
  <c r="AZ271" i="1"/>
  <c r="AY271" i="1"/>
  <c r="AX271" i="1"/>
  <c r="AW271" i="1"/>
  <c r="BA270" i="1"/>
  <c r="AZ270" i="1"/>
  <c r="AY270" i="1"/>
  <c r="AX270" i="1"/>
  <c r="AW270" i="1"/>
  <c r="BA269" i="1"/>
  <c r="AZ269" i="1"/>
  <c r="AY269" i="1"/>
  <c r="AX269" i="1"/>
  <c r="AW269" i="1"/>
  <c r="BA268" i="1"/>
  <c r="AZ268" i="1"/>
  <c r="AY268" i="1"/>
  <c r="AX268" i="1"/>
  <c r="AW268" i="1"/>
  <c r="BA267" i="1"/>
  <c r="AZ267" i="1"/>
  <c r="AY267" i="1"/>
  <c r="AX267" i="1"/>
  <c r="AW267" i="1"/>
  <c r="BA182" i="1"/>
  <c r="AZ182" i="1"/>
  <c r="AY182" i="1"/>
  <c r="AX182" i="1"/>
  <c r="AW182" i="1"/>
  <c r="BA181" i="1"/>
  <c r="AZ181" i="1"/>
  <c r="AY181" i="1"/>
  <c r="AX181" i="1"/>
  <c r="AW181" i="1"/>
  <c r="BA180" i="1"/>
  <c r="AZ180" i="1"/>
  <c r="AY180" i="1"/>
  <c r="AX180" i="1"/>
  <c r="AW180" i="1"/>
  <c r="BA179" i="1"/>
  <c r="AZ179" i="1"/>
  <c r="AY179" i="1"/>
  <c r="AX179" i="1"/>
  <c r="AW179" i="1"/>
  <c r="BA178" i="1"/>
  <c r="AZ178" i="1"/>
  <c r="AY178" i="1"/>
  <c r="AX178" i="1"/>
  <c r="AW178" i="1"/>
  <c r="BA177" i="1"/>
  <c r="AZ177" i="1"/>
  <c r="AY177" i="1"/>
  <c r="AX177" i="1"/>
  <c r="AW177" i="1"/>
  <c r="BA176" i="1"/>
  <c r="AZ176" i="1"/>
  <c r="AY176" i="1"/>
  <c r="AX176" i="1"/>
  <c r="AW176" i="1"/>
  <c r="BA266" i="1"/>
  <c r="AZ266" i="1"/>
  <c r="AY266" i="1"/>
  <c r="AX266" i="1"/>
  <c r="AW266" i="1"/>
  <c r="BA265" i="1"/>
  <c r="AZ265" i="1"/>
  <c r="AY265" i="1"/>
  <c r="AX265" i="1"/>
  <c r="AW265" i="1"/>
  <c r="BA264" i="1"/>
  <c r="AZ264" i="1"/>
  <c r="AY264" i="1"/>
  <c r="AX264" i="1"/>
  <c r="AW264" i="1"/>
  <c r="BA263" i="1"/>
  <c r="AZ263" i="1"/>
  <c r="AY263" i="1"/>
  <c r="AX263" i="1"/>
  <c r="AW263" i="1"/>
  <c r="BA331" i="1"/>
  <c r="AZ331" i="1"/>
  <c r="AY331" i="1"/>
  <c r="AX331" i="1"/>
  <c r="AW331" i="1"/>
  <c r="BA330" i="1"/>
  <c r="AZ330" i="1"/>
  <c r="AY330" i="1"/>
  <c r="AX330" i="1"/>
  <c r="AW330" i="1"/>
  <c r="BA329" i="1"/>
  <c r="AZ329" i="1"/>
  <c r="AY329" i="1"/>
  <c r="AX329" i="1"/>
  <c r="AW329" i="1"/>
  <c r="BA328" i="1"/>
  <c r="AZ328" i="1"/>
  <c r="AY328" i="1"/>
  <c r="AX328" i="1"/>
  <c r="AW328" i="1"/>
  <c r="BA327" i="1"/>
  <c r="AZ327" i="1"/>
  <c r="AY327" i="1"/>
  <c r="AX327" i="1"/>
  <c r="AW327" i="1"/>
  <c r="BA326" i="1"/>
  <c r="AZ326" i="1"/>
  <c r="AY326" i="1"/>
  <c r="AX326" i="1"/>
  <c r="AW326" i="1"/>
  <c r="BA325" i="1"/>
  <c r="AZ325" i="1"/>
  <c r="AY325" i="1"/>
  <c r="AX325" i="1"/>
  <c r="AW325" i="1"/>
  <c r="BA324" i="1"/>
  <c r="AZ324" i="1"/>
  <c r="AY324" i="1"/>
  <c r="AX324" i="1"/>
  <c r="AW324" i="1"/>
  <c r="BA323" i="1"/>
  <c r="AZ323" i="1"/>
  <c r="AY323" i="1"/>
  <c r="AX323" i="1"/>
  <c r="AW323" i="1"/>
  <c r="BA262" i="1"/>
  <c r="AZ262" i="1"/>
  <c r="AY262" i="1"/>
  <c r="AX262" i="1"/>
  <c r="AW262" i="1"/>
  <c r="BA261" i="1"/>
  <c r="AZ261" i="1"/>
  <c r="AY261" i="1"/>
  <c r="AX261" i="1"/>
  <c r="AW261" i="1"/>
  <c r="BA260" i="1"/>
  <c r="AZ260" i="1"/>
  <c r="AY260" i="1"/>
  <c r="AX260" i="1"/>
  <c r="AW260" i="1"/>
  <c r="BA259" i="1"/>
  <c r="AZ259" i="1"/>
  <c r="AY259" i="1"/>
  <c r="AX259" i="1"/>
  <c r="AW259" i="1"/>
  <c r="BA258" i="1"/>
  <c r="AZ258" i="1"/>
  <c r="AY258" i="1"/>
  <c r="AX258" i="1"/>
  <c r="AW258" i="1"/>
  <c r="BA257" i="1"/>
  <c r="AZ257" i="1"/>
  <c r="AY257" i="1"/>
  <c r="AX257" i="1"/>
  <c r="AW257" i="1"/>
  <c r="BA437" i="1"/>
  <c r="AZ437" i="1"/>
  <c r="AY437" i="1"/>
  <c r="AX437" i="1"/>
  <c r="AW437" i="1"/>
  <c r="BA436" i="1"/>
  <c r="AZ436" i="1"/>
  <c r="AY436" i="1"/>
  <c r="AX436" i="1"/>
  <c r="AW436" i="1"/>
  <c r="BA435" i="1"/>
  <c r="AZ435" i="1"/>
  <c r="AY435" i="1"/>
  <c r="AX435" i="1"/>
  <c r="AW435" i="1"/>
  <c r="BA434" i="1"/>
  <c r="AZ434" i="1"/>
  <c r="AY434" i="1"/>
  <c r="AX434" i="1"/>
  <c r="AW434" i="1"/>
  <c r="BA235" i="1"/>
  <c r="AZ235" i="1"/>
  <c r="AY235" i="1"/>
  <c r="AX235" i="1"/>
  <c r="AW235" i="1"/>
  <c r="BA234" i="1"/>
  <c r="AZ234" i="1"/>
  <c r="AY234" i="1"/>
  <c r="AX234" i="1"/>
  <c r="AW234" i="1"/>
  <c r="BA233" i="1"/>
  <c r="AZ233" i="1"/>
  <c r="AY233" i="1"/>
  <c r="AX233" i="1"/>
  <c r="AW233" i="1"/>
  <c r="BA232" i="1"/>
  <c r="AZ232" i="1"/>
  <c r="AY232" i="1"/>
  <c r="AX232" i="1"/>
  <c r="AW232" i="1"/>
  <c r="BA53" i="1"/>
  <c r="AZ53" i="1"/>
  <c r="AY53" i="1"/>
  <c r="AX53" i="1"/>
  <c r="AW53" i="1"/>
  <c r="BA52" i="1"/>
  <c r="AZ52" i="1"/>
  <c r="AY52" i="1"/>
  <c r="AX52" i="1"/>
  <c r="AW52" i="1"/>
  <c r="BA51" i="1"/>
  <c r="AZ51" i="1"/>
  <c r="AY51" i="1"/>
  <c r="AX51" i="1"/>
  <c r="AW51" i="1"/>
  <c r="BA50" i="1"/>
  <c r="AZ50" i="1"/>
  <c r="AY50" i="1"/>
  <c r="AX50" i="1"/>
  <c r="AW50" i="1"/>
  <c r="BA49" i="1"/>
  <c r="AZ49" i="1"/>
  <c r="AY49" i="1"/>
  <c r="AX49" i="1"/>
  <c r="AW49" i="1"/>
  <c r="BA48" i="1"/>
  <c r="AZ48" i="1"/>
  <c r="AY48" i="1"/>
  <c r="AX48" i="1"/>
  <c r="AW48" i="1"/>
  <c r="BA47" i="1"/>
  <c r="AZ47" i="1"/>
  <c r="AY47" i="1"/>
  <c r="AX47" i="1"/>
  <c r="AW47" i="1"/>
  <c r="BA46" i="1"/>
  <c r="AZ46" i="1"/>
  <c r="AY46" i="1"/>
  <c r="AX46" i="1"/>
  <c r="AW46" i="1"/>
  <c r="BA45" i="1"/>
  <c r="AZ45" i="1"/>
  <c r="AY45" i="1"/>
  <c r="AX45" i="1"/>
  <c r="AW45" i="1"/>
  <c r="BA44" i="1"/>
  <c r="AZ44" i="1"/>
  <c r="AY44" i="1"/>
  <c r="AX44" i="1"/>
  <c r="AW44" i="1"/>
  <c r="BA43" i="1"/>
  <c r="AZ43" i="1"/>
  <c r="AY43" i="1"/>
  <c r="AX43" i="1"/>
  <c r="AW43" i="1"/>
  <c r="BA42" i="1"/>
  <c r="AZ42" i="1"/>
  <c r="AY42" i="1"/>
  <c r="AX42" i="1"/>
  <c r="AW42" i="1"/>
  <c r="BA41" i="1"/>
  <c r="AZ41" i="1"/>
  <c r="AY41" i="1"/>
  <c r="AX41" i="1"/>
  <c r="AW41" i="1"/>
  <c r="BA40" i="1"/>
  <c r="AZ40" i="1"/>
  <c r="AY40" i="1"/>
  <c r="AX40" i="1"/>
  <c r="AW40" i="1"/>
  <c r="BA39" i="1"/>
  <c r="AZ39" i="1"/>
  <c r="AY39" i="1"/>
  <c r="AX39" i="1"/>
  <c r="AW39" i="1"/>
  <c r="BA38" i="1"/>
  <c r="AZ38" i="1"/>
  <c r="AY38" i="1"/>
  <c r="AX38" i="1"/>
  <c r="AW38" i="1"/>
  <c r="BA37" i="1"/>
  <c r="AZ37" i="1"/>
  <c r="AY37" i="1"/>
  <c r="AX37" i="1"/>
  <c r="AW37" i="1"/>
  <c r="BA36" i="1"/>
  <c r="AZ36" i="1"/>
  <c r="AY36" i="1"/>
  <c r="AX36" i="1"/>
  <c r="AW36" i="1"/>
  <c r="BA35" i="1"/>
  <c r="AZ35" i="1"/>
  <c r="AY35" i="1"/>
  <c r="AX35" i="1"/>
  <c r="AW35" i="1"/>
  <c r="BA34" i="1"/>
  <c r="AZ34" i="1"/>
  <c r="AY34" i="1"/>
  <c r="AX34" i="1"/>
  <c r="AW34" i="1"/>
  <c r="BA33" i="1"/>
  <c r="AZ33" i="1"/>
  <c r="AY33" i="1"/>
  <c r="AX33" i="1"/>
  <c r="AW33" i="1"/>
  <c r="BA32" i="1"/>
  <c r="AZ32" i="1"/>
  <c r="AY32" i="1"/>
  <c r="AX32" i="1"/>
  <c r="AW32" i="1"/>
  <c r="BA31" i="1"/>
  <c r="AZ31" i="1"/>
  <c r="AY31" i="1"/>
  <c r="AX31" i="1"/>
  <c r="AW31" i="1"/>
  <c r="BA175" i="1"/>
  <c r="AZ175" i="1"/>
  <c r="AY175" i="1"/>
  <c r="AX175" i="1"/>
  <c r="AW175" i="1"/>
  <c r="BA174" i="1"/>
  <c r="AZ174" i="1"/>
  <c r="AY174" i="1"/>
  <c r="AX174" i="1"/>
  <c r="AW174" i="1"/>
  <c r="BA173" i="1"/>
  <c r="AZ173" i="1"/>
  <c r="AY173" i="1"/>
  <c r="AX173" i="1"/>
  <c r="AW173" i="1"/>
  <c r="BA172" i="1"/>
  <c r="AZ172" i="1"/>
  <c r="AY172" i="1"/>
  <c r="AX172" i="1"/>
  <c r="AW172" i="1"/>
  <c r="BA171" i="1"/>
  <c r="AZ171" i="1"/>
  <c r="AY171" i="1"/>
  <c r="AX171" i="1"/>
  <c r="AW171" i="1"/>
  <c r="BA170" i="1"/>
  <c r="AZ170" i="1"/>
  <c r="AY170" i="1"/>
  <c r="AX170" i="1"/>
  <c r="AW170" i="1"/>
  <c r="BA169" i="1"/>
  <c r="AZ169" i="1"/>
  <c r="AY169" i="1"/>
  <c r="AX169" i="1"/>
  <c r="AW169" i="1"/>
  <c r="BA256" i="1"/>
  <c r="AZ256" i="1"/>
  <c r="AY256" i="1"/>
  <c r="AX256" i="1"/>
  <c r="AW256" i="1"/>
  <c r="BA255" i="1"/>
  <c r="AZ255" i="1"/>
  <c r="AY255" i="1"/>
  <c r="AX255" i="1"/>
  <c r="AW255" i="1"/>
  <c r="BA254" i="1"/>
  <c r="AZ254" i="1"/>
  <c r="AY254" i="1"/>
  <c r="AX254" i="1"/>
  <c r="AW254" i="1"/>
  <c r="BA253" i="1"/>
  <c r="AZ253" i="1"/>
  <c r="AY253" i="1"/>
  <c r="AX253" i="1"/>
  <c r="AW253" i="1"/>
  <c r="BA252" i="1"/>
  <c r="AZ252" i="1"/>
  <c r="AY252" i="1"/>
  <c r="AX252" i="1"/>
  <c r="AW252" i="1"/>
  <c r="BA433" i="1"/>
  <c r="AZ433" i="1"/>
  <c r="AY433" i="1"/>
  <c r="AX433" i="1"/>
  <c r="AW433" i="1"/>
  <c r="BA432" i="1"/>
  <c r="AZ432" i="1"/>
  <c r="AY432" i="1"/>
  <c r="AX432" i="1"/>
  <c r="AW432" i="1"/>
  <c r="BA431" i="1"/>
  <c r="AZ431" i="1"/>
  <c r="AY431" i="1"/>
  <c r="AX431" i="1"/>
  <c r="AW431" i="1"/>
  <c r="BA430" i="1"/>
  <c r="AZ430" i="1"/>
  <c r="AY430" i="1"/>
  <c r="AX430" i="1"/>
  <c r="AW430" i="1"/>
  <c r="BA429" i="1"/>
  <c r="AZ429" i="1"/>
  <c r="AY429" i="1"/>
  <c r="AX429" i="1"/>
  <c r="AW429" i="1"/>
  <c r="BA428" i="1"/>
  <c r="AZ428" i="1"/>
  <c r="AY428" i="1"/>
  <c r="AX428" i="1"/>
  <c r="AW428" i="1"/>
  <c r="BA427" i="1"/>
  <c r="AZ427" i="1"/>
  <c r="AY427" i="1"/>
  <c r="AX427" i="1"/>
  <c r="AW427" i="1"/>
  <c r="BA426" i="1"/>
  <c r="AZ426" i="1"/>
  <c r="AY426" i="1"/>
  <c r="AX426" i="1"/>
  <c r="AW426" i="1"/>
  <c r="BA322" i="1"/>
  <c r="AZ322" i="1"/>
  <c r="AY322" i="1"/>
  <c r="AX322" i="1"/>
  <c r="AW322" i="1"/>
  <c r="BA321" i="1"/>
  <c r="AZ321" i="1"/>
  <c r="AY321" i="1"/>
  <c r="AX321" i="1"/>
  <c r="AW321" i="1"/>
  <c r="BA320" i="1"/>
  <c r="AZ320" i="1"/>
  <c r="AY320" i="1"/>
  <c r="AX320" i="1"/>
  <c r="AW320" i="1"/>
  <c r="BA319" i="1"/>
  <c r="AZ319" i="1"/>
  <c r="AY319" i="1"/>
  <c r="AX319" i="1"/>
  <c r="AW319" i="1"/>
  <c r="BA318" i="1"/>
  <c r="AZ318" i="1"/>
  <c r="AY318" i="1"/>
  <c r="AX318" i="1"/>
  <c r="AW318" i="1"/>
  <c r="BA317" i="1"/>
  <c r="AZ317" i="1"/>
  <c r="AY317" i="1"/>
  <c r="AX317" i="1"/>
  <c r="AW317" i="1"/>
  <c r="BA316" i="1"/>
  <c r="AZ316" i="1"/>
  <c r="AY316" i="1"/>
  <c r="AX316" i="1"/>
  <c r="AW316" i="1"/>
  <c r="BA315" i="1"/>
  <c r="AZ315" i="1"/>
  <c r="AY315" i="1"/>
  <c r="AX315" i="1"/>
  <c r="AW315" i="1"/>
  <c r="BA30" i="1"/>
  <c r="AZ30" i="1"/>
  <c r="AY30" i="1"/>
  <c r="AX30" i="1"/>
  <c r="AW30" i="1"/>
  <c r="BA29" i="1"/>
  <c r="AZ29" i="1"/>
  <c r="AY29" i="1"/>
  <c r="AX29" i="1"/>
  <c r="AW29" i="1"/>
  <c r="BA28" i="1"/>
  <c r="AZ28" i="1"/>
  <c r="AY28" i="1"/>
  <c r="AX28" i="1"/>
  <c r="AW28" i="1"/>
  <c r="BA27" i="1"/>
  <c r="AZ27" i="1"/>
  <c r="AY27" i="1"/>
  <c r="AX27" i="1"/>
  <c r="AW27" i="1"/>
  <c r="BA26" i="1"/>
  <c r="AZ26" i="1"/>
  <c r="AY26" i="1"/>
  <c r="AX26" i="1"/>
  <c r="AW26" i="1"/>
  <c r="BA25" i="1"/>
  <c r="AZ25" i="1"/>
  <c r="AY25" i="1"/>
  <c r="AX25" i="1"/>
  <c r="AW25" i="1"/>
  <c r="BA24" i="1"/>
  <c r="AZ24" i="1"/>
  <c r="AY24" i="1"/>
  <c r="AX24" i="1"/>
  <c r="AW24" i="1"/>
  <c r="BA23" i="1"/>
  <c r="AZ23" i="1"/>
  <c r="AY23" i="1"/>
  <c r="AX23" i="1"/>
  <c r="AW23" i="1"/>
  <c r="BA22" i="1"/>
  <c r="AZ22" i="1"/>
  <c r="AY22" i="1"/>
  <c r="AX22" i="1"/>
  <c r="AW22" i="1"/>
  <c r="BA21" i="1"/>
  <c r="AZ21" i="1"/>
  <c r="AY21" i="1"/>
  <c r="AX21" i="1"/>
  <c r="AW21" i="1"/>
  <c r="BA20" i="1"/>
  <c r="AZ20" i="1"/>
  <c r="AY20" i="1"/>
  <c r="AX20" i="1"/>
  <c r="AW20" i="1"/>
  <c r="BA19" i="1"/>
  <c r="AZ19" i="1"/>
  <c r="AY19" i="1"/>
  <c r="AX19" i="1"/>
  <c r="AW19" i="1"/>
  <c r="BA18" i="1"/>
  <c r="AZ18" i="1"/>
  <c r="AY18" i="1"/>
  <c r="AX18" i="1"/>
  <c r="AW18" i="1"/>
  <c r="BA17" i="1"/>
  <c r="AZ17" i="1"/>
  <c r="AY17" i="1"/>
  <c r="AX17" i="1"/>
  <c r="AW17" i="1"/>
  <c r="BA16" i="1"/>
  <c r="AZ16" i="1"/>
  <c r="AY16" i="1"/>
  <c r="AX16" i="1"/>
  <c r="AW16" i="1"/>
  <c r="BA15" i="1"/>
  <c r="AZ15" i="1"/>
  <c r="AY15" i="1"/>
  <c r="AX15" i="1"/>
  <c r="AW15" i="1"/>
  <c r="BA14" i="1"/>
  <c r="AZ14" i="1"/>
  <c r="AY14" i="1"/>
  <c r="AX14" i="1"/>
  <c r="AW14" i="1"/>
  <c r="BA251" i="1"/>
  <c r="AZ251" i="1"/>
  <c r="AY251" i="1"/>
  <c r="AX251" i="1"/>
  <c r="AW251" i="1"/>
  <c r="BA188" i="1"/>
  <c r="AZ188" i="1"/>
  <c r="AY188" i="1"/>
  <c r="AX188" i="1"/>
  <c r="AW188" i="1"/>
  <c r="BA386" i="1"/>
  <c r="AZ386" i="1"/>
  <c r="AY386" i="1"/>
  <c r="AX386" i="1"/>
  <c r="AW386" i="1"/>
  <c r="BA13" i="1"/>
  <c r="AZ13" i="1"/>
  <c r="AY13" i="1"/>
  <c r="AX13" i="1"/>
  <c r="AW13" i="1"/>
  <c r="BA12" i="1"/>
  <c r="AZ12" i="1"/>
  <c r="AY12" i="1"/>
  <c r="AX12" i="1"/>
  <c r="AW12" i="1"/>
  <c r="BA11" i="1"/>
  <c r="AZ11" i="1"/>
  <c r="AY11" i="1"/>
  <c r="AX11" i="1"/>
  <c r="AW11" i="1"/>
  <c r="BA314" i="1"/>
  <c r="AZ314" i="1"/>
  <c r="AY314" i="1"/>
  <c r="AX314" i="1"/>
  <c r="AW314" i="1"/>
  <c r="BA313" i="1"/>
  <c r="AZ313" i="1"/>
  <c r="AY313" i="1"/>
  <c r="AX313" i="1"/>
  <c r="AW313" i="1"/>
  <c r="BA312" i="1"/>
  <c r="AZ312" i="1"/>
  <c r="AY312" i="1"/>
  <c r="AX312" i="1"/>
  <c r="AW312" i="1"/>
  <c r="BA10" i="1"/>
  <c r="AZ10" i="1"/>
  <c r="AY10" i="1"/>
  <c r="AX10" i="1"/>
  <c r="AW10" i="1"/>
  <c r="BA385" i="1"/>
  <c r="AZ385" i="1"/>
  <c r="AY385" i="1"/>
  <c r="AX385" i="1"/>
  <c r="AW385" i="1"/>
  <c r="BA9" i="1"/>
  <c r="AZ9" i="1"/>
  <c r="AY9" i="1"/>
  <c r="AX9" i="1"/>
  <c r="AW9" i="1"/>
  <c r="BA425" i="1"/>
  <c r="AZ425" i="1"/>
  <c r="AY425" i="1"/>
  <c r="AX425" i="1"/>
  <c r="AW425" i="1"/>
  <c r="BA8" i="1"/>
  <c r="AZ8" i="1"/>
  <c r="AY8" i="1"/>
  <c r="AX8" i="1"/>
  <c r="AW8" i="1"/>
  <c r="BA7" i="1"/>
  <c r="AZ7" i="1"/>
  <c r="AY7" i="1"/>
  <c r="AX7" i="1"/>
  <c r="AW7" i="1"/>
  <c r="BA6" i="1"/>
  <c r="AZ6" i="1"/>
  <c r="AY6" i="1"/>
  <c r="AX6" i="1"/>
  <c r="AW6" i="1"/>
  <c r="BA5" i="1"/>
  <c r="AZ5" i="1"/>
  <c r="AY5" i="1"/>
  <c r="AX5" i="1"/>
  <c r="AW5" i="1"/>
  <c r="BA4" i="1"/>
  <c r="AZ4" i="1"/>
  <c r="AY4" i="1"/>
  <c r="AX4" i="1"/>
  <c r="AW4" i="1"/>
  <c r="BA3" i="1"/>
  <c r="AZ3" i="1"/>
  <c r="AY3" i="1"/>
  <c r="AX3" i="1"/>
  <c r="AW3" i="1"/>
  <c r="BA2" i="1"/>
  <c r="AZ2" i="1"/>
  <c r="AY2" i="1"/>
  <c r="AX2" i="1"/>
  <c r="AW2" i="1"/>
  <c r="BA166" i="1"/>
  <c r="AZ166" i="1"/>
  <c r="AY166" i="1"/>
  <c r="AX166" i="1"/>
  <c r="AW166" i="1"/>
  <c r="BA165" i="1"/>
  <c r="AZ165" i="1"/>
  <c r="AY165" i="1"/>
  <c r="AX165" i="1"/>
  <c r="AW165" i="1"/>
  <c r="BA240" i="1"/>
  <c r="AZ240" i="1"/>
  <c r="AY240" i="1"/>
  <c r="AX240" i="1"/>
  <c r="AW240" i="1"/>
  <c r="BA239" i="1"/>
  <c r="AZ239" i="1"/>
  <c r="AY239" i="1"/>
  <c r="AX239" i="1"/>
  <c r="AW239" i="1"/>
  <c r="BA168" i="1"/>
  <c r="AZ168" i="1"/>
  <c r="AY168" i="1"/>
  <c r="AX168" i="1"/>
  <c r="AW168" i="1"/>
  <c r="BA167" i="1"/>
  <c r="AZ167" i="1"/>
  <c r="AY167" i="1"/>
  <c r="AX167" i="1"/>
  <c r="AW16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<sst xmlns="http://schemas.openxmlformats.org/spreadsheetml/2006/main" count="12634" uniqueCount="2519">
  <si>
    <t>Correo del candidato</t>
  </si>
  <si>
    <t>Nombre del candidato</t>
  </si>
  <si>
    <t>Tipo de identificación</t>
  </si>
  <si>
    <t>Número de documento de identificación</t>
  </si>
  <si>
    <t>Género con el que te identificas</t>
  </si>
  <si>
    <t>¿Cuál es tu edad?</t>
  </si>
  <si>
    <t>¿Actualmente estás cursando un pregrado universitario?</t>
  </si>
  <si>
    <t>Ciudad en la que resides actualmente</t>
  </si>
  <si>
    <t>Lugar en el que estarías dispuesto/a a realizar tus prácticas</t>
  </si>
  <si>
    <t>A que universidad perteneces</t>
  </si>
  <si>
    <t>¿Cuál?.</t>
  </si>
  <si>
    <t>Nombre del programa académico</t>
  </si>
  <si>
    <t>¿Cuál?</t>
  </si>
  <si>
    <t>¿Debes cursar asignaturas durante la realización de tus prácticas?</t>
  </si>
  <si>
    <t>¿Anteriormente ha tenido vinculación como aprendiz SENA?</t>
  </si>
  <si>
    <t>Nivel de inglés</t>
  </si>
  <si>
    <t>Nivel de manejo de Excel</t>
  </si>
  <si>
    <t>Primer área de interés para realizar la práctica</t>
  </si>
  <si>
    <t>Vacantes Producción (Operaciones)</t>
  </si>
  <si>
    <t>Vacantes Finanzas</t>
  </si>
  <si>
    <t>Vacantes Talento</t>
  </si>
  <si>
    <t>Vacantes Ventas</t>
  </si>
  <si>
    <t>Segunda área de interés para realizar la práctica</t>
  </si>
  <si>
    <t>Vacantes Producción (Operaciones)2</t>
  </si>
  <si>
    <t>Vacantes Finanzas3</t>
  </si>
  <si>
    <t>Vacantes Talento4</t>
  </si>
  <si>
    <t>Vacantes Ventas5</t>
  </si>
  <si>
    <t>¿Has trabajado anteriormente para nuestra compañía?</t>
  </si>
  <si>
    <t>¿Tienes algún familiar laborado con la compañía?</t>
  </si>
  <si>
    <t>Si tu respuesta fue "Sí", indica el parentesco y nombre completo (Ejemplo: Madre – Rosa Elena Medina Delgado):</t>
  </si>
  <si>
    <t>¿Tienes algún familiar que sea o labore con un proveedor de la compañía?</t>
  </si>
  <si>
    <t>Si tu respuesta fue "Sí", indica e parentesco y nombre completo (Ejemplo: Madre - Rosa Elena Medina Delgado):</t>
  </si>
  <si>
    <t>¿Tienes algún familiar que sea o labore con un cliente de la compañía?</t>
  </si>
  <si>
    <t>Si tu respuesta fue "Sí", indica el parentesco y nombre completo (Ejemplo: Madre - Rosa Elena Medina Delgado):</t>
  </si>
  <si>
    <t>¿Tienes algún familiar que sea o labore con la competencia de la compañía?</t>
  </si>
  <si>
    <t>Si tu respuesta fue "Sí", indica el parentesco y nombre completo (Ejemplo: Madre -  Rosa Elena Medina Delgado):</t>
  </si>
  <si>
    <t>¿Por qué medio te enteraste de nuestra convocatoria?</t>
  </si>
  <si>
    <t>Nombre de la etapa</t>
  </si>
  <si>
    <t xml:space="preserve">Día </t>
  </si>
  <si>
    <t>Hora</t>
  </si>
  <si>
    <t>Teléfono</t>
  </si>
  <si>
    <t>Dirección</t>
  </si>
  <si>
    <t>Magneto ERI</t>
  </si>
  <si>
    <t>Magneto %</t>
  </si>
  <si>
    <t>Encargado</t>
  </si>
  <si>
    <t>Vacante sugerida</t>
  </si>
  <si>
    <t xml:space="preserve">Confirmación </t>
  </si>
  <si>
    <t>Comentarios</t>
  </si>
  <si>
    <t>Carrera</t>
  </si>
  <si>
    <t>Teléfono contacto</t>
  </si>
  <si>
    <t>Site</t>
  </si>
  <si>
    <t>Fecha creatón</t>
  </si>
  <si>
    <t>Horario creatón</t>
  </si>
  <si>
    <t>jepr.240505@gmail.com</t>
  </si>
  <si>
    <t>Juan Esteban Paez Ruiz</t>
  </si>
  <si>
    <t>Cédula de ciudadanía</t>
  </si>
  <si>
    <t>Hombre</t>
  </si>
  <si>
    <t>Bogotá</t>
  </si>
  <si>
    <t>Universidad del Bosque</t>
  </si>
  <si>
    <t>Estadística</t>
  </si>
  <si>
    <t>Intermedio</t>
  </si>
  <si>
    <t>Avanzado</t>
  </si>
  <si>
    <t>Tecnología</t>
  </si>
  <si>
    <t>Área financiera</t>
  </si>
  <si>
    <t>Talento</t>
  </si>
  <si>
    <t>LinkedIn</t>
  </si>
  <si>
    <t>CREATÓN</t>
  </si>
  <si>
    <t xml:space="preserve"> 310 3824756</t>
  </si>
  <si>
    <t>Calle 83 103C-55, 111011 Bogota, D.C., Colombia</t>
  </si>
  <si>
    <t>DP</t>
  </si>
  <si>
    <t>Cata</t>
  </si>
  <si>
    <t>Area financiera (PPM)</t>
  </si>
  <si>
    <t>NO</t>
  </si>
  <si>
    <t>OK</t>
  </si>
  <si>
    <t>gabrielalopezp5@gmail.com</t>
  </si>
  <si>
    <t>Gabriela Lopez</t>
  </si>
  <si>
    <t>Mujer</t>
  </si>
  <si>
    <t>BOGOTÁ</t>
  </si>
  <si>
    <t>Universidad de los Andes</t>
  </si>
  <si>
    <t>Economía</t>
  </si>
  <si>
    <t>Finanzas</t>
  </si>
  <si>
    <t>Compras</t>
  </si>
  <si>
    <t>Finanzas Impuestos</t>
  </si>
  <si>
    <t xml:space="preserve"> 316 2398383</t>
  </si>
  <si>
    <t>Calle 84 9-85, 110221 Bogota, D.C., Colombia</t>
  </si>
  <si>
    <t>Santi</t>
  </si>
  <si>
    <t>mateo.fontecha@outlook.com</t>
  </si>
  <si>
    <t>Mateo Fontecha</t>
  </si>
  <si>
    <t>BOGOTA</t>
  </si>
  <si>
    <t>Asuntos Corporativos</t>
  </si>
  <si>
    <t>Carrera 52A 57B-33, 111321 Bogota, D.C., Colombia</t>
  </si>
  <si>
    <t>juanjeronimo1508@gmail.com</t>
  </si>
  <si>
    <t>Juan David Jerónimo González</t>
  </si>
  <si>
    <t>Compensación y Beneficios</t>
  </si>
  <si>
    <t>Instagram</t>
  </si>
  <si>
    <t xml:space="preserve"> 324 4326262</t>
  </si>
  <si>
    <t>Carrera 33A 56 S-14, 110611 Bogota, D.C., Colombia</t>
  </si>
  <si>
    <t>Compensación y beneficios</t>
  </si>
  <si>
    <t>johningla15@gmail.com</t>
  </si>
  <si>
    <t>John Alejandro Rosas Guerrero</t>
  </si>
  <si>
    <t>Universidad EAFIT</t>
  </si>
  <si>
    <t>Calle 33AA 78A-17, 050031 Medellin, Colombia</t>
  </si>
  <si>
    <t>Compras (Procurement PPM Reporting)</t>
  </si>
  <si>
    <t>santiago.zambrano1008@gmail.com</t>
  </si>
  <si>
    <t>Santiago Zambrano Iregui</t>
  </si>
  <si>
    <t>Tabio</t>
  </si>
  <si>
    <t>Universidad de La Sabana</t>
  </si>
  <si>
    <t>Administración de Empresas</t>
  </si>
  <si>
    <t>Marketing</t>
  </si>
  <si>
    <t>Ventas</t>
  </si>
  <si>
    <t>Gestión de Ejecución Premium</t>
  </si>
  <si>
    <t xml:space="preserve"> 318 8147439</t>
  </si>
  <si>
    <t>Tabio Cundinamarca, 250237 Tabio, Colombia</t>
  </si>
  <si>
    <t>Comunicaciones</t>
  </si>
  <si>
    <t>selmasanabriad@gmail.com</t>
  </si>
  <si>
    <t>Selma Melisa Andrea Sanabria Durango</t>
  </si>
  <si>
    <t>VALLEDUPAR</t>
  </si>
  <si>
    <t>Marketing / Mercadeo</t>
  </si>
  <si>
    <t xml:space="preserve"> 313 6263013</t>
  </si>
  <si>
    <t>Valledupar, Colombia</t>
  </si>
  <si>
    <t>alejandrorf122004@gmail.com</t>
  </si>
  <si>
    <t>Alejandro Ramirez Forero</t>
  </si>
  <si>
    <t>Tocancipá</t>
  </si>
  <si>
    <t>Universidad Militar Nueva Granada</t>
  </si>
  <si>
    <t>Ingeniería Mecatrónica</t>
  </si>
  <si>
    <t>Producción (Operaciones)</t>
  </si>
  <si>
    <t xml:space="preserve"> 317 5981002</t>
  </si>
  <si>
    <t>Calle 181B 16-12, 110141 Bogota, D.C., Colombia</t>
  </si>
  <si>
    <t>Elaboración Cervecería de Tocancipá</t>
  </si>
  <si>
    <t>carolinaandrea6470@gmail.com</t>
  </si>
  <si>
    <t>Carolina Hernandez</t>
  </si>
  <si>
    <t>Bogota</t>
  </si>
  <si>
    <t>Otra</t>
  </si>
  <si>
    <t>Universidad EAN</t>
  </si>
  <si>
    <t>Negocios Internacionales</t>
  </si>
  <si>
    <t>Logística</t>
  </si>
  <si>
    <t>Calle 70D Sur 79-45, 110741 Bogota, D.C., Colombia</t>
  </si>
  <si>
    <t>Logística T2 (Safety &amp; DPO T2)</t>
  </si>
  <si>
    <t>dannamontilla77@gmail.com</t>
  </si>
  <si>
    <t>Danna Montilla Suarez</t>
  </si>
  <si>
    <t>Cucuta</t>
  </si>
  <si>
    <t>Medellín</t>
  </si>
  <si>
    <t>Universidad Francisco de Paula Santander</t>
  </si>
  <si>
    <t>Ingeniería Industrial</t>
  </si>
  <si>
    <t>Básico</t>
  </si>
  <si>
    <t>Ingeniería y Servicios</t>
  </si>
  <si>
    <t>Cucuta, Colombia</t>
  </si>
  <si>
    <t>Logística T2 Regional Andes</t>
  </si>
  <si>
    <t>angelamendozaeslava2000@gmail.com</t>
  </si>
  <si>
    <t>Angela Mendoza Eslava</t>
  </si>
  <si>
    <t>Pontificia Universidad Javeriana</t>
  </si>
  <si>
    <t>Atracción de Talento y Marca Empleadora</t>
  </si>
  <si>
    <t>Support</t>
  </si>
  <si>
    <t>Página Web Oficial</t>
  </si>
  <si>
    <t xml:space="preserve"> 305 3700517</t>
  </si>
  <si>
    <t>Calle 83A 118-29, 111011 Bogota, D.C., Colombia</t>
  </si>
  <si>
    <t>People Support 2</t>
  </si>
  <si>
    <t>c.danielsatizabal@gmail.com</t>
  </si>
  <si>
    <t>Carlos Daniel Satizabal Holguín</t>
  </si>
  <si>
    <t>Cali</t>
  </si>
  <si>
    <t>Cali (Yumbo)</t>
  </si>
  <si>
    <t>Pontificia Universidad Javeriana| Cali</t>
  </si>
  <si>
    <t xml:space="preserve"> 302 3398986</t>
  </si>
  <si>
    <t>Acore Club, 760042 Cali, Colombia</t>
  </si>
  <si>
    <t>Talento Regional Sur</t>
  </si>
  <si>
    <t>josealmariop@gmail.com</t>
  </si>
  <si>
    <t>Jose Francisco Almario Padilla</t>
  </si>
  <si>
    <t>Santa Marta</t>
  </si>
  <si>
    <t>Barranquilla</t>
  </si>
  <si>
    <t>Universidad Sergio Arboleda</t>
  </si>
  <si>
    <t>Calle 29 1C-22, 470004 Santa Marta, Colombia</t>
  </si>
  <si>
    <t>Talento Supply Cervecería de Barranquilla</t>
  </si>
  <si>
    <t>jd.henriquezalbor@gmail.com</t>
  </si>
  <si>
    <t>Jesus David Henriquez Albor</t>
  </si>
  <si>
    <t>BARRANQUILLA</t>
  </si>
  <si>
    <t>Institución universitaria de Barranquilla</t>
  </si>
  <si>
    <t>Ventas Comercial</t>
  </si>
  <si>
    <t>Calle 45B-27, 080011 Barranquilla, Colombia</t>
  </si>
  <si>
    <t>Talento Ventas Regional Norte</t>
  </si>
  <si>
    <t>acastanedaruiz55@gmail.com</t>
  </si>
  <si>
    <t>Alejandro Castaneda Ruiz</t>
  </si>
  <si>
    <t xml:space="preserve"> 310 8888133</t>
  </si>
  <si>
    <t>Calle 146A 58B-22, 111156 Bogota, D.C., Colombia</t>
  </si>
  <si>
    <t>Tecnología (JR Data Scientist)</t>
  </si>
  <si>
    <t xml:space="preserve">OK </t>
  </si>
  <si>
    <t>julim2702@gmail.com</t>
  </si>
  <si>
    <t>Juliana Manrique Monroy</t>
  </si>
  <si>
    <t>Universidad del Rosario</t>
  </si>
  <si>
    <t>BEES</t>
  </si>
  <si>
    <t xml:space="preserve"> 316 2325718</t>
  </si>
  <si>
    <t>Edificio Roger VI, 111321 Bogota, D.C., Colombia</t>
  </si>
  <si>
    <t>Channel Strategy and Performance (BEES)</t>
  </si>
  <si>
    <t>ottorincon0408@gmail.com</t>
  </si>
  <si>
    <t>Oto Esteban Rincón Giraldo</t>
  </si>
  <si>
    <t>BUCARAMANGA</t>
  </si>
  <si>
    <t>Universidad de Santander</t>
  </si>
  <si>
    <t>Administración de Negocios Internacionales</t>
  </si>
  <si>
    <t xml:space="preserve"> 305 4120170</t>
  </si>
  <si>
    <t>Torres de Monterrey, 680004 Bucaramanga, Colombia</t>
  </si>
  <si>
    <t>ruedafernanda385@gmail.com</t>
  </si>
  <si>
    <t>Paula Fernanda Rueda Machado</t>
  </si>
  <si>
    <t>Universidad Pontificia Bolivariana</t>
  </si>
  <si>
    <t>Otros</t>
  </si>
  <si>
    <t xml:space="preserve"> 324 3157796</t>
  </si>
  <si>
    <t>Calle 78 Sur 50-66, 055460 La Estrella, Colombia</t>
  </si>
  <si>
    <t>isapalatoro@gmail.com</t>
  </si>
  <si>
    <t>Isabella Palacio Toro</t>
  </si>
  <si>
    <t>MEDELLIN</t>
  </si>
  <si>
    <t xml:space="preserve"> 316 8321353</t>
  </si>
  <si>
    <t>Calle 7AA 30-60, 050021 Medellin, Colombia</t>
  </si>
  <si>
    <t>MKT Balance choice</t>
  </si>
  <si>
    <t>valentinatellezmonterrosa@gmail.com</t>
  </si>
  <si>
    <t>Valentina Tellez monterrosa</t>
  </si>
  <si>
    <t>Bucaramanga</t>
  </si>
  <si>
    <t>Trabajo Social</t>
  </si>
  <si>
    <t>Carrera 43, Barrancabermeja, Colombia</t>
  </si>
  <si>
    <t>Talento Supply Bucaramanga</t>
  </si>
  <si>
    <t>ricardocubillosc@javeriana.edu.co</t>
  </si>
  <si>
    <t>Ricardo Cubillos Combariza</t>
  </si>
  <si>
    <t xml:space="preserve"> 321 8574669</t>
  </si>
  <si>
    <t>Calle 117D 57-96, 111111 Bogota, D.C., Colombia</t>
  </si>
  <si>
    <t>SI</t>
  </si>
  <si>
    <t>sanvalentin139@gmail.com</t>
  </si>
  <si>
    <t>Valentín Moncada Sánchez</t>
  </si>
  <si>
    <t xml:space="preserve"> 319 5528847</t>
  </si>
  <si>
    <t>Carrera 69K 68-59, 111061 Bogota, D.C., Colombia</t>
  </si>
  <si>
    <t>cristianbeltran450@gmail.com</t>
  </si>
  <si>
    <t>Cristian Beltran Mendez</t>
  </si>
  <si>
    <t>Analítica de Datos</t>
  </si>
  <si>
    <t xml:space="preserve"> 315 6652203</t>
  </si>
  <si>
    <t>Calle 191A 11A-25, 110141 Bogota, D.C., Colombia</t>
  </si>
  <si>
    <t>dkarina.th@gmail.com</t>
  </si>
  <si>
    <t>Danna Karina Tovar Cabezas</t>
  </si>
  <si>
    <t>BOGOTA D.C.</t>
  </si>
  <si>
    <t>Universidad Nacional de Colombia</t>
  </si>
  <si>
    <t>Calle 69B Sur 64, Bogota, D.C., Colombia</t>
  </si>
  <si>
    <t>afdelgado@universidadmayor.edu.co</t>
  </si>
  <si>
    <t>ANDRES FELIPE DELGADO REY</t>
  </si>
  <si>
    <t>Universidad colegio mayor de cundinamarca</t>
  </si>
  <si>
    <t>Carrera 95A 56H S-52, 110711 Bogota, D.C., Colombia</t>
  </si>
  <si>
    <t>pericoagudelomariafernanda@gmail.com</t>
  </si>
  <si>
    <t>Maria Fernanda Perico Agudelo</t>
  </si>
  <si>
    <t>Universidad Externado de Colombia</t>
  </si>
  <si>
    <t>Derecho</t>
  </si>
  <si>
    <t>Asuntos corporativos</t>
  </si>
  <si>
    <t>Calle 159 54-35, 111156 Bogota, D.C., Colombia</t>
  </si>
  <si>
    <t>lunaardila08@hotmail.com</t>
  </si>
  <si>
    <t>Luna Carolina Ardila Jiménez</t>
  </si>
  <si>
    <t>Medios Tradicionales</t>
  </si>
  <si>
    <t>Diagonal 23C BIS Transversal 88C-88b, 110911 Bogota, D.C., Colombia</t>
  </si>
  <si>
    <t>dfelipegomeza203@gmail.com</t>
  </si>
  <si>
    <t>Daniel Gómez Anaya</t>
  </si>
  <si>
    <t xml:space="preserve"> 302 2508910</t>
  </si>
  <si>
    <t>Carrera 7B 127C-58, 110121 Bogota, D.C., Colombia</t>
  </si>
  <si>
    <t>daza.matias@javeriana.edu.co</t>
  </si>
  <si>
    <t>Matias Daza</t>
  </si>
  <si>
    <t>Carrera 89 147B-79, 111156 Bogota, D.C., Colombia</t>
  </si>
  <si>
    <t>nicolechiquiza@gmail.com</t>
  </si>
  <si>
    <t>Nicole Daiam Chiquiza Moreno</t>
  </si>
  <si>
    <t>CHIA CUNDINAMARCA</t>
  </si>
  <si>
    <t xml:space="preserve"> 305 3136665</t>
  </si>
  <si>
    <t>Calle 7 1-84, 250001 Chía, Colombia</t>
  </si>
  <si>
    <t>Atracción de talento y Marca Empleadora</t>
  </si>
  <si>
    <t>gabyaguirrecortes@gmail.com</t>
  </si>
  <si>
    <t>Gabriela Aguirre Cortes</t>
  </si>
  <si>
    <t xml:space="preserve"> 319 4972788</t>
  </si>
  <si>
    <t>Carrera 73B 146F-25, 111156 Bogota, D.C., Colombia</t>
  </si>
  <si>
    <t>foreroandres292@gmail.com</t>
  </si>
  <si>
    <t>Andres Fuentes Forero</t>
  </si>
  <si>
    <t xml:space="preserve"> 318 2479065</t>
  </si>
  <si>
    <t>Calle 53 4A-69, 110231 Bogota, D.C., Colombia</t>
  </si>
  <si>
    <t>sarahernandezn.20@gmail.com</t>
  </si>
  <si>
    <t>Sara Sofia Hernandez Neira</t>
  </si>
  <si>
    <t xml:space="preserve"> 313 4649889</t>
  </si>
  <si>
    <t>Carrera 62 165A-69, 111156 Bogota, D.C., Colombia</t>
  </si>
  <si>
    <t>mariacasjau@unisabana.edu.co</t>
  </si>
  <si>
    <t>Maria Alejandra Castro Jauregui</t>
  </si>
  <si>
    <t>Psicología</t>
  </si>
  <si>
    <t>Padre - William Humberto Castro Riaño</t>
  </si>
  <si>
    <t xml:space="preserve"> 322 4018881</t>
  </si>
  <si>
    <t>Carrera 53 141-69, 111156 Bogota, D.C., Colombia</t>
  </si>
  <si>
    <t>c.gomezt2@uniandes.edu.co</t>
  </si>
  <si>
    <t>Catalina Gómez</t>
  </si>
  <si>
    <t>Talento Ventas</t>
  </si>
  <si>
    <t>Calle 70A 7-36, 110231 Bogota, D.C., Colombia</t>
  </si>
  <si>
    <t>marianaroro16@gmail.com</t>
  </si>
  <si>
    <t>Mariana Rojas Rodriguez</t>
  </si>
  <si>
    <t>BOGOTÁ D.C</t>
  </si>
  <si>
    <t>Universidad Piloto de Colombia</t>
  </si>
  <si>
    <t>305 7325384</t>
  </si>
  <si>
    <t>Calle 56A Sur 72C-10, 110741 Bogota, D.C., Colombia</t>
  </si>
  <si>
    <t>gabilievano0120@gmail.com</t>
  </si>
  <si>
    <t>Gabriela Lievano</t>
  </si>
  <si>
    <t>Bogotá, D.C.</t>
  </si>
  <si>
    <t>Los Rosales, Bogota, D.C., Colombia</t>
  </si>
  <si>
    <t>danilocarballo53@gmail.com</t>
  </si>
  <si>
    <t>Danilo Alexander Carballo Jabba</t>
  </si>
  <si>
    <t>Cartagena</t>
  </si>
  <si>
    <t>Universidad de Cartagena</t>
  </si>
  <si>
    <t>Ingeniería de Alimentos</t>
  </si>
  <si>
    <t>Indugral 2</t>
  </si>
  <si>
    <t>Cartagena, Colombia</t>
  </si>
  <si>
    <t>Brewing &amp; Quality Cervecería de Barranquilla</t>
  </si>
  <si>
    <t>johanmiguel.jmgh@gmail.com</t>
  </si>
  <si>
    <t>Johan Miguel Granados Hidalgo</t>
  </si>
  <si>
    <t>Ingeniería Química</t>
  </si>
  <si>
    <t>Elaboración</t>
  </si>
  <si>
    <t>Villa Barraza, Cartagena, Colombia</t>
  </si>
  <si>
    <t>danzapeluffo@gmail.com</t>
  </si>
  <si>
    <t>Mayerlis Peluffo Mendoza</t>
  </si>
  <si>
    <t xml:space="preserve"> 312 6172663</t>
  </si>
  <si>
    <t>Nelson Mandela, Cartagena, Colombia</t>
  </si>
  <si>
    <t>kayrol2810@gmail.com</t>
  </si>
  <si>
    <t>KAROL DE BARROS PADILLA</t>
  </si>
  <si>
    <t>Universidad del Atlántico</t>
  </si>
  <si>
    <t>Calidad</t>
  </si>
  <si>
    <t>Calle 16 13-11, 083021 Malambo, Colombia</t>
  </si>
  <si>
    <t>plbarrios@uninorte.edu.co</t>
  </si>
  <si>
    <t>Liseth Barrios Guzman</t>
  </si>
  <si>
    <t>Universidad del Norte</t>
  </si>
  <si>
    <t xml:space="preserve"> 300 7536860</t>
  </si>
  <si>
    <t>Calle 117 42B, Barranquilla, Colombia</t>
  </si>
  <si>
    <t>mcarolinazapata@mail.uniatlantico.edu.co</t>
  </si>
  <si>
    <t>MARIA CAROLINA ZAPATA ROA</t>
  </si>
  <si>
    <t>Padre - Eduardo Enrique Zapata Ibáñez</t>
  </si>
  <si>
    <t>300 1246603</t>
  </si>
  <si>
    <t>Carrera 13B 55-60, 080011 Barranquilla, Colombia</t>
  </si>
  <si>
    <t>nalvarezmenco1119@gmail.com</t>
  </si>
  <si>
    <t>Nataly Alvarez Menco</t>
  </si>
  <si>
    <t>Barranquilla, Medellin, Colombia</t>
  </si>
  <si>
    <t>sandovalortizlauravalentina@gmail.com</t>
  </si>
  <si>
    <t>LAURA VALENTINA SANDOVAL ORTIZ</t>
  </si>
  <si>
    <t>Envase</t>
  </si>
  <si>
    <t xml:space="preserve"> 324 2183271</t>
  </si>
  <si>
    <t>Calle 11 12-5, 083021 Malambo, Colombia</t>
  </si>
  <si>
    <t>dayafame26@gmail.com</t>
  </si>
  <si>
    <t>Liseth Dayana Fajardo Mejia</t>
  </si>
  <si>
    <t>bogotá</t>
  </si>
  <si>
    <t>universidad de ciencias aplicadas y ambientales (U.D.C.A)</t>
  </si>
  <si>
    <t>Química</t>
  </si>
  <si>
    <t>312 5091792</t>
  </si>
  <si>
    <t>Carrera 111B 142-54, 111141 Bogota, D.C., Colombia</t>
  </si>
  <si>
    <t>Calidad Cervecería de Tocancipá</t>
  </si>
  <si>
    <t>jucamu26@gmail.com</t>
  </si>
  <si>
    <t>Juana Camila Camacho Murcia</t>
  </si>
  <si>
    <t xml:space="preserve"> 324 3928424</t>
  </si>
  <si>
    <t>Diagonal 4B, Zipaquirá, Colombia</t>
  </si>
  <si>
    <t>emmioppen@gmail.com</t>
  </si>
  <si>
    <t>Emily Oppenheim Chiriboga</t>
  </si>
  <si>
    <t>Bogota, D.C., Colombia</t>
  </si>
  <si>
    <t>dachaparrob@unal.edu.co</t>
  </si>
  <si>
    <t>Danna Sofia Chaparro Barrera</t>
  </si>
  <si>
    <t xml:space="preserve"> 310 3244082</t>
  </si>
  <si>
    <t>Calle 159 54-70, 111156 Bogota, D.C., Colombia</t>
  </si>
  <si>
    <t>tatisagui.0318@gmail.com</t>
  </si>
  <si>
    <t>Tatiana Aguilera</t>
  </si>
  <si>
    <t>Ingeniería Ambiental</t>
  </si>
  <si>
    <t xml:space="preserve"> 310 6843734</t>
  </si>
  <si>
    <t>Calle 166 8H-56, 110131 Bogota, D.C., Colombia</t>
  </si>
  <si>
    <t>lauritamich15@gmail.com</t>
  </si>
  <si>
    <t>Laura Michell Ñustes Ortiz</t>
  </si>
  <si>
    <t xml:space="preserve"> 304 4262137</t>
  </si>
  <si>
    <t>Calle 16J 98-79, 110921 Bogota, D.C., Colombia</t>
  </si>
  <si>
    <t>cjjaramillod_3@hotmail.com</t>
  </si>
  <si>
    <t>Leidy Juliana Jaramillo Monroy</t>
  </si>
  <si>
    <t>Tocancipá cundinamarca</t>
  </si>
  <si>
    <t>Universidad de ciencias aplicadas y ambientales</t>
  </si>
  <si>
    <t>316 3164613</t>
  </si>
  <si>
    <t>Carrera 5 O-53, 251010 Tocancipá, Colombia</t>
  </si>
  <si>
    <t>juan.salgado1@utp.edu.co</t>
  </si>
  <si>
    <t>Juan David Salgado Hernandez</t>
  </si>
  <si>
    <t>Dosquebradas</t>
  </si>
  <si>
    <t>Universidad Tecnológica de Pereira</t>
  </si>
  <si>
    <t>Ingeniería de manufactura</t>
  </si>
  <si>
    <t xml:space="preserve"> 301 6260541</t>
  </si>
  <si>
    <t>Carrera 17 8-46, 661001 Dosquebradas, Colombia</t>
  </si>
  <si>
    <t>londonomelissa16@gmail.com</t>
  </si>
  <si>
    <t>Melissa Andrea Londoño Poveda</t>
  </si>
  <si>
    <t>SANTIAGO DE CALI</t>
  </si>
  <si>
    <t>Universidad San Buenaventura</t>
  </si>
  <si>
    <t xml:space="preserve"> 305 3309565</t>
  </si>
  <si>
    <t>Calle 4D 89-36, 760034 Cali, Colombia</t>
  </si>
  <si>
    <t>Calidad Cervecería del Valle</t>
  </si>
  <si>
    <t>linamontenegro1602@gmail.com</t>
  </si>
  <si>
    <t>Lina María Montenegro Arturo</t>
  </si>
  <si>
    <t>Universidad Icesi</t>
  </si>
  <si>
    <t>Ingeniería Bioquímica</t>
  </si>
  <si>
    <t>Indugral 1</t>
  </si>
  <si>
    <t xml:space="preserve"> 321 8059557</t>
  </si>
  <si>
    <t>Carrera 112 44-21, 760030 Cali, Colombia</t>
  </si>
  <si>
    <t>stefaniamolinaamaya28@gmail.com</t>
  </si>
  <si>
    <t>Stefania Molina Amaya</t>
  </si>
  <si>
    <t>Universidad Santiago de Cali</t>
  </si>
  <si>
    <t>Microbiología</t>
  </si>
  <si>
    <t>Calle 18 34-48, 760041 Cali, Colombia</t>
  </si>
  <si>
    <t>dannaso04@gmail.com</t>
  </si>
  <si>
    <t>Danna Sofia Hoyos Jaramillo</t>
  </si>
  <si>
    <t>CALI</t>
  </si>
  <si>
    <t>Carrera 72 45A-14, 760025 Cali, Colombia</t>
  </si>
  <si>
    <t>juan.camilo@correounivalle.edu.co</t>
  </si>
  <si>
    <t>JUAN GUEVARA</t>
  </si>
  <si>
    <t>Universidad del Valle</t>
  </si>
  <si>
    <t xml:space="preserve"> 310 4297075</t>
  </si>
  <si>
    <t>Calle 1A Oeste 67-30, 760035 Cali, Colombia</t>
  </si>
  <si>
    <t>lina.giselle.jaramillo@correounivalle.edu.co</t>
  </si>
  <si>
    <t>LINA GISELLE JARAMILLO ORTIZ</t>
  </si>
  <si>
    <t>Jamundí</t>
  </si>
  <si>
    <t xml:space="preserve"> 320 2205129</t>
  </si>
  <si>
    <t>Calle 6 1A-73, 764001 Jamundí, Colombia</t>
  </si>
  <si>
    <t>Calidad Supply Indugral</t>
  </si>
  <si>
    <t>coraltulcanjuancarlos@gmail.com</t>
  </si>
  <si>
    <t>Juan Coral Tulcan</t>
  </si>
  <si>
    <t>POPAYAN</t>
  </si>
  <si>
    <t>Universidad del Cauca</t>
  </si>
  <si>
    <t>INGENIERIA EN AUTOMATICA INDUSTRIAL</t>
  </si>
  <si>
    <t xml:space="preserve"> 318 4101038</t>
  </si>
  <si>
    <t>Carrera 14-67n, 190003 Popayan, Colombia</t>
  </si>
  <si>
    <t>garcialaurasofia0@gmail.com</t>
  </si>
  <si>
    <t>Laura Sofía Garcia Patiño</t>
  </si>
  <si>
    <t xml:space="preserve"> 322 6378982</t>
  </si>
  <si>
    <t>Carrera 90 4-120, 760034 Cali, Colombia</t>
  </si>
  <si>
    <t>nathalia.caez@correounivalle.edu.co</t>
  </si>
  <si>
    <t>Nathalia Stephanie Caez Daza</t>
  </si>
  <si>
    <t xml:space="preserve"> 300 7487102</t>
  </si>
  <si>
    <t>Carrera 88 4-70, 760034 Cali, Colombia</t>
  </si>
  <si>
    <t>nataliahenao0527@gmail.com</t>
  </si>
  <si>
    <t>Natalia Osorio Henao</t>
  </si>
  <si>
    <t xml:space="preserve"> 300 5568536</t>
  </si>
  <si>
    <t>Carrera 1A5A, Cali, Colombia</t>
  </si>
  <si>
    <t>ocampob2003@gmail.com</t>
  </si>
  <si>
    <t>Brandon Steven Ocampo López</t>
  </si>
  <si>
    <t xml:space="preserve"> 318 5139065</t>
  </si>
  <si>
    <t>Calle 85 22-114, 760021 Cali, Colombia</t>
  </si>
  <si>
    <t>cami188ortiz@gmail.com</t>
  </si>
  <si>
    <t>PAULA CAMILA ORTIZ GALINDEZ</t>
  </si>
  <si>
    <t xml:space="preserve"> 317 1662760</t>
  </si>
  <si>
    <t>Carrera 38A 17-59, 760041 Cali, Colombia</t>
  </si>
  <si>
    <t>alejandraparracard@gmail.com</t>
  </si>
  <si>
    <t>María Alejandra Parra Cárdenas</t>
  </si>
  <si>
    <t>Canal Moderno</t>
  </si>
  <si>
    <t xml:space="preserve"> 321 9095151</t>
  </si>
  <si>
    <t>Calle 66C 61-1, 111221 Bogota, D.C., Colombia</t>
  </si>
  <si>
    <t>Canal moderno (KA)</t>
  </si>
  <si>
    <t>ignacio.vega.gouffray@gmail.com</t>
  </si>
  <si>
    <t>Hernando Ignacio Vega Gouffray</t>
  </si>
  <si>
    <t xml:space="preserve"> 316 6197879</t>
  </si>
  <si>
    <t>Edificio Palo Alto, 110221 Bogota, D.C., Colombia</t>
  </si>
  <si>
    <t>danigalan1805@gmail.com</t>
  </si>
  <si>
    <t>Daniela Galán Muñoz</t>
  </si>
  <si>
    <t>Universidad de Boyacá</t>
  </si>
  <si>
    <t xml:space="preserve"> 322 9448422</t>
  </si>
  <si>
    <t>Paipa, Colombia</t>
  </si>
  <si>
    <t>valeriarojasmora2@gmail.com</t>
  </si>
  <si>
    <t>Valeria Rojas Mora</t>
  </si>
  <si>
    <t xml:space="preserve"> 322 2237039</t>
  </si>
  <si>
    <t>Calle 151B 102B-90, 111161 Bogota, D.C., Colombia</t>
  </si>
  <si>
    <t>erikacure12@gmail.com</t>
  </si>
  <si>
    <t>Erika Cure</t>
  </si>
  <si>
    <t>Colegio de Estudios Superiores de Administración CESA</t>
  </si>
  <si>
    <t xml:space="preserve"> 321 7794626</t>
  </si>
  <si>
    <t>Calle 72A 0-54, 110221 Bogota, D.C., Colombia</t>
  </si>
  <si>
    <t>natalia.lizarazo.lopez@gmail.com</t>
  </si>
  <si>
    <t>Natalia Lizarazo</t>
  </si>
  <si>
    <t>Escuela Colombiana de Ingeniería Julio Garavito</t>
  </si>
  <si>
    <t>Calle 75A 76-58, 111051 Bogota, D.C., Colombia</t>
  </si>
  <si>
    <t>douglas.plazasg@gmail.com</t>
  </si>
  <si>
    <t>Douglas Plazas Guzman</t>
  </si>
  <si>
    <t>310 4683903</t>
  </si>
  <si>
    <t>isabellaforero0210@outlook.com</t>
  </si>
  <si>
    <t>Isabella Forero</t>
  </si>
  <si>
    <t xml:space="preserve"> 304 4266492</t>
  </si>
  <si>
    <t>Calle 114A 19A-67, 110111 Bogota, D.C., Colombia</t>
  </si>
  <si>
    <t>daniel.felipe.ladino@gmail.com</t>
  </si>
  <si>
    <t>Daniel Felipe Ladino Torres</t>
  </si>
  <si>
    <t>Carrera 74A 168A-50, 111156 Bogota, D.C., Colombia</t>
  </si>
  <si>
    <t>cataochoad300@gmail.com</t>
  </si>
  <si>
    <t>Catalina Ochoa Dueñas</t>
  </si>
  <si>
    <t xml:space="preserve"> 322 2444642</t>
  </si>
  <si>
    <t>Calle 45-16, 111321 Bogota, D.C., Colombia</t>
  </si>
  <si>
    <t>brayanjaramillo_05@hotmail.com</t>
  </si>
  <si>
    <t>BRAYAN STEVEN JARAMILLO MORENO</t>
  </si>
  <si>
    <t>RICAURTE CUNDINAMARCA</t>
  </si>
  <si>
    <t>Corporación Universitaria Minuto de Dios (UNIMINUTO)</t>
  </si>
  <si>
    <t>Ricaurte, Colombia</t>
  </si>
  <si>
    <t>karengonzalezk158@gmail.com</t>
  </si>
  <si>
    <t>Karen Sofia Gonzalez Sanchez</t>
  </si>
  <si>
    <t>Bogotá D.C.</t>
  </si>
  <si>
    <t>Carrera 73J 58A S-24, 111921 Bogota, D.C., Colombia</t>
  </si>
  <si>
    <t>juanita.morenov@urosario.edu.co</t>
  </si>
  <si>
    <t>Juanita Moreno Vargas</t>
  </si>
  <si>
    <t>301 6701913</t>
  </si>
  <si>
    <t>Calle 74 BIS 82-61, 111051 Bogota, D.C., Colombia</t>
  </si>
  <si>
    <t>sofiaararat2@gmail.com</t>
  </si>
  <si>
    <t>Ana Sofía Ararat Corzo</t>
  </si>
  <si>
    <t>Bogotá D.C</t>
  </si>
  <si>
    <t>Universidad Santo Tomás</t>
  </si>
  <si>
    <t xml:space="preserve"> 318 3068387</t>
  </si>
  <si>
    <t>Calle 56 57A-14, 111321 Bogota, D.C., Colombia</t>
  </si>
  <si>
    <t>marialzateballesteros123@gmail.com</t>
  </si>
  <si>
    <t>MARIA ANGELICA ALZATE BALLESTEROS</t>
  </si>
  <si>
    <t>Universidad de La Guajira</t>
  </si>
  <si>
    <t>Calle 14 6-50, 440001 Riohacha, Colombia</t>
  </si>
  <si>
    <t>valemontes2004@outlook.es</t>
  </si>
  <si>
    <t>Nicol Valentina Montes Arcila</t>
  </si>
  <si>
    <t xml:space="preserve"> 321 4013423</t>
  </si>
  <si>
    <t>Avenida Calle 26 70-46, 111071 Bogota, D.C., Colombia</t>
  </si>
  <si>
    <t>sofsuarez26@gmail.com</t>
  </si>
  <si>
    <t>Sofia Suarez Martinez</t>
  </si>
  <si>
    <t xml:space="preserve"> 310 7078253</t>
  </si>
  <si>
    <t>Carrera 10B 134A-53, 110121 Bogota, D.C., Colombia</t>
  </si>
  <si>
    <t>miguelcaza24@gmail.com</t>
  </si>
  <si>
    <t>Miguel Ángel Casas Zárate</t>
  </si>
  <si>
    <t xml:space="preserve"> 300 1653749</t>
  </si>
  <si>
    <t>Calle 71A Sur 81-20, 110731 Bogota, D.C., Colombia</t>
  </si>
  <si>
    <t>mariajulianarodriguez2003@gmail.com</t>
  </si>
  <si>
    <t>María Juliana Rodríguez Álvarez</t>
  </si>
  <si>
    <t>Narrativas Digitales y Ciencia Politica</t>
  </si>
  <si>
    <t xml:space="preserve"> 301 4372540</t>
  </si>
  <si>
    <t>Carrera 71, Bogota, D.C., Colombia</t>
  </si>
  <si>
    <t>laurav0193@gmail.com</t>
  </si>
  <si>
    <t>Laura Valentina Franco Segura</t>
  </si>
  <si>
    <t>Comunicación social</t>
  </si>
  <si>
    <t xml:space="preserve"> 322 2350694</t>
  </si>
  <si>
    <t>Carrera 55 152B-68, 111156 Bogota, D.C., Colombia</t>
  </si>
  <si>
    <t>arianasofiagomez19@gmail.com</t>
  </si>
  <si>
    <t>Ariana Gómez Pinzón</t>
  </si>
  <si>
    <t>Publicidad</t>
  </si>
  <si>
    <t>Carrera 10D 27A S-41, 111821 Bogota, D.C., Colombia</t>
  </si>
  <si>
    <t>isabellarojasdada05@gmail.com</t>
  </si>
  <si>
    <t>Isabella Rojas Dada</t>
  </si>
  <si>
    <t>TikTok</t>
  </si>
  <si>
    <t>leidysanaven@gmail.com</t>
  </si>
  <si>
    <t>Leidy Sánchez Avendaño</t>
  </si>
  <si>
    <t>Politécnico Grancolombiano</t>
  </si>
  <si>
    <t xml:space="preserve"> 311 2686111</t>
  </si>
  <si>
    <t>Calle 64A 57-23, 111221 Bogota, D.C., Colombia</t>
  </si>
  <si>
    <t>luisacarreno3012@gmail.com</t>
  </si>
  <si>
    <t>Luisa Yuliana Carreño Pérez</t>
  </si>
  <si>
    <t>Boyacá</t>
  </si>
  <si>
    <t>Universidad Industrial de Santander</t>
  </si>
  <si>
    <t>320 8367712</t>
  </si>
  <si>
    <t>Carrera 23 9-5, 680001 Bucaramanga, Colombia</t>
  </si>
  <si>
    <t>Elaboración Boyacá Cervecería de Boyacá</t>
  </si>
  <si>
    <t>ortizeliana2004@gmail.com</t>
  </si>
  <si>
    <t>Karen Eliana Ortiz Caicedo</t>
  </si>
  <si>
    <t>Calle 11 23-49, 680001 Bucaramanga, Colombia</t>
  </si>
  <si>
    <t>lorensofi2010@hotmail.com</t>
  </si>
  <si>
    <t>Loren Daniela Duarte Colmenares</t>
  </si>
  <si>
    <t>UNAD Universidad Nacional Abierta y a Distancia</t>
  </si>
  <si>
    <t xml:space="preserve"> 321 7866399</t>
  </si>
  <si>
    <t>Calle 13 34-13, 150462 Duitama, Colombia</t>
  </si>
  <si>
    <t>astridfajardovargas@gmail.com</t>
  </si>
  <si>
    <t>Astrid Juliana Fajardo Vargas</t>
  </si>
  <si>
    <t>DUITAMA</t>
  </si>
  <si>
    <t>Universidad Pedagógica y Tecnológica de Colombia</t>
  </si>
  <si>
    <t>Hermano - Andres Felipe Fajardo Vargas</t>
  </si>
  <si>
    <t>311 8242698</t>
  </si>
  <si>
    <t>Carrera 26 25-25, 150462 Duitama, Colombia</t>
  </si>
  <si>
    <t>chalounferp@gmail.com</t>
  </si>
  <si>
    <t>Chaloun Fernanda Pachón García</t>
  </si>
  <si>
    <t xml:space="preserve"> 317 4197224</t>
  </si>
  <si>
    <t>Calle 9A 25-34, 680002 Bucaramanga, Colombia</t>
  </si>
  <si>
    <t>paurobayo11@gmail.com</t>
  </si>
  <si>
    <t>Paula Daniela Robayo Rozo</t>
  </si>
  <si>
    <t>COGUA</t>
  </si>
  <si>
    <t>Vereda Rodamontal, Cogua, Colombia</t>
  </si>
  <si>
    <t>ladinomariana26@gmail.com</t>
  </si>
  <si>
    <t>Mariana Lucia Ladino Melo</t>
  </si>
  <si>
    <t>Cajica</t>
  </si>
  <si>
    <t xml:space="preserve"> 300 4381621</t>
  </si>
  <si>
    <t>Carrera 2 Este 1A-27, 250240 Cajicá, Colombia</t>
  </si>
  <si>
    <t>cristianacevedo217@gmail.com</t>
  </si>
  <si>
    <t>CRISTIAN CAMILO ACEVEDO QUINTERO</t>
  </si>
  <si>
    <t>universidad ean</t>
  </si>
  <si>
    <t>ingenieria mecatronica</t>
  </si>
  <si>
    <t xml:space="preserve"> 315 6904793</t>
  </si>
  <si>
    <t>Carrera 17 51-90, 111311 Bogota, D.C., Colombia</t>
  </si>
  <si>
    <t>juanfrancosalas1401@gmail.com</t>
  </si>
  <si>
    <t>Juan Sebastián Franco Salas</t>
  </si>
  <si>
    <t>Calle 2A 94-44, 760034 Cali, Colombia</t>
  </si>
  <si>
    <t>Elaboración Cervecería del Valle</t>
  </si>
  <si>
    <t>mariajoseav52@gmail.com</t>
  </si>
  <si>
    <t>Maria Jose Calambas Casamachin</t>
  </si>
  <si>
    <t>TULUA</t>
  </si>
  <si>
    <t xml:space="preserve"> 310 4233492</t>
  </si>
  <si>
    <t>Calle 39 25-33, 763022 Tuluá, Colombia</t>
  </si>
  <si>
    <t>montenegro.lizeth@correounivalle.edu.co</t>
  </si>
  <si>
    <t>LIZETH MAYERLI MONTENEGRO RESTREPO</t>
  </si>
  <si>
    <t xml:space="preserve"> 318 8018223</t>
  </si>
  <si>
    <t>Calle 72L3 28D3-30, 760022 Cali, Colombia</t>
  </si>
  <si>
    <t>sarahlizethpizaprada@gmail.com</t>
  </si>
  <si>
    <t>Sarah Piza Prada</t>
  </si>
  <si>
    <t>Padre - Rafael Enrique Piza Hurtado</t>
  </si>
  <si>
    <t xml:space="preserve"> 321 2048843</t>
  </si>
  <si>
    <t>Carrera 1D2 52-77, 760004 Cali, Colombia</t>
  </si>
  <si>
    <t>salinas.daniel1206@gmail.com</t>
  </si>
  <si>
    <t>Daniel Stiven Salinas Castillo</t>
  </si>
  <si>
    <t>Tecnología en electrónica industrial</t>
  </si>
  <si>
    <t xml:space="preserve"> 320 7618708</t>
  </si>
  <si>
    <t>Calle 7 18A-110, 760502 Yumbo, Colombia</t>
  </si>
  <si>
    <t>mariajoquendoch@gmail.com</t>
  </si>
  <si>
    <t>Maria José Oquendo Chavarría</t>
  </si>
  <si>
    <t>Ingeniería Biológica</t>
  </si>
  <si>
    <t xml:space="preserve"> 300 4788939</t>
  </si>
  <si>
    <t>Carrera 13 55-206, 050014 Medellin, Colombia</t>
  </si>
  <si>
    <t>an20-13@hotmail.com</t>
  </si>
  <si>
    <t>Ana Jiménez</t>
  </si>
  <si>
    <t>Corporación Universidad de la costa (Cuc)</t>
  </si>
  <si>
    <t>Calle 41 17-35, 080006 Barranquilla, Colombia</t>
  </si>
  <si>
    <t>Envase Cervecería de Barranquilla</t>
  </si>
  <si>
    <t>zuniga.angel0802@gmail.com</t>
  </si>
  <si>
    <t>Angel Zuñiga Robles</t>
  </si>
  <si>
    <t>Ingeniería Mecánica</t>
  </si>
  <si>
    <t xml:space="preserve"> 300 2916918</t>
  </si>
  <si>
    <t>Calle 68 26D-33, 080016 Barranquilla, Colombia</t>
  </si>
  <si>
    <t>valegrondonag@hotmail.com</t>
  </si>
  <si>
    <t>Valentina Grondona Gutierrez</t>
  </si>
  <si>
    <t>Soledad</t>
  </si>
  <si>
    <t>Universidad Autónoma del Caribe</t>
  </si>
  <si>
    <t xml:space="preserve"> 302 8689279</t>
  </si>
  <si>
    <t>Carrera 32A 59-45, 083001 Soledad, Colombia</t>
  </si>
  <si>
    <t>matemarinm@gmail.com</t>
  </si>
  <si>
    <t>Mateo Marin</t>
  </si>
  <si>
    <t>Carrera 65 85, Barranquilla, Colombia</t>
  </si>
  <si>
    <t>carlosada567@gmail.com</t>
  </si>
  <si>
    <t>Carlos Andres De Avila Espinosa</t>
  </si>
  <si>
    <t>SOLEDAD</t>
  </si>
  <si>
    <t xml:space="preserve"> 302 8476293</t>
  </si>
  <si>
    <t>Calle 47 23-73, 080012 Barranquilla, Colombia</t>
  </si>
  <si>
    <t>keitlynpino3@gmail.com</t>
  </si>
  <si>
    <t>Keitlyn Pino Cano</t>
  </si>
  <si>
    <t>Universidad autonoma del caribe</t>
  </si>
  <si>
    <t xml:space="preserve"> 300 3916646</t>
  </si>
  <si>
    <t>Carrera 41G 47-18, 083001 Soledad, Colombia</t>
  </si>
  <si>
    <t>stefanyoporto@gmail.com</t>
  </si>
  <si>
    <t>Stefany Oporto Alvarez</t>
  </si>
  <si>
    <t>Calle 74A 67-19, 080001 Barranquilla, Colombia</t>
  </si>
  <si>
    <t>albajulianaquiroz@gmail.com</t>
  </si>
  <si>
    <t>Alba Juliana Quiroz Ospina</t>
  </si>
  <si>
    <t>Otro</t>
  </si>
  <si>
    <t>Ingeniería Electrónica</t>
  </si>
  <si>
    <t xml:space="preserve"> 314 3636163</t>
  </si>
  <si>
    <t>Carrera 50 84-16, 080020 Barranquilla, Colombia</t>
  </si>
  <si>
    <t>samuelcollazos1709@gmail.com</t>
  </si>
  <si>
    <t>Samuel David Collazos Herrera</t>
  </si>
  <si>
    <t xml:space="preserve"> 304 5286582</t>
  </si>
  <si>
    <t>Calle 74-2 70-43, 080001 Barranquilla, Colombia</t>
  </si>
  <si>
    <t>a.f.herrera2003@gmail.com</t>
  </si>
  <si>
    <t>Andrés Felipe Herrera Velasco</t>
  </si>
  <si>
    <t>304 6145800</t>
  </si>
  <si>
    <t>Carrera 125B 16A, Cali, Colombia</t>
  </si>
  <si>
    <t>Envase Cervecería del Valle</t>
  </si>
  <si>
    <t>santiago.tamayo3103@gmail.com</t>
  </si>
  <si>
    <t>Santiago Tamayo Quevedo</t>
  </si>
  <si>
    <t>Universidad ICESI</t>
  </si>
  <si>
    <t xml:space="preserve"> 315 8084417</t>
  </si>
  <si>
    <t>Cali, Colombia</t>
  </si>
  <si>
    <t>ramirez.alvaro@correounivalle.edu.co</t>
  </si>
  <si>
    <t>ALVARO ANDRES RAMIREZ QUINTERO</t>
  </si>
  <si>
    <t>Cali-Valle del cauca</t>
  </si>
  <si>
    <t>anamperez@unicauca.edu.co</t>
  </si>
  <si>
    <t>Ana María Perez Figueroa</t>
  </si>
  <si>
    <t>Popayán</t>
  </si>
  <si>
    <t>Ingeniería de Producción</t>
  </si>
  <si>
    <t>Carrera 38, Popayan, Colombia</t>
  </si>
  <si>
    <t>alejandrodiaznieva@gmail.com</t>
  </si>
  <si>
    <t>Alejandro Diaz Nieva</t>
  </si>
  <si>
    <t>Calle 15B 23A-5, 760042 Cali, Colombia</t>
  </si>
  <si>
    <t>Envase Supply Indugral</t>
  </si>
  <si>
    <t>catehortua310@gmail.com</t>
  </si>
  <si>
    <t>Catalina Atehortua Zuluaga</t>
  </si>
  <si>
    <t xml:space="preserve"> 323 3317100</t>
  </si>
  <si>
    <t>Carrera 43 11A-27, 760041 Cali, Colombia</t>
  </si>
  <si>
    <t>cristiangonzalez842737@gmail.com</t>
  </si>
  <si>
    <t>Cristian Alexis Gonzalez Gutiérrez</t>
  </si>
  <si>
    <t xml:space="preserve"> 320 8753642</t>
  </si>
  <si>
    <t>Pomona, Popayan, Colombia</t>
  </si>
  <si>
    <t>danilocuai12@gmail.com</t>
  </si>
  <si>
    <t>Oscar Danilo Colimba Cuaical</t>
  </si>
  <si>
    <t>dariojbq27@gmail.com</t>
  </si>
  <si>
    <t>Janer Darío Bolaños Quiñones</t>
  </si>
  <si>
    <t xml:space="preserve"> 320 5293145</t>
  </si>
  <si>
    <t>Carrera 2C BIS 78-23, 760006 Cali, Colombia</t>
  </si>
  <si>
    <t>guascawilson797@gmail.com</t>
  </si>
  <si>
    <t>Antonio Guasca</t>
  </si>
  <si>
    <t xml:space="preserve"> 314 8443067</t>
  </si>
  <si>
    <t>Vereda Julimito, Popayan, Colombia</t>
  </si>
  <si>
    <t>miguelsalazar1105@gmail.com</t>
  </si>
  <si>
    <t>Miguel Angel Salazar Ramirez</t>
  </si>
  <si>
    <t xml:space="preserve"> 314 5015242</t>
  </si>
  <si>
    <t>Calle 42 29-9, 680002 Bucaramanga, Colombia</t>
  </si>
  <si>
    <t>diego.felipe.arcos@correounivalle.edu.co</t>
  </si>
  <si>
    <t>DIEGO FELIPE ARCOS MARIN</t>
  </si>
  <si>
    <t>JAMUNDI</t>
  </si>
  <si>
    <t>Jamundí, Colombia</t>
  </si>
  <si>
    <t>I&amp;S  Cervecería del Valle</t>
  </si>
  <si>
    <t>karen.lagarejo9@gmail.com</t>
  </si>
  <si>
    <t>Karen Daniela Lagarejo Aguilar</t>
  </si>
  <si>
    <t>UNIVERSIDAD SANTIAGO DE CALI</t>
  </si>
  <si>
    <t xml:space="preserve"> 312 8724546</t>
  </si>
  <si>
    <t>Calle 54B 32A-58, 760023 Cali, Colombia</t>
  </si>
  <si>
    <t>sebasbuslo@hotmail.com</t>
  </si>
  <si>
    <t>Sebastian Bustamante López</t>
  </si>
  <si>
    <t>PALMIRA</t>
  </si>
  <si>
    <t>Universidad Autónoma de Occidente</t>
  </si>
  <si>
    <t>Ingeniería de Software</t>
  </si>
  <si>
    <t>Carrera 38 101-21, 763537 Palmira, Colombia</t>
  </si>
  <si>
    <t>castillophanor40@gmail.com</t>
  </si>
  <si>
    <t>Phanor Castillo</t>
  </si>
  <si>
    <t>Ingeniería de Sistemas</t>
  </si>
  <si>
    <t>Calle 43 109-83, 760030 Cali, Colombia</t>
  </si>
  <si>
    <t>pbernal309@gmail.com</t>
  </si>
  <si>
    <t>Pedro Bernal Londoño</t>
  </si>
  <si>
    <t>Carrera 12 22A, Calima, Colombia</t>
  </si>
  <si>
    <t>ercavego@gmail.com</t>
  </si>
  <si>
    <t>Ernesto Carlos Vega Gómez</t>
  </si>
  <si>
    <t>CARTAGENA</t>
  </si>
  <si>
    <t>Universidad Tecnológica de Bolívar</t>
  </si>
  <si>
    <t xml:space="preserve"> 320 7461252</t>
  </si>
  <si>
    <t>Carrera 1A 71-99, 130002 Cartagena, Colombia</t>
  </si>
  <si>
    <t>I&amp;S Cervecería de Barranquilla</t>
  </si>
  <si>
    <t>jnunezleguia@gmail.com</t>
  </si>
  <si>
    <t>Juan David Nuñez Leguía</t>
  </si>
  <si>
    <t>Universidad Simón Bolívar</t>
  </si>
  <si>
    <t xml:space="preserve"> 300 6727521</t>
  </si>
  <si>
    <t>Calle 66A 3A, Soledad, Colombia</t>
  </si>
  <si>
    <t>danneramaya123@gmail.com</t>
  </si>
  <si>
    <t>Danner Manuel Amaya Padilla</t>
  </si>
  <si>
    <t>Malambo</t>
  </si>
  <si>
    <t>Universidad autónoma del Caribe</t>
  </si>
  <si>
    <t xml:space="preserve"> 305 4414452</t>
  </si>
  <si>
    <t>Carrera 10A1, Malambo, Colombia</t>
  </si>
  <si>
    <t>mmanjarres2103@gmail.com</t>
  </si>
  <si>
    <t>Mariantonia Manjarres Garcia</t>
  </si>
  <si>
    <t xml:space="preserve"> 350 3703324</t>
  </si>
  <si>
    <t>Carrera 57 90-73, 080001 Barranquilla, Colombia</t>
  </si>
  <si>
    <t>mnub886@gmail.com</t>
  </si>
  <si>
    <t>Emanuel Barranco Reales</t>
  </si>
  <si>
    <t>Universidad Libre</t>
  </si>
  <si>
    <t>Calle 70B 27-85, 080016 Barranquilla, Colombia</t>
  </si>
  <si>
    <t>djaaron@uninorte.edu.co</t>
  </si>
  <si>
    <t>Joel Zapata Aaron</t>
  </si>
  <si>
    <t xml:space="preserve"> 304 5729929</t>
  </si>
  <si>
    <t>Calle 96 71-165, 080001 Barranquilla, Colombia</t>
  </si>
  <si>
    <t>linamarcelarojas2003@gmail.com</t>
  </si>
  <si>
    <t>Lina Marcela Rojas Castro</t>
  </si>
  <si>
    <t xml:space="preserve"> 319 6517955</t>
  </si>
  <si>
    <t>Carrera 10B 49F S-48, 111831 Bogota, D.C., Colombia</t>
  </si>
  <si>
    <t>I&amp;S Cervecería de Tocancipá</t>
  </si>
  <si>
    <t>thomasdavidaguilarmesa@gmail.com</t>
  </si>
  <si>
    <t>Thomas david Aguilar mesa</t>
  </si>
  <si>
    <t>Vía Cota-Chía, Cota, Colombia</t>
  </si>
  <si>
    <t>danichamar2015@gmail.com</t>
  </si>
  <si>
    <t>Daniel Andres Chavez Martinez</t>
  </si>
  <si>
    <t>ZIPAQUIRA</t>
  </si>
  <si>
    <t>Ingeniería Eléctrica</t>
  </si>
  <si>
    <t xml:space="preserve"> 310 2167568</t>
  </si>
  <si>
    <t>Calle 24 17-64, 250251 Zipaquirá, Colombia</t>
  </si>
  <si>
    <t>mateo.vasqueze9@gmail.com</t>
  </si>
  <si>
    <t>Mateo Vasquez Escobar</t>
  </si>
  <si>
    <t xml:space="preserve"> 313 3207767</t>
  </si>
  <si>
    <t>Siberia, Cota, Colombia</t>
  </si>
  <si>
    <t>gabrielacorteslmve@gmail.com</t>
  </si>
  <si>
    <t>Gabriela Cortes Urrego</t>
  </si>
  <si>
    <t>Carrera 69D 1 S-51, 110831 Bogota, D.C., Colombia</t>
  </si>
  <si>
    <t>pipecorreanegro@gmail.com</t>
  </si>
  <si>
    <t>Andres Correa</t>
  </si>
  <si>
    <t>BOGOTÁ DC</t>
  </si>
  <si>
    <t>Calle 23C, Bogota, D.C., Colombia</t>
  </si>
  <si>
    <t>linapaolaparralobo15@gmail.com</t>
  </si>
  <si>
    <t>Lina Paola Parra Lobo</t>
  </si>
  <si>
    <t>Universidad Jorge Tadeo Lozano</t>
  </si>
  <si>
    <t>Comercio Internacional</t>
  </si>
  <si>
    <t xml:space="preserve"> 313 3998174</t>
  </si>
  <si>
    <t>Calle 147C 99-80, 111161 Bogota, D.C., Colombia</t>
  </si>
  <si>
    <t>tomas101220sandovalr@gmail.com</t>
  </si>
  <si>
    <t>Tomás Felipe Sandoval Rojas</t>
  </si>
  <si>
    <t xml:space="preserve"> 315 6071565</t>
  </si>
  <si>
    <t>110141 Bogota, D.C., Colombia</t>
  </si>
  <si>
    <t>juandiperezcris@hotmail.com</t>
  </si>
  <si>
    <t>Juan Diego Perez Cristancho</t>
  </si>
  <si>
    <t xml:space="preserve"> 311 2459346</t>
  </si>
  <si>
    <t>Calle 128A 57C-4, 111111 Bogota, D.C., Colombia</t>
  </si>
  <si>
    <t>wilsiton16ruiz@gmail.com</t>
  </si>
  <si>
    <t>Wilson Andrés Ruiz Bohórquez</t>
  </si>
  <si>
    <t>Carrera 48 150A-31, 111156 Bogota, D.C., Colombia</t>
  </si>
  <si>
    <t>sharitvargas@usantotomas.edu.co</t>
  </si>
  <si>
    <t>Tatiana Vargas Lara</t>
  </si>
  <si>
    <t>313 8429527</t>
  </si>
  <si>
    <t>Calle 133 151A-84, 111151 Bogota, D.C., Colombia</t>
  </si>
  <si>
    <t>isabellasanin2003@gmail.com</t>
  </si>
  <si>
    <t>Isabella Sanin Osorio</t>
  </si>
  <si>
    <t>Calle 163 72-61, 111156 Bogota, D.C., Colombia</t>
  </si>
  <si>
    <t>manulopera2013@gmail.com</t>
  </si>
  <si>
    <t>Manuela Lopera Monsalve</t>
  </si>
  <si>
    <t xml:space="preserve"> 321 6544399</t>
  </si>
  <si>
    <t>Calle 25B 58DD-103, 051052 Bello, Colombia</t>
  </si>
  <si>
    <t>mbedoya87@unilasallista.edu.co</t>
  </si>
  <si>
    <t>María Fernanda Bedoya Escobar</t>
  </si>
  <si>
    <t>Corporación Universitaria  Lasallista</t>
  </si>
  <si>
    <t xml:space="preserve"> 321 8212815</t>
  </si>
  <si>
    <t>Diagonal 53 125 S-33, 055440 Caldas, Colombia</t>
  </si>
  <si>
    <t>jjzv2004@gmail.com</t>
  </si>
  <si>
    <t>Juan José Zapata</t>
  </si>
  <si>
    <t xml:space="preserve"> 321 5798177</t>
  </si>
  <si>
    <t>Calle 4 18-251, 050022 Medellin, Colombia</t>
  </si>
  <si>
    <t>sofipeh.est@gmail.com</t>
  </si>
  <si>
    <t>Sofia Peña Hernández</t>
  </si>
  <si>
    <t xml:space="preserve"> 320 3103680</t>
  </si>
  <si>
    <t>Carrera 10 124-19, 110111 Bogota, D.C., Colombia</t>
  </si>
  <si>
    <t>anbernala@unal.edu.co</t>
  </si>
  <si>
    <t>Ana Sofía Bernal Arango</t>
  </si>
  <si>
    <t xml:space="preserve"> 321 4233785</t>
  </si>
  <si>
    <t>Carrera 72 BIS 25B-50, 110931 Bogota, D.C., Colombia</t>
  </si>
  <si>
    <t>federicosflorez@gmail.com</t>
  </si>
  <si>
    <t>Federico Soto Flórez</t>
  </si>
  <si>
    <t xml:space="preserve"> 315 3084237</t>
  </si>
  <si>
    <t>Carrera 11D 120-15, 110111 Bogota, D.C., Colombia</t>
  </si>
  <si>
    <t>alcorrodaniela@gmail.com</t>
  </si>
  <si>
    <t>Daniela Alexandra Alcorro Ramírez</t>
  </si>
  <si>
    <t xml:space="preserve"> 315 4665567</t>
  </si>
  <si>
    <t>Calle 12C 71C-30, 110831 Bogota, D.C., Colombia</t>
  </si>
  <si>
    <t>davida.ospitian@utadeo.edu.co</t>
  </si>
  <si>
    <t>David Alejandro Ospitia Novoa</t>
  </si>
  <si>
    <t>Calle 5A 71G-30, 110831 Bogota, D.C., Colombia</t>
  </si>
  <si>
    <t>andresrodriguezpracticas@gmail.com</t>
  </si>
  <si>
    <t>Andres Gerardo Rodriguez Martinez</t>
  </si>
  <si>
    <t>Bogotá, Bogotá D.C., Colombia</t>
  </si>
  <si>
    <t xml:space="preserve"> 350 8504117</t>
  </si>
  <si>
    <t>Avenida Calle 63 45-33, 111321 Bogota, D.C., Colombia</t>
  </si>
  <si>
    <t>laurav.copetet@utadeo.edu.co</t>
  </si>
  <si>
    <t>Laura Valentina Copete Tinjaca</t>
  </si>
  <si>
    <t>Calle 152B-26, 111156 Bogota, D.C., Colombia</t>
  </si>
  <si>
    <t>benjicamacho2003@gmail.com</t>
  </si>
  <si>
    <t>Benjamín Camacho Angel</t>
  </si>
  <si>
    <t xml:space="preserve"> 315 3327189</t>
  </si>
  <si>
    <t>Calle 121 3A-20, 110111 Bogota, D.C., Colombia</t>
  </si>
  <si>
    <t>mssilva@unbosque.edu.co</t>
  </si>
  <si>
    <t>Maria Sofia Silva Vargas</t>
  </si>
  <si>
    <t xml:space="preserve"> 320 2851472</t>
  </si>
  <si>
    <t>Calle 87 96-51, 111011 Bogota, D.C., Colombia</t>
  </si>
  <si>
    <t>MKT Core brands</t>
  </si>
  <si>
    <t>paula.14.villanueva@gmail.com</t>
  </si>
  <si>
    <t>Paula Andrea Villanueva Beleño</t>
  </si>
  <si>
    <t xml:space="preserve"> 311 2327835</t>
  </si>
  <si>
    <t>Carrera 43A 59B S-67, 111911 Bogota, D.C., Colombia</t>
  </si>
  <si>
    <t>melisacesaray123@gmail.com</t>
  </si>
  <si>
    <t>Saray Cabrera Henríquez</t>
  </si>
  <si>
    <t>302 3978224</t>
  </si>
  <si>
    <t>Carrera 28 63B-37, 080012 Barranquilla, Colombia</t>
  </si>
  <si>
    <t>luisavapa@unisabana.edu.co</t>
  </si>
  <si>
    <t>Luisa Valencia</t>
  </si>
  <si>
    <t xml:space="preserve"> 322 8919762</t>
  </si>
  <si>
    <t>Carrera 112A 70A, Bogota, D.C., Colombia</t>
  </si>
  <si>
    <t>paola.lozadae@gmail.com</t>
  </si>
  <si>
    <t>Paola Lozada Estrella</t>
  </si>
  <si>
    <t>Diseño Gráfico</t>
  </si>
  <si>
    <t xml:space="preserve"> 313 2540752</t>
  </si>
  <si>
    <t>Calle 20-26, 110311 Bogota, D.C., Colombia</t>
  </si>
  <si>
    <t>paulacamilasancheztalero@gmail.com</t>
  </si>
  <si>
    <t>Paula Camila Sánchez Talero</t>
  </si>
  <si>
    <t>Carrera 100A 141-25, 111131 Bogota, D.C., Colombia</t>
  </si>
  <si>
    <t>anamariagranada0@gmail.com</t>
  </si>
  <si>
    <t>Ana Maria Granada Rincon</t>
  </si>
  <si>
    <t>316 6382624</t>
  </si>
  <si>
    <t>Avenida Calle 138 58-35, 111111 Bogota, D.C., Colombia</t>
  </si>
  <si>
    <t>m.cardenasm2@uniandes.edu.co</t>
  </si>
  <si>
    <t>Mariana Millán</t>
  </si>
  <si>
    <t xml:space="preserve"> 300 4247308</t>
  </si>
  <si>
    <t>Carrera 21 128D-50, 110121 Bogota, D.C., Colombia</t>
  </si>
  <si>
    <t>mariadelmarhenaos@gmail.com</t>
  </si>
  <si>
    <t>María del Mar Henao Sánchez</t>
  </si>
  <si>
    <t xml:space="preserve"> 316 2331982</t>
  </si>
  <si>
    <t>Carrera 57 148-15, 111156 Bogota, D.C., Colombia</t>
  </si>
  <si>
    <t>juanandreslopez777@gmail.com</t>
  </si>
  <si>
    <t>Juan Andrés López Escalante</t>
  </si>
  <si>
    <t xml:space="preserve"> 318 6537732</t>
  </si>
  <si>
    <t>Carrera 17 173-52, 110141 Bogota, D.C., Colombia</t>
  </si>
  <si>
    <t>MKT High end</t>
  </si>
  <si>
    <t>crisdaduarteri@gmail.com</t>
  </si>
  <si>
    <t>Cristian David Duarte Rios</t>
  </si>
  <si>
    <t xml:space="preserve"> 322 4654910</t>
  </si>
  <si>
    <t>Carrera 89 17B-57, 110921 Bogota, D.C., Colombia</t>
  </si>
  <si>
    <t>miguelangeldemoyagomez2004@gmail.com</t>
  </si>
  <si>
    <t>Miguel Ángel De Moya Gómez</t>
  </si>
  <si>
    <t>Chía, Cundinamarca</t>
  </si>
  <si>
    <t>+32 3 380 64 19</t>
  </si>
  <si>
    <t>Carrera 5 Este 23, Chía, Colombia</t>
  </si>
  <si>
    <t>karollvelasquez0406@gmail.com</t>
  </si>
  <si>
    <t>Karoll Velasquez</t>
  </si>
  <si>
    <t>Universidad Católica de Colombia</t>
  </si>
  <si>
    <t>Carrera 94M 97-24, 111021 Bogota, D.C., Colombia</t>
  </si>
  <si>
    <t>samuelvalenciatoro6@gmail.com</t>
  </si>
  <si>
    <t>Samuel Valencia Toro</t>
  </si>
  <si>
    <t xml:space="preserve"> 310 4858949</t>
  </si>
  <si>
    <t>Carrera 56 174B-41, 111166 Bogota, D.C., Colombia</t>
  </si>
  <si>
    <t>valeariza31@gmail.com</t>
  </si>
  <si>
    <t>Valentina Ariza</t>
  </si>
  <si>
    <t>Ninguno</t>
  </si>
  <si>
    <t>Calle 127D 19-18, 110121 Bogota, D.C., Colombia</t>
  </si>
  <si>
    <t>marimojica898@gmail.com</t>
  </si>
  <si>
    <t>Mariana Mojica Hernandez</t>
  </si>
  <si>
    <t>TUNJA</t>
  </si>
  <si>
    <t>Carrera 2 47-85, 150003 Tunja, Colombia</t>
  </si>
  <si>
    <t>MKT Premium brands</t>
  </si>
  <si>
    <t>camtellezz@gmail.com</t>
  </si>
  <si>
    <t>Camila Téllez Ortiz</t>
  </si>
  <si>
    <t xml:space="preserve"> 310 7994203</t>
  </si>
  <si>
    <t>Calle 150 15-26, 110131 Bogota, D.C., Colombia</t>
  </si>
  <si>
    <t>mariamallarino19@gmail.com</t>
  </si>
  <si>
    <t>Maria Mallarino</t>
  </si>
  <si>
    <t>301 6356209</t>
  </si>
  <si>
    <t>Avenida Calle 63-1, 111311 Bogota, D.C., Colombia</t>
  </si>
  <si>
    <t>lauraplba@unisabana.edu.co</t>
  </si>
  <si>
    <t>Laura Plazas</t>
  </si>
  <si>
    <t>302 4653702</t>
  </si>
  <si>
    <t>Carrera 75, Bogota, D.C., Colombia</t>
  </si>
  <si>
    <t>josealejandrosv05@gmail.com</t>
  </si>
  <si>
    <t>Jose Suárez</t>
  </si>
  <si>
    <t>Carrera 12 169-50, 110131 Bogota, D.C., Colombia</t>
  </si>
  <si>
    <t>olartec130702@gmail.com</t>
  </si>
  <si>
    <t>Cristian Camilo Mejia Olarte</t>
  </si>
  <si>
    <t>Tunja</t>
  </si>
  <si>
    <t xml:space="preserve"> 313 2005007</t>
  </si>
  <si>
    <t>Carrera 12 16-38, 150001 Tunja, Colombia</t>
  </si>
  <si>
    <t>julidg05@gmail.com</t>
  </si>
  <si>
    <t>Juliana Duarte Garzón</t>
  </si>
  <si>
    <t>Carrera 113A 78-43, 111031 Bogota, D.C., Colombia</t>
  </si>
  <si>
    <t>sofiaramirez2442@gmail.com</t>
  </si>
  <si>
    <t>Sofia Ramirez</t>
  </si>
  <si>
    <t>Bogotá, D.c.</t>
  </si>
  <si>
    <t xml:space="preserve"> 320 4770807</t>
  </si>
  <si>
    <t>Avenida Carrera 72 152B-89, 111156 Bogota, D.C., Colombia</t>
  </si>
  <si>
    <t>jeidyyulianabeltrantriana@gmail.com</t>
  </si>
  <si>
    <t>Jeidy Yuliana Beltran Triana</t>
  </si>
  <si>
    <t>CHÍA</t>
  </si>
  <si>
    <t>Relaciones Internacionales</t>
  </si>
  <si>
    <t xml:space="preserve"> 310 3765539</t>
  </si>
  <si>
    <t>Calle 4 11-06, 250001 Chía, Colombia</t>
  </si>
  <si>
    <t>People Support 1</t>
  </si>
  <si>
    <t>karenlizethlopezcastro@gmail.com</t>
  </si>
  <si>
    <t>Karen Lizeth López Castro</t>
  </si>
  <si>
    <t xml:space="preserve"> 322 8756281</t>
  </si>
  <si>
    <t>Carrera 54 167-56, 111156 Bogota, D.C., Colombia</t>
  </si>
  <si>
    <t>veronica.salamanca028@gmail.com</t>
  </si>
  <si>
    <t>VERONICA SALAMANCA BECERRA</t>
  </si>
  <si>
    <t>SOGAMOSO</t>
  </si>
  <si>
    <t xml:space="preserve"> 313 8737070</t>
  </si>
  <si>
    <t>Calle 23 10-14, 152210 Sogamoso, Colombia</t>
  </si>
  <si>
    <t>ana.castromora9@gmail.com</t>
  </si>
  <si>
    <t>Ana Maria Elena Castro Morales</t>
  </si>
  <si>
    <t xml:space="preserve"> 315 0190006</t>
  </si>
  <si>
    <t>Calle 148 99-38, 111161 Bogota, D.C., Colombia</t>
  </si>
  <si>
    <t>am.diazv12@uniandes.edu.co</t>
  </si>
  <si>
    <t>Ashlie Melissa Díaz Villanueva</t>
  </si>
  <si>
    <t>Carrera 55A 188-41, 111166 Bogota, D.C., Colombia</t>
  </si>
  <si>
    <t>lauraosorio1422@gmail.com</t>
  </si>
  <si>
    <t>Laura Sofía Osorio Morales</t>
  </si>
  <si>
    <t>Calle 146 17-88, 110121 Bogota, D.C., Colombia</t>
  </si>
  <si>
    <t>davidortisanchez@gmail.com</t>
  </si>
  <si>
    <t>David Francisco Ortiz Sanchez</t>
  </si>
  <si>
    <t xml:space="preserve"> 302 2352387</t>
  </si>
  <si>
    <t>Carrera 136A Diagonal 151B-52, 111161 Bogota, D.C., Colombia</t>
  </si>
  <si>
    <t>le.ramirezd1@uniandes.edu.co</t>
  </si>
  <si>
    <t>Leonardo Enrique Ramírez Doncel</t>
  </si>
  <si>
    <t xml:space="preserve"> 323 2300003</t>
  </si>
  <si>
    <t>Carrera 4A 24-37, 110311 Bogota, D.C., Colombia</t>
  </si>
  <si>
    <t>davidpardo.0627@gmail.com</t>
  </si>
  <si>
    <t>David Alejandro Pardo Niño</t>
  </si>
  <si>
    <t>Universidad Colegio Mayor De Cundinamarca</t>
  </si>
  <si>
    <t xml:space="preserve"> 313 3567458</t>
  </si>
  <si>
    <t>Calle 38 1, Soacha, Colombia</t>
  </si>
  <si>
    <t>adrianacastillo612@gmail.com</t>
  </si>
  <si>
    <t>Adriana carolina Castillo</t>
  </si>
  <si>
    <t>Conjunto Residencial Caminos de la Esperanza, 111151 Bogota, D.C., Colombia</t>
  </si>
  <si>
    <t>nasly.hernandez@hotmail.com</t>
  </si>
  <si>
    <t>Nasly Shajira Hernandez Riveros</t>
  </si>
  <si>
    <t xml:space="preserve"> 318 7876579</t>
  </si>
  <si>
    <t>Calle 6A 18-33, 111411 Bogota, D.C., Colombia</t>
  </si>
  <si>
    <t>mariajimenabecerra@gmail.com</t>
  </si>
  <si>
    <t>Maria Jimena Becerra Beltran</t>
  </si>
  <si>
    <t xml:space="preserve"> 300 8890118</t>
  </si>
  <si>
    <t>Calle 134A 22-6, 110121 Bogota, D.C., Colombia</t>
  </si>
  <si>
    <t>mariajose.cubides.a@gmail.com</t>
  </si>
  <si>
    <t>María José Cubides Alba</t>
  </si>
  <si>
    <t>BOGOTA DC</t>
  </si>
  <si>
    <t xml:space="preserve"> 305 3502374</t>
  </si>
  <si>
    <t>Calle 102A, Bogota, D.C., Colombia</t>
  </si>
  <si>
    <t>laurascortesg@gmail.com</t>
  </si>
  <si>
    <t>Laura Cortés García</t>
  </si>
  <si>
    <t xml:space="preserve"> 323 8265677</t>
  </si>
  <si>
    <t>Calle 7-90, 110811 Bogota, D.C., Colombia</t>
  </si>
  <si>
    <t>isacano.icca@gmail.com</t>
  </si>
  <si>
    <t>Isabella Cano</t>
  </si>
  <si>
    <t>Hermano - Nicolas Cano Villegas</t>
  </si>
  <si>
    <t xml:space="preserve"> 318 5936496</t>
  </si>
  <si>
    <t>Carrera 115, Cali, Colombia</t>
  </si>
  <si>
    <t>majomorenons@gmail.com</t>
  </si>
  <si>
    <t>Maria Jose Moreno Noriega</t>
  </si>
  <si>
    <t xml:space="preserve"> 310 5545269</t>
  </si>
  <si>
    <t>danidavid338@gmail.com</t>
  </si>
  <si>
    <t>Jesus David Mora Ramirez</t>
  </si>
  <si>
    <t>Palmar de Varela (Atlantico)</t>
  </si>
  <si>
    <t>Universidad del Magdalena</t>
  </si>
  <si>
    <t>Santa Marta, Colombia</t>
  </si>
  <si>
    <t>Producción (operaciones) Atlantico Envase</t>
  </si>
  <si>
    <t>dealba447cp@gmail.com</t>
  </si>
  <si>
    <t>cinthya de alba</t>
  </si>
  <si>
    <t>Santo Tomás</t>
  </si>
  <si>
    <t>INSTITUCION UNIVERSITARIA DE BARRANQUILLA</t>
  </si>
  <si>
    <t xml:space="preserve"> 304 5469960</t>
  </si>
  <si>
    <t>Carrera 3 5-11e, 083060 Santo Tomás, Colombia</t>
  </si>
  <si>
    <t>jahairavisbal@gmail.com</t>
  </si>
  <si>
    <t>Jahaira Guzmán Visbal</t>
  </si>
  <si>
    <t>311 6124925</t>
  </si>
  <si>
    <t>Carrera 5A 35B, Barranquilla, Colombia</t>
  </si>
  <si>
    <t>sebastian.merinoc06@gmail.com</t>
  </si>
  <si>
    <t>Sebastian Meriño Cantillo</t>
  </si>
  <si>
    <t>PONEDERA</t>
  </si>
  <si>
    <t>SENA</t>
  </si>
  <si>
    <t>ANALISIS Y DESARROLLO DE SOFTWARE</t>
  </si>
  <si>
    <t xml:space="preserve"> 304 2752561</t>
  </si>
  <si>
    <t>Calle 23 15-44, 084001 Ponedera, Colombia</t>
  </si>
  <si>
    <t>mirandajuandavid0710@gmail.com</t>
  </si>
  <si>
    <t>Juan David Miranda Centeno</t>
  </si>
  <si>
    <t xml:space="preserve"> 300 4327190</t>
  </si>
  <si>
    <t>Calle 102 9E-35, 080014 Barranquilla, Colombia</t>
  </si>
  <si>
    <t>vacastano@uninorte.edu.co</t>
  </si>
  <si>
    <t>Valeria Andrea González Castaño</t>
  </si>
  <si>
    <t xml:space="preserve"> 305 4050713</t>
  </si>
  <si>
    <t>Calle 40 14-51, 080006 Barranquilla, Colombia</t>
  </si>
  <si>
    <t>obarrazatinoco12@gmail.com</t>
  </si>
  <si>
    <t>orlan Barraza tinoco</t>
  </si>
  <si>
    <t>santa marta</t>
  </si>
  <si>
    <t xml:space="preserve"> 310 8218310</t>
  </si>
  <si>
    <t>madariagamendozam@gmail.com</t>
  </si>
  <si>
    <t>Melissa Madariaga Mendoza</t>
  </si>
  <si>
    <t>SABANALARGA</t>
  </si>
  <si>
    <t>Cascajal, Sabanalarga, Colombia</t>
  </si>
  <si>
    <t>Producción (operaciones) Atlantico Gestión</t>
  </si>
  <si>
    <t>juliobolivar1094@gmail.com</t>
  </si>
  <si>
    <t>Julio Bolivar</t>
  </si>
  <si>
    <t>Candelaria</t>
  </si>
  <si>
    <t>Contaduría Pública</t>
  </si>
  <si>
    <t xml:space="preserve"> 304 4555434</t>
  </si>
  <si>
    <t>Calle 11 20-63, 084020 Candelaria, Colombia</t>
  </si>
  <si>
    <t>andrey0707david@gmail.com</t>
  </si>
  <si>
    <t>Andrey Gutierrez Fernandez</t>
  </si>
  <si>
    <t>SABANAGRANDE ATLANTICO</t>
  </si>
  <si>
    <t>Universidad de la costa (CUC)</t>
  </si>
  <si>
    <t>Carrera 8 5-36, 083040 Sabanagrande, Colombia</t>
  </si>
  <si>
    <t>carlosmateo2209@gmail.com</t>
  </si>
  <si>
    <t>carlos mateo</t>
  </si>
  <si>
    <t xml:space="preserve"> 300 1303873</t>
  </si>
  <si>
    <t>El Paraiso, Palmar de Varela, Colombia</t>
  </si>
  <si>
    <t>jacke8015@gmail.com</t>
  </si>
  <si>
    <t>ALAN JOSUE CABRALES MEJIA</t>
  </si>
  <si>
    <t>Corporación Universitaria Americana</t>
  </si>
  <si>
    <t xml:space="preserve"> 300 8603362</t>
  </si>
  <si>
    <t>Calle 60 21B-89, 080012 Barranquilla, Colombia</t>
  </si>
  <si>
    <t>yulianamirandasehuanes@gmail.com</t>
  </si>
  <si>
    <t>Yuliana Miranda</t>
  </si>
  <si>
    <t xml:space="preserve"> 324 4798404</t>
  </si>
  <si>
    <t>Carrera 19 58-02, 083004 Soledad, Colombia</t>
  </si>
  <si>
    <t>argumedosoto31@gmail.com</t>
  </si>
  <si>
    <t>Mauricio Argumedo Soto</t>
  </si>
  <si>
    <t>Calle 46A 20-114, 470005 Santa Marta, Colombia</t>
  </si>
  <si>
    <t>hurtadojaimessamuel@gmail.com</t>
  </si>
  <si>
    <t>Samuel David Hurtado Jaimes</t>
  </si>
  <si>
    <t>300 2085133</t>
  </si>
  <si>
    <t>Calle 61, Bucaramanga, Colombia</t>
  </si>
  <si>
    <t>Producción (operaciones) Bucaramanga</t>
  </si>
  <si>
    <t>katherine.sarmiento.coy@gmail.com</t>
  </si>
  <si>
    <t>Katherine Nicolle Sarmiento Coy</t>
  </si>
  <si>
    <t>Bucaramanga, Colombia</t>
  </si>
  <si>
    <t>andrespolo151@gmail.com</t>
  </si>
  <si>
    <t>Andrés Polo</t>
  </si>
  <si>
    <t>Floridablanca</t>
  </si>
  <si>
    <t>Calle 157 154-137, 681004 Floridablanca, Colombia</t>
  </si>
  <si>
    <t>dfernandx@gmail.com</t>
  </si>
  <si>
    <t>Diego Fernando Prada romero</t>
  </si>
  <si>
    <t>Calle 13 26-29, 680002 Bucaramanga, Colombia</t>
  </si>
  <si>
    <t>albarranximena00@gmail.com</t>
  </si>
  <si>
    <t>Julieth Ximena Albarran Vargas</t>
  </si>
  <si>
    <t>Calle 12 24-09, 680002 Bucaramanga, Colombia</t>
  </si>
  <si>
    <t>gelvezconnie@gmail.com</t>
  </si>
  <si>
    <t>Connie Alexandra Gelvez Mojica</t>
  </si>
  <si>
    <t xml:space="preserve"> 301 7990303</t>
  </si>
  <si>
    <t>Torremolinos, 680004 Bucaramanga, Colombia</t>
  </si>
  <si>
    <t>dizeocamilo@gmail.com</t>
  </si>
  <si>
    <t>Camilo Di Zeo Oliveros</t>
  </si>
  <si>
    <t>310 5361024</t>
  </si>
  <si>
    <t>Calle 157 154-215, 681004 Floridablanca, Colombia</t>
  </si>
  <si>
    <t>german05corredor@gmail.com</t>
  </si>
  <si>
    <t>Joseph German Corredor Torres</t>
  </si>
  <si>
    <t>Ubate cundinamarca</t>
  </si>
  <si>
    <t>Corporación internacional para el Desarrollo Educativo</t>
  </si>
  <si>
    <t>Ubate, Villa de San Diego de Ubate, Colombia</t>
  </si>
  <si>
    <t>Producción (operaciones) Cervecería de Tibitó</t>
  </si>
  <si>
    <t>paulapinzon2005@gmail.com</t>
  </si>
  <si>
    <t>Paula Jimena Pinzón Forero</t>
  </si>
  <si>
    <t>Calle 2 8-98, 250252 Zipaquirá, Colombia</t>
  </si>
  <si>
    <t>est.juan.scastro@unimilitar.edu.co</t>
  </si>
  <si>
    <t>Juan Sebastian Castro Aguirre</t>
  </si>
  <si>
    <t>Seguridad y Salud en el Trabajo</t>
  </si>
  <si>
    <t xml:space="preserve"> 312 3264153</t>
  </si>
  <si>
    <t>Carrera 12 9-42, 152210 Sogamoso, Colombia</t>
  </si>
  <si>
    <t>Talento Cervecería de Boyacá</t>
  </si>
  <si>
    <t>tatamc9515@gmail.com</t>
  </si>
  <si>
    <t>Catalina Gallego</t>
  </si>
  <si>
    <t>DISEÑO INDUSTRIAL</t>
  </si>
  <si>
    <t>Calle 18-87, 150462 Duitama, Colombia</t>
  </si>
  <si>
    <t>julianestebanbetancourt@gmail.com</t>
  </si>
  <si>
    <t>Julian Esteban Betancourt Ocampo</t>
  </si>
  <si>
    <t>La Union, Valle del Cauca</t>
  </si>
  <si>
    <t xml:space="preserve"> 317 3309191</t>
  </si>
  <si>
    <t>Carrera 14A-37, 761540 La Unión, Colombia</t>
  </si>
  <si>
    <t>Talento Cervecería del Valle</t>
  </si>
  <si>
    <t>daniela.sandovalp01@gmail.com</t>
  </si>
  <si>
    <t>Daniela Sandoval Perlaza</t>
  </si>
  <si>
    <t xml:space="preserve"> 317 4875563</t>
  </si>
  <si>
    <t>760026 Cali, Colombia</t>
  </si>
  <si>
    <t>karendiaz081204@gmail.com</t>
  </si>
  <si>
    <t>Karen Vanessa Díaz laurido</t>
  </si>
  <si>
    <t>Marketing digital, inglés 4, sistemas de gestión y calidad</t>
  </si>
  <si>
    <t>Poblado Campestre, Candelaria, Colombia</t>
  </si>
  <si>
    <t>7890thunder@gmail.com</t>
  </si>
  <si>
    <t>Mariana López Bareño</t>
  </si>
  <si>
    <t>Universidad Ean</t>
  </si>
  <si>
    <t>313 2713653</t>
  </si>
  <si>
    <t>Calle 128A 54B-56, 111111 Bogota, D.C., Colombia</t>
  </si>
  <si>
    <t>Talento Regional Centro</t>
  </si>
  <si>
    <t>valemarticas22@gmail.com</t>
  </si>
  <si>
    <t>Valentina Martinez Castro</t>
  </si>
  <si>
    <t xml:space="preserve"> 304 6772464</t>
  </si>
  <si>
    <t>Calle 86A 69T-81, 111021 Bogota, D.C., Colombia</t>
  </si>
  <si>
    <t>orjuelagabriela20@gmail.com</t>
  </si>
  <si>
    <t>Gabriela Orjuela</t>
  </si>
  <si>
    <t xml:space="preserve"> 300 3424911</t>
  </si>
  <si>
    <t>Torreladera Bosque Reservado, 110131 Bogota, D.C., Colombia</t>
  </si>
  <si>
    <t>andresfelipeforerotoro7@gmail.com</t>
  </si>
  <si>
    <t>Andres Felipe Forero Toro</t>
  </si>
  <si>
    <t>Universidad Distrital Francisco José de Caldas</t>
  </si>
  <si>
    <t xml:space="preserve"> 322 9603522</t>
  </si>
  <si>
    <t>Carrera 78B 65J S-50, 110741 Bogota, D.C., Colombia</t>
  </si>
  <si>
    <t>danielaromanom@gmail.com</t>
  </si>
  <si>
    <t>Daniela Roman</t>
  </si>
  <si>
    <t>Cedritos, Bogota, D.C., Colombia</t>
  </si>
  <si>
    <t>paulargb2004@hotmail.com</t>
  </si>
  <si>
    <t>Paula Andrea Rodriguez Gomez</t>
  </si>
  <si>
    <t xml:space="preserve"> 301 5595946</t>
  </si>
  <si>
    <t>Calle 137 12B-70, 110121 Bogota, D.C., Colombia</t>
  </si>
  <si>
    <t>isis.diazc07@gmail.com</t>
  </si>
  <si>
    <t>ISABELLA DIAZ</t>
  </si>
  <si>
    <t>Universidad Autónomade Occidente</t>
  </si>
  <si>
    <t>macama3456@gmail.com</t>
  </si>
  <si>
    <t>María torrado</t>
  </si>
  <si>
    <t xml:space="preserve"> 318 8023106</t>
  </si>
  <si>
    <t>Calle 158 30-60, 681002 Floridablanca, Colombia</t>
  </si>
  <si>
    <t>zharik2222683@correo.uis.edu.co</t>
  </si>
  <si>
    <t>Zharik Lopez</t>
  </si>
  <si>
    <t>Calle 12A 28-11, 680002 Bucaramanga, Colombia</t>
  </si>
  <si>
    <t>vc3888297@gmail.com</t>
  </si>
  <si>
    <t>Vanesa Castañeda Archila</t>
  </si>
  <si>
    <t xml:space="preserve"> 312 4370413</t>
  </si>
  <si>
    <t>Carrera 18 46-20, 680003 Bucaramanga, Colombia</t>
  </si>
  <si>
    <t>ngmolina46@gmail.com</t>
  </si>
  <si>
    <t>Natalia Gómez molina</t>
  </si>
  <si>
    <t>Sincelejo</t>
  </si>
  <si>
    <t>Universidad Antonio José de Sucre</t>
  </si>
  <si>
    <t>323 9118228</t>
  </si>
  <si>
    <t>Calle 25 25-33, 700001 Sincelejo, Colombia</t>
  </si>
  <si>
    <t>michypater02@hotmail.com</t>
  </si>
  <si>
    <t>Michelle Paternina Amaris</t>
  </si>
  <si>
    <t>321 7227862</t>
  </si>
  <si>
    <t>Calle 110 49E, Barranquilla, Colombia</t>
  </si>
  <si>
    <t>aricantillo0@gmail.com</t>
  </si>
  <si>
    <t>Ariadna Cantillo</t>
  </si>
  <si>
    <t xml:space="preserve"> 322 7943599</t>
  </si>
  <si>
    <t>Portales de San Fernando 1, 130012 Cartagena, Colombia</t>
  </si>
  <si>
    <t>karenmerco@hotmail.com</t>
  </si>
  <si>
    <t>Karen Mercado</t>
  </si>
  <si>
    <t>Corporación Universitaria Iberoamericana</t>
  </si>
  <si>
    <t>wvaljimenez@gmail.com</t>
  </si>
  <si>
    <t>Wanda Alvarez Jimenez</t>
  </si>
  <si>
    <t xml:space="preserve"> 314 6441933</t>
  </si>
  <si>
    <t>Barranquilla, Colombia</t>
  </si>
  <si>
    <t>afqb0108@gmail.com</t>
  </si>
  <si>
    <t>Andres Felipe Quiroz Borja</t>
  </si>
  <si>
    <t xml:space="preserve"> 301 5176294</t>
  </si>
  <si>
    <t>Calle 45A 24B-8, 083001 Soledad, Colombia</t>
  </si>
  <si>
    <t>elianaarroyoperez@gmail.com</t>
  </si>
  <si>
    <t>Eliana Marcela Arroyo Pérez</t>
  </si>
  <si>
    <t xml:space="preserve"> 324 5087460</t>
  </si>
  <si>
    <t>mariaca272712@gmail.com</t>
  </si>
  <si>
    <t>Maria Carolina Morales Quevedo</t>
  </si>
  <si>
    <t>301 3893660</t>
  </si>
  <si>
    <t>james.a.garcia.v@gmail.com</t>
  </si>
  <si>
    <t>James Alejandro García Vásquez</t>
  </si>
  <si>
    <t>Zipaquirá</t>
  </si>
  <si>
    <t xml:space="preserve"> 314 4777000</t>
  </si>
  <si>
    <t>Calle 24A 14A-26, 250251 Zipaquirá, Colombia</t>
  </si>
  <si>
    <t>Talento Supply Cervecería de Tocancipá</t>
  </si>
  <si>
    <t>munozanamaria89@gmail.com</t>
  </si>
  <si>
    <t>ANA MARIA FERNANDEZ MUÑOZ</t>
  </si>
  <si>
    <t xml:space="preserve"> 316 8290681</t>
  </si>
  <si>
    <t>Calle 3 Sur 5A-30, 250001 Chía, Colombia</t>
  </si>
  <si>
    <t>yulianaquintero144@gmail.com</t>
  </si>
  <si>
    <t>Mónica Yuliana Velásquez Quintero</t>
  </si>
  <si>
    <t>COGUA, CUNDINAMARCA</t>
  </si>
  <si>
    <t xml:space="preserve"> 320 9550447</t>
  </si>
  <si>
    <t>Cogua, Colombia</t>
  </si>
  <si>
    <t>paulasofia368@gmail.com</t>
  </si>
  <si>
    <t>Paula Sofia Saldaña Linares</t>
  </si>
  <si>
    <t>Tocancipá, Cundinamarca</t>
  </si>
  <si>
    <t>Calle 6A-35, 251010 Tocancipá, Colombia</t>
  </si>
  <si>
    <t>salocortes11@gmail.com</t>
  </si>
  <si>
    <t>Maria Salomé Cortés Ávila</t>
  </si>
  <si>
    <t>Briceño</t>
  </si>
  <si>
    <t>Comunicación audiovisual y multimedios</t>
  </si>
  <si>
    <t>312 5370247</t>
  </si>
  <si>
    <t>Zipaquirá, Colombia</t>
  </si>
  <si>
    <t>adrianita.sc03@gmail.com</t>
  </si>
  <si>
    <t>Adriana Maria Sierra Cabrera</t>
  </si>
  <si>
    <t>jporto0804@gmail.com</t>
  </si>
  <si>
    <t>Juan David Porto Léon</t>
  </si>
  <si>
    <t xml:space="preserve"> 321 8076611</t>
  </si>
  <si>
    <t>Carrera 48 100-174, 080020 Barranquilla, Colombia</t>
  </si>
  <si>
    <t>faandres@uninorte.edu.co</t>
  </si>
  <si>
    <t>ANDRES FELIPE ACOSTA GUTIERREZ</t>
  </si>
  <si>
    <t xml:space="preserve"> 301 3969374</t>
  </si>
  <si>
    <t>Carrera 31 44-22, 080003 Barranquilla, Colombia</t>
  </si>
  <si>
    <t>nicollerodriguezblanquicett@gmail.com</t>
  </si>
  <si>
    <t>Nicolle Carolina Rodriguez Blanquicett</t>
  </si>
  <si>
    <t xml:space="preserve"> 302 4118837</t>
  </si>
  <si>
    <t>Carrera 72 91A-100, 080001 Barranquilla, Colombia</t>
  </si>
  <si>
    <t>nbarneyv@gmail.com</t>
  </si>
  <si>
    <t>Natalia Barney Vergara</t>
  </si>
  <si>
    <t>Calle 84 42C-301, 080020 Barranquilla, Colombia</t>
  </si>
  <si>
    <t>danpame1219@gmail.com</t>
  </si>
  <si>
    <t>Daniel Patiño Mejia</t>
  </si>
  <si>
    <t>311 5244990</t>
  </si>
  <si>
    <t>Carrera 74 163-33, 111156 Bogota, D.C., Colombia</t>
  </si>
  <si>
    <t>mariayr501@gmail.com</t>
  </si>
  <si>
    <t>Maria Paula Rodriguez Muñoz</t>
  </si>
  <si>
    <t xml:space="preserve"> 311 2494264</t>
  </si>
  <si>
    <t>Carrera 74A 66A-80, 111051 Bogota, D.C., Colombia</t>
  </si>
  <si>
    <t>valrg0827@gmail.com</t>
  </si>
  <si>
    <t>Laura Valentina Gonzalez Rojas</t>
  </si>
  <si>
    <t>Universidad Manuela Beltran</t>
  </si>
  <si>
    <t xml:space="preserve"> 314 4277940</t>
  </si>
  <si>
    <t>Calle 95A 71A-18, 111121 Bogota, D.C., Colombia</t>
  </si>
  <si>
    <t>martinoso1234567@gmail.com</t>
  </si>
  <si>
    <t>martin osorio martinez</t>
  </si>
  <si>
    <t xml:space="preserve"> 314 8230896</t>
  </si>
  <si>
    <t>Calle 32F 78-152, 050030 Medellin, Colombia</t>
  </si>
  <si>
    <t>Ventas (gestión de ejecución premium) Regional Andes</t>
  </si>
  <si>
    <t>sofiaecheverri5324@gmail.com</t>
  </si>
  <si>
    <t>Sofía Echeverri Ríos</t>
  </si>
  <si>
    <t>305 3059203</t>
  </si>
  <si>
    <t>Carrera 77 41-40, 054040 Rionegro, Colombia</t>
  </si>
  <si>
    <t>jennifergiraldojaramillo@gmail.com</t>
  </si>
  <si>
    <t>Jennifer Giraldo</t>
  </si>
  <si>
    <t>Ingeniería Administrativa</t>
  </si>
  <si>
    <t xml:space="preserve"> 322 5903956</t>
  </si>
  <si>
    <t>Calle 32A 65CC-55, 050030 Medellin, Colombia</t>
  </si>
  <si>
    <t>mariam.orrego@upb.edu.co</t>
  </si>
  <si>
    <t>Mariam Camila Orrego Jiménez</t>
  </si>
  <si>
    <t>Calle 65F 47-30, 050012 Medellin, Colombia</t>
  </si>
  <si>
    <t>danielhincapie888@gmail.com</t>
  </si>
  <si>
    <t>Daniel Felipe Hincapié López</t>
  </si>
  <si>
    <t>LA ESTRELLA, ANTIOQUIA</t>
  </si>
  <si>
    <t>Universidad de Antioquia</t>
  </si>
  <si>
    <t xml:space="preserve"> 323 2175901</t>
  </si>
  <si>
    <t>Calle 83C Sur 55-56, 055460 La Estrella, Colombia</t>
  </si>
  <si>
    <t>lspaezr@eafit.edu.co</t>
  </si>
  <si>
    <t>Laura Sofía Páez Ramírez</t>
  </si>
  <si>
    <t>Calle 16 Sur 48, Medellin, Colombia</t>
  </si>
  <si>
    <t>hallisondaniela@gmail.com</t>
  </si>
  <si>
    <t>Hallison Daniela Amaya Lopez</t>
  </si>
  <si>
    <t>Calle 89 26B-2, 760020 Cali, Colombia</t>
  </si>
  <si>
    <t>vaneale2009@gmail.com</t>
  </si>
  <si>
    <t>Vanessa Alexandra Ramírez Pinto</t>
  </si>
  <si>
    <t>Calle 51 23-45, 680003 Bucaramanga, Colombia</t>
  </si>
  <si>
    <t>jorgeszarate@outlook.com</t>
  </si>
  <si>
    <t>Jorge Sánchez Zarate</t>
  </si>
  <si>
    <t xml:space="preserve"> 321 3877492</t>
  </si>
  <si>
    <t>Avenida Calle 85 7A-45, 110221 Bogota, D.C., Colombia</t>
  </si>
  <si>
    <t>Ventas comercial (Trade Marketing) Regional Centro</t>
  </si>
  <si>
    <t>andresmontana811@gmail.com</t>
  </si>
  <si>
    <t>Andres Montaña</t>
  </si>
  <si>
    <t>bogota</t>
  </si>
  <si>
    <t>Calle 24C 84-85, 110931 Bogota, D.C., Colombia</t>
  </si>
  <si>
    <t>juangarzon1853@gmail.com</t>
  </si>
  <si>
    <t>Juan Camilo Garzón Ramírez</t>
  </si>
  <si>
    <t xml:space="preserve"> 301 6040200</t>
  </si>
  <si>
    <t>Vereda Canelon, Cajicá, Colombia</t>
  </si>
  <si>
    <t>anaasofiaamonteroo@gmail.com</t>
  </si>
  <si>
    <t>Ana Sofia Montero Angulo</t>
  </si>
  <si>
    <t>Carrera 7C 138-60, 110121 Bogota, D.C., Colombia</t>
  </si>
  <si>
    <t>doblecontabilidad@gmail.com</t>
  </si>
  <si>
    <t>Natalia Orejuela castrillon</t>
  </si>
  <si>
    <t xml:space="preserve"> 313 7808424</t>
  </si>
  <si>
    <t>Calle 76 16-156, 760033 Cali, Colombia</t>
  </si>
  <si>
    <t>danielaalejandrao920@gmail.com</t>
  </si>
  <si>
    <t>Daniela Alejandra Hernández Ortiz</t>
  </si>
  <si>
    <t xml:space="preserve"> 314 4065467</t>
  </si>
  <si>
    <t>Carrera 72 11-30, 760033 Cali, Colombia</t>
  </si>
  <si>
    <t>jsqo4320@gmail.com</t>
  </si>
  <si>
    <t>Juan Sebastián Quiñones Oeding</t>
  </si>
  <si>
    <t xml:space="preserve"> 321 2966629</t>
  </si>
  <si>
    <t>Diagonal 72 1-16, 110221 Bogota, D.C., Colombia</t>
  </si>
  <si>
    <t>marianafbaltan@gmail.com</t>
  </si>
  <si>
    <t>Mariana Freire Baltan</t>
  </si>
  <si>
    <t xml:space="preserve"> 300 2439716</t>
  </si>
  <si>
    <t>Avenida 5 Calle 42 N-81, 760046 Cali, Colombia</t>
  </si>
  <si>
    <t>Ventas Regional Sur</t>
  </si>
  <si>
    <t>ana.gualtero@u.icesi.edu.co</t>
  </si>
  <si>
    <t>Ana María Gualtero Rios</t>
  </si>
  <si>
    <t>Jamundi</t>
  </si>
  <si>
    <t>UNIVERSIDAD ICESI</t>
  </si>
  <si>
    <t>314 3490138</t>
  </si>
  <si>
    <t>Calle 5-57, 764001 Jamundí, Colombia</t>
  </si>
  <si>
    <t>veronikamejia95@gmail.com</t>
  </si>
  <si>
    <t>Veronica Mejia Raquejo</t>
  </si>
  <si>
    <t xml:space="preserve"> 318 2468842</t>
  </si>
  <si>
    <t>Centro Comercial Jardin Plaza, 760032 Cali, Colombia</t>
  </si>
  <si>
    <t>davidrodriguez081@hotmail.com</t>
  </si>
  <si>
    <t>David Santiago Suárez Rodríguez</t>
  </si>
  <si>
    <t xml:space="preserve"> 318 6029672</t>
  </si>
  <si>
    <t>Edificio República de Venezuela, 760046 Cali, Colombia</t>
  </si>
  <si>
    <t>camiloperezb1106@gmail.com</t>
  </si>
  <si>
    <t>Juan Camilo Pérez Beltrán</t>
  </si>
  <si>
    <t xml:space="preserve"> 321 2201787</t>
  </si>
  <si>
    <t>Parque Residencial Nuevo Recreo, 110721 Bogota, D.C., Colombia</t>
  </si>
  <si>
    <t>marianalzate06@gmail.com</t>
  </si>
  <si>
    <t>Mariana Alzate Gil</t>
  </si>
  <si>
    <t>321 7538047</t>
  </si>
  <si>
    <t>Envigado, Colombia</t>
  </si>
  <si>
    <t>andreatipazoca5@gmail.com</t>
  </si>
  <si>
    <t>PAULA ANDREA LAVERDE TIPAZOCA</t>
  </si>
  <si>
    <t xml:space="preserve"> 317 5933601</t>
  </si>
  <si>
    <t>Calle 22 7-20, 150001 Tunja, Colombia</t>
  </si>
  <si>
    <t>andrevelezf@gmail.com</t>
  </si>
  <si>
    <t>Andrea Vélez Fernández</t>
  </si>
  <si>
    <t>302 3029042</t>
  </si>
  <si>
    <t>Calle 77, Bogota, D.C., Colombia</t>
  </si>
  <si>
    <t>jm.aguirre@uniandes.edu.co</t>
  </si>
  <si>
    <t>Juan Miguel Aguirre Guzman</t>
  </si>
  <si>
    <t xml:space="preserve"> 312 2329005</t>
  </si>
  <si>
    <t>Happa Hub - Apartamentos en El Centro de la Ciudad, 110311 Bogota, D.C., Colombia</t>
  </si>
  <si>
    <t>jjsalcedohernandez@gmail.com</t>
  </si>
  <si>
    <t>Juan Salcedo</t>
  </si>
  <si>
    <t xml:space="preserve"> 310 3456622</t>
  </si>
  <si>
    <t>Calle 137 55-42, 111111 Bogota, D.C., Colombia</t>
  </si>
  <si>
    <t>1105360307@u.icesi.edu.co</t>
  </si>
  <si>
    <t>Laura Sofía Hernández Castaño</t>
  </si>
  <si>
    <t>Química Farmacéutica</t>
  </si>
  <si>
    <t xml:space="preserve"> 322 5690748</t>
  </si>
  <si>
    <t>Carrera 61A 1D-57, 760035 Cali, Colombia</t>
  </si>
  <si>
    <t>sofiaramirezdelavalle27@gmail.com</t>
  </si>
  <si>
    <t>Sofía Ramírez De Lavalle</t>
  </si>
  <si>
    <t>Calle 93A, Bogota, D.C., Colombia</t>
  </si>
  <si>
    <t>anamariabeltransaenz02@gmail.com</t>
  </si>
  <si>
    <t>Ana María Beltrán Sáenz</t>
  </si>
  <si>
    <t xml:space="preserve"> 313 3019024</t>
  </si>
  <si>
    <t>Carrera 4 3-4, 154240 Santa Sofía, Colombia</t>
  </si>
  <si>
    <t>viasusgabriela205@gmail.com</t>
  </si>
  <si>
    <t>Gabriela Fernanda Viasus Castro</t>
  </si>
  <si>
    <t>TUTA</t>
  </si>
  <si>
    <t xml:space="preserve"> 310 7613100</t>
  </si>
  <si>
    <t>Tuta, Colombia</t>
  </si>
  <si>
    <t>juansebastiangilrodriguez11@gmail.com</t>
  </si>
  <si>
    <t>Juan sebastian Gil Rodriguez</t>
  </si>
  <si>
    <t>Sogamoso, Colombia</t>
  </si>
  <si>
    <t>javiestudio2142@gmail.com</t>
  </si>
  <si>
    <t>Javier Alfonso Muñoz Guette</t>
  </si>
  <si>
    <t>443020 Hatonuevo, Colombia</t>
  </si>
  <si>
    <t>angelcamilo2703@gmail.com</t>
  </si>
  <si>
    <t>Angel Camilo Suta Rueda</t>
  </si>
  <si>
    <t>Cota</t>
  </si>
  <si>
    <t>Carrera 3, Cota, Colombia</t>
  </si>
  <si>
    <t>laura.tatiana.torres@correounivalle.edu.co</t>
  </si>
  <si>
    <t>Laura Tatiana Torres Trujillo</t>
  </si>
  <si>
    <t xml:space="preserve"> 315 4901789</t>
  </si>
  <si>
    <t>Calle 55, Cali, Colombia</t>
  </si>
  <si>
    <t>linaaltahona1@gmail.com</t>
  </si>
  <si>
    <t>Lina Altahona De Hoyos</t>
  </si>
  <si>
    <t>Administración Industrial</t>
  </si>
  <si>
    <t>320 5809488</t>
  </si>
  <si>
    <t>Escallon Villa Calle 11 de Noviembre, 130014 Cartagena, Colombia</t>
  </si>
  <si>
    <t>natalyvanessadoradodaza@gmail.com</t>
  </si>
  <si>
    <t>NATALI VANESSA DORADO DAZA</t>
  </si>
  <si>
    <t>INGENIERÍA BIOQUÍMICA</t>
  </si>
  <si>
    <t xml:space="preserve"> 320 4347215</t>
  </si>
  <si>
    <t>Calle 13 75-16, 760033 Cali, Colombia</t>
  </si>
  <si>
    <t>luz7.noguera.v@gmail.com</t>
  </si>
  <si>
    <t>Luz Adriana Noguera Velasco</t>
  </si>
  <si>
    <t xml:space="preserve"> 322 8629829</t>
  </si>
  <si>
    <t>Carrera 92 2C-30, 760034 Cali, Colombia</t>
  </si>
  <si>
    <t>karen.suarezs@outlook.com</t>
  </si>
  <si>
    <t>Karen Dayanna Suarez Serrato</t>
  </si>
  <si>
    <t>315 8803198</t>
  </si>
  <si>
    <t>morenomejia485@gmail.com</t>
  </si>
  <si>
    <t>Ángel Moreno Mejía</t>
  </si>
  <si>
    <t>317 4951986</t>
  </si>
  <si>
    <t>alexander10763@gmail.com</t>
  </si>
  <si>
    <t>Alexander Ortiz Martínez</t>
  </si>
  <si>
    <t xml:space="preserve"> 315 4069847</t>
  </si>
  <si>
    <t>Carrera 87 5-18, 760033 Cali, Colombia</t>
  </si>
  <si>
    <t>julian29093947@gmail.com</t>
  </si>
  <si>
    <t>Óscar Julián Pérez Ladino</t>
  </si>
  <si>
    <t xml:space="preserve"> 324 5771142</t>
  </si>
  <si>
    <t>Calle 22 Oeste 47, Cali, Colombia</t>
  </si>
  <si>
    <t>lramirezri@unal.edu.co</t>
  </si>
  <si>
    <t>Laura Natalia Ramirez Rios</t>
  </si>
  <si>
    <t xml:space="preserve"> 313 4821880</t>
  </si>
  <si>
    <t>Calle 19 Sur 69-55, 110831 Bogota, D.C., Colombia</t>
  </si>
  <si>
    <t>jhonysan09@gmail.com</t>
  </si>
  <si>
    <t>Jhoan Esteban Sanchez Villalba</t>
  </si>
  <si>
    <t>Transversal 7 22-29, 250251 Zipaquirá, Colombia</t>
  </si>
  <si>
    <t>estefaniaduran.w@gmail.com</t>
  </si>
  <si>
    <t>Estefanía Durán Luna</t>
  </si>
  <si>
    <t xml:space="preserve"> 320 4915165</t>
  </si>
  <si>
    <t>Calle 146 13-22, 110121 Bogota, D.C., Colombia</t>
  </si>
  <si>
    <t>sebasgiraldo001@gmail.com</t>
  </si>
  <si>
    <t>Jhon Sebastian Giraldo Pineda</t>
  </si>
  <si>
    <t>Universidad Católica Luis Amigo</t>
  </si>
  <si>
    <t>Calle 86B 51-37, 050004 Medellin, Colombia</t>
  </si>
  <si>
    <t>plazasc.nalejandra@javeriana.edu.co</t>
  </si>
  <si>
    <t>Nicole Alejandra Plazas Cufiño</t>
  </si>
  <si>
    <t>Calle 127A BIS 15-61, 110121 Bogota, D.C., Colombia</t>
  </si>
  <si>
    <t>nicolascastro375@gmail.com</t>
  </si>
  <si>
    <t>Nicolas Castro Pacheco</t>
  </si>
  <si>
    <t>Marketing Integral y Negocios Globales</t>
  </si>
  <si>
    <t xml:space="preserve"> 314 5427700</t>
  </si>
  <si>
    <t>Carrera 12 101-36, 110111 Bogota, D.C., Colombia</t>
  </si>
  <si>
    <t>vdma1000@gmail.com</t>
  </si>
  <si>
    <t>Valery Dayann Moreno Arias</t>
  </si>
  <si>
    <t>Comunicación Social - Periodismo</t>
  </si>
  <si>
    <t>Calle 66C-65, 111221 Bogota, D.C., Colombia</t>
  </si>
  <si>
    <t>vbohorqueznino@gmail.com</t>
  </si>
  <si>
    <t>Valentina Bohorquez</t>
  </si>
  <si>
    <t>Carrera 22 118-95, 110111 Bogota, D.C., Colombia</t>
  </si>
  <si>
    <t>andrestoncel123@gmail.com</t>
  </si>
  <si>
    <t>ANDRES TONCEL VASQUEZ</t>
  </si>
  <si>
    <t>SANTA MARTA</t>
  </si>
  <si>
    <t xml:space="preserve"> 304 3749681</t>
  </si>
  <si>
    <t>Vía Santa Marta Taganga 18-207, 470001 Santa Marta, Colombia</t>
  </si>
  <si>
    <t>mmachucah@unal.edu.co</t>
  </si>
  <si>
    <t>Maria Paula Machuca Hortua</t>
  </si>
  <si>
    <t>315 6775560</t>
  </si>
  <si>
    <t>Calle 65A 106A-57, 111041 Bogota, D.C., Colombia</t>
  </si>
  <si>
    <t>juanmarc1609@gmail.com</t>
  </si>
  <si>
    <t>Juan Manuel Ruiz Cruz</t>
  </si>
  <si>
    <t>Carrera 15B 184-40, 110141 Bogota, D.C., Colombia</t>
  </si>
  <si>
    <t>nrodriguezmartinez23@gmail.com</t>
  </si>
  <si>
    <t>Natalia Rodríguez Martínez</t>
  </si>
  <si>
    <t xml:space="preserve"> 304 6848832</t>
  </si>
  <si>
    <t>Calle 81 114-50, 111011 Bogota, D.C., Colombia</t>
  </si>
  <si>
    <t>valeriapazarrieta@gmail.com</t>
  </si>
  <si>
    <t>Valeria Paz Arrieta</t>
  </si>
  <si>
    <t>emilyquicenoguerrero@gmail.com</t>
  </si>
  <si>
    <t>Emily Smith Quiceno Guerrero</t>
  </si>
  <si>
    <t xml:space="preserve"> 318 8620569</t>
  </si>
  <si>
    <t>sofiaaranguren21@gmail.com</t>
  </si>
  <si>
    <t>Sara Sofia Aranguren Bolívar</t>
  </si>
  <si>
    <t>Calle 22 39-14, 150462 Duitama, Colombia</t>
  </si>
  <si>
    <t>liz24022006@gmail.com</t>
  </si>
  <si>
    <t>Lizeth Mariana Sánchez Forero</t>
  </si>
  <si>
    <t>313 4401989</t>
  </si>
  <si>
    <t>Cl. 43 No. 4-104, Las Quintas, Tunja, Boyacá</t>
  </si>
  <si>
    <t>bellatrabajos23@gmail.com</t>
  </si>
  <si>
    <t>Isabella Narváez Castillo</t>
  </si>
  <si>
    <t xml:space="preserve"> 316 5067860</t>
  </si>
  <si>
    <t>Carrera 66 2B-51, 760035 Cali, Colombia</t>
  </si>
  <si>
    <t>valeriaagall@gmail.com</t>
  </si>
  <si>
    <t>Valeria Arroyave Grisales</t>
  </si>
  <si>
    <t xml:space="preserve"> 317 2129349</t>
  </si>
  <si>
    <t>Avenida 2H Calle 51 N-51, 760050 Cali, Colombia</t>
  </si>
  <si>
    <t>lsalazar14@udi.edu.co</t>
  </si>
  <si>
    <t>LAURA NATALIA SALAZAR TORRES</t>
  </si>
  <si>
    <t>SAN GIL</t>
  </si>
  <si>
    <t>UNIVERSIDAD DE INVESTIGACIÓN Y DESAROLLO UDI</t>
  </si>
  <si>
    <t>San Gil, Colombia</t>
  </si>
  <si>
    <t>carovmarino@gmail.com</t>
  </si>
  <si>
    <t>Maria Carolina Vilchis Marino</t>
  </si>
  <si>
    <t>Universidad de la Costa</t>
  </si>
  <si>
    <t xml:space="preserve"> 314 5091990</t>
  </si>
  <si>
    <t>Carrera 62 70-105, 080002 Barranquilla, Colombia</t>
  </si>
  <si>
    <t>deysaivethporrasforero27@gmail.com</t>
  </si>
  <si>
    <t>DEYSA IVETH PORRAS FORERO</t>
  </si>
  <si>
    <t>Avenida 11 0-37, 540003 Cucuta, Colombia</t>
  </si>
  <si>
    <t>jhosepoliveragaviria@gmail.com</t>
  </si>
  <si>
    <t>Jhosep Olivera Gaviria</t>
  </si>
  <si>
    <t xml:space="preserve"> 314 7902917</t>
  </si>
  <si>
    <t>kevinnieto0001@gmail.com</t>
  </si>
  <si>
    <t>Kevin A. Nieto Callejas</t>
  </si>
  <si>
    <t>Ciencia De Datos</t>
  </si>
  <si>
    <t>Avenida de las Américas 68, Bogota, D.C., Colombia</t>
  </si>
  <si>
    <t>majomonsalvegomez@gmail.com</t>
  </si>
  <si>
    <t>María José Monsalve Gómez</t>
  </si>
  <si>
    <t>Universidad de Medellín</t>
  </si>
  <si>
    <t xml:space="preserve"> 321 8334820</t>
  </si>
  <si>
    <t>Carrera 84B 7-95, 050026 Medellin, Colombia</t>
  </si>
  <si>
    <t>bravooteroluisafernanda@gmail.com</t>
  </si>
  <si>
    <t>Luisa Fernanda Bravo Otero</t>
  </si>
  <si>
    <t>Comercio Exterior</t>
  </si>
  <si>
    <t>311 3233801</t>
  </si>
  <si>
    <t>Carrera 3 Norte 72A-34, 760001 Cali, Colombia</t>
  </si>
  <si>
    <t>nicolasbarfer@gmail.com</t>
  </si>
  <si>
    <t>Nicolás Barbosa Fernández</t>
  </si>
  <si>
    <t>Santiago de Cali</t>
  </si>
  <si>
    <t>Universidad icesi</t>
  </si>
  <si>
    <t>Carrera 85C 33-40, 760026 Cali, Colombia</t>
  </si>
  <si>
    <t>mdiazmar@unal.edu.co</t>
  </si>
  <si>
    <t>Maria Paula Diaz Martinez</t>
  </si>
  <si>
    <t xml:space="preserve"> 322 8949260</t>
  </si>
  <si>
    <t>Calle 70 Sur 38-305, 055450 Sabaneta, Colombia</t>
  </si>
  <si>
    <t>Elaboración Cervecería de Medellín</t>
  </si>
  <si>
    <t>jjmontoyad@gmail.com</t>
  </si>
  <si>
    <t>Juan Jose Montoya Diaz</t>
  </si>
  <si>
    <t>Universidad Católica Luis Amigó</t>
  </si>
  <si>
    <t>Calle 54 86, Medellin, Colombia</t>
  </si>
  <si>
    <t>marodriguezsan@unal.edu.co</t>
  </si>
  <si>
    <t>Maria Camila Rodriguez Sanchez</t>
  </si>
  <si>
    <t xml:space="preserve"> 305 3525708</t>
  </si>
  <si>
    <t>Guasca Parque, 251210 Guasca, Colombia</t>
  </si>
  <si>
    <t>isabella.triana.f@gmail.com</t>
  </si>
  <si>
    <t>Isabella Triana</t>
  </si>
  <si>
    <t xml:space="preserve"> 315 5444444</t>
  </si>
  <si>
    <t>Carrera 14 151-60, 110131 Bogota, D.C., Colombia</t>
  </si>
  <si>
    <t>francouribesimon@gmail.com</t>
  </si>
  <si>
    <t>Simón Franco Uribe</t>
  </si>
  <si>
    <t xml:space="preserve"> 322 3704429</t>
  </si>
  <si>
    <t>Calle 74 3-36, 110221 Bogota, D.C., Colombia</t>
  </si>
  <si>
    <t>tatianaparra1805@gmail.com</t>
  </si>
  <si>
    <t>Lineth Tatiana Parra</t>
  </si>
  <si>
    <t xml:space="preserve"> 315 6756238</t>
  </si>
  <si>
    <t>Carrera 3 21-46, 111711 Bogota, D.C., Colombia</t>
  </si>
  <si>
    <t>majusanma7@gmail.com</t>
  </si>
  <si>
    <t>María Juliana Sánchez Martínez</t>
  </si>
  <si>
    <t xml:space="preserve"> 310 6748268</t>
  </si>
  <si>
    <t>Carrera 54 64A, Bogota, D.C., Colombia</t>
  </si>
  <si>
    <t>fc9908885@gmail.com</t>
  </si>
  <si>
    <t>Jhon Castillo</t>
  </si>
  <si>
    <t>JAMUNDI VALLE</t>
  </si>
  <si>
    <t>321 8367707</t>
  </si>
  <si>
    <t>Carrera 5A Sur 10C-67, 764001 Jamundí, Colombia</t>
  </si>
  <si>
    <t>danielagalindogalvez@gmail.com</t>
  </si>
  <si>
    <t>Daniela Galindo</t>
  </si>
  <si>
    <t xml:space="preserve"> 301 5337662</t>
  </si>
  <si>
    <t>Calle 124 57-45, 111111 Bogota, D.C., Colombia</t>
  </si>
  <si>
    <t>juanj.diazr1993@gmail.com</t>
  </si>
  <si>
    <t>Juan José Díaz Rodríguez</t>
  </si>
  <si>
    <t>Avenida Carrera 15 118-42, 110111 Bogota, D.C., Colombia</t>
  </si>
  <si>
    <t>sanchezo.mangelica@javeriana.edu.co</t>
  </si>
  <si>
    <t>María Angélica Sánchez Ortiz</t>
  </si>
  <si>
    <t>Calle 55 4A, Bogota, D.C., Colombia</t>
  </si>
  <si>
    <t>j.navarrov@uniandes.edu.co</t>
  </si>
  <si>
    <t>Juan Pablo Navarro Vega</t>
  </si>
  <si>
    <t xml:space="preserve"> 314 3392961</t>
  </si>
  <si>
    <t>Carrera 68B 24A-64, 110931 Bogota, D.C., Colombia</t>
  </si>
  <si>
    <t>nataliaprieto0507@gmail.com</t>
  </si>
  <si>
    <t>Natalia Prieto Ferro</t>
  </si>
  <si>
    <t xml:space="preserve"> 310 6711911</t>
  </si>
  <si>
    <t>Carrera 8 46-34, 110231 Bogota, D.C., Colombia</t>
  </si>
  <si>
    <t>corredorborja@gmail.com</t>
  </si>
  <si>
    <t>Juan Francisco Corredor Borja</t>
  </si>
  <si>
    <t>Tio-Jorge Orlando Borja Leal</t>
  </si>
  <si>
    <t xml:space="preserve"> 321 2247261</t>
  </si>
  <si>
    <t>Calle 97 19A-33, 110221 Bogota, D.C., Colombia</t>
  </si>
  <si>
    <t>jimenavatorresc@gmail.com</t>
  </si>
  <si>
    <t>Jimena Torres</t>
  </si>
  <si>
    <t>Transversal 70G 63 S-52, 111921 Bogota, D.C., Colombia</t>
  </si>
  <si>
    <t>luisafernandarojastovar@gmail.com</t>
  </si>
  <si>
    <t>Luisa Fernanda Rojas Tovar</t>
  </si>
  <si>
    <t>Calle 79 Sur 41, Bogota, D.C., Colombia</t>
  </si>
  <si>
    <t>sdsanchezc.27@gmail.com</t>
  </si>
  <si>
    <t>Samuel Sanchez Caceres</t>
  </si>
  <si>
    <t>Universidad ICESI-CALI</t>
  </si>
  <si>
    <t xml:space="preserve"> 302 3135214</t>
  </si>
  <si>
    <t>Carrera 121A, Cali, Colombia</t>
  </si>
  <si>
    <t>miguemul1@gmail.com</t>
  </si>
  <si>
    <t>Miguel Mulett</t>
  </si>
  <si>
    <t xml:space="preserve"> 313 2476415</t>
  </si>
  <si>
    <t>Calle 109 21-85, 110111 Bogota, D.C., Colombia</t>
  </si>
  <si>
    <t>gizquierda@eafit.edu.co</t>
  </si>
  <si>
    <t>Gabriela Izquierdo Agudelo</t>
  </si>
  <si>
    <t xml:space="preserve"> 322 5048635</t>
  </si>
  <si>
    <t>Calle 61 Sur 44-70, 055450 Sabaneta, Colombia</t>
  </si>
  <si>
    <t>lauraalvaradozp04@gmail.com</t>
  </si>
  <si>
    <t>Laura Alvarado Zapata</t>
  </si>
  <si>
    <t xml:space="preserve"> 314 5227092</t>
  </si>
  <si>
    <t>Carrera 59 91-11, 080001 Barranquilla, Colombia</t>
  </si>
  <si>
    <t>danielaguerrero270@gmail.com</t>
  </si>
  <si>
    <t>LAURA DANIELA GUERRERO RAMOS</t>
  </si>
  <si>
    <t xml:space="preserve"> 316 2503458</t>
  </si>
  <si>
    <t>Calle 2B 81A-310, 050023 Medellin, Colombia</t>
  </si>
  <si>
    <t>esneiderguzman19@gmail.com</t>
  </si>
  <si>
    <t>Esneider david Guzman de barros</t>
  </si>
  <si>
    <t>Calle 25 31-5, 083002 Soledad, Colombia</t>
  </si>
  <si>
    <t>mosquerakarenksmh@gmail.com</t>
  </si>
  <si>
    <t>Karen Mosquera</t>
  </si>
  <si>
    <t xml:space="preserve"> 315 6794059</t>
  </si>
  <si>
    <t>Calle 103 23-28, 680004 Bucaramanga, Colombia</t>
  </si>
  <si>
    <t>s.julianamedina.l@gmail.com</t>
  </si>
  <si>
    <t>Sara Juliana Medina López</t>
  </si>
  <si>
    <t>Abuelo - José Eduardo Medina Macias</t>
  </si>
  <si>
    <t xml:space="preserve"> 310 5968649</t>
  </si>
  <si>
    <t>Calle 13 2C-55, 250020 Funza, Colombia</t>
  </si>
  <si>
    <t>juanruizm@unicauca.edu.co</t>
  </si>
  <si>
    <t>Juan David Ruiz Múnera</t>
  </si>
  <si>
    <t xml:space="preserve"> 304 4167324</t>
  </si>
  <si>
    <t>Carrera 6 23-4, 190003 Popayan, Colombia</t>
  </si>
  <si>
    <t>johnagredo@outlook.com</t>
  </si>
  <si>
    <t>John Edinson Agredo Muñoz</t>
  </si>
  <si>
    <t>ICESI</t>
  </si>
  <si>
    <t>Carrera 26S 73A-18, 760016 Cali, Colombia</t>
  </si>
  <si>
    <t>ngomezcortes735@gmail.com</t>
  </si>
  <si>
    <t>Natalia Gómez Cortés</t>
  </si>
  <si>
    <t xml:space="preserve"> 311 2165948</t>
  </si>
  <si>
    <t>Carrera 98B 34-53, 760026 Cali, Colombia</t>
  </si>
  <si>
    <t>nicold.astaiza@gmail.com</t>
  </si>
  <si>
    <t>Nicol Dayan Pinzón Astaiza</t>
  </si>
  <si>
    <t>Carrera 45 13-68, 760036 Cali, Colombia</t>
  </si>
  <si>
    <t>ercortes@unal.edu.co</t>
  </si>
  <si>
    <t>Erick Santiago Cortes Laiton</t>
  </si>
  <si>
    <t xml:space="preserve"> 300 8829579</t>
  </si>
  <si>
    <t>Calle 142A 113C-50, 111141 Bogota, D.C., Colombia</t>
  </si>
  <si>
    <t>masavago06@gmail.com</t>
  </si>
  <si>
    <t>Maria Salome Valencia Gonzalez</t>
  </si>
  <si>
    <t>Guadalajara de Buga</t>
  </si>
  <si>
    <t xml:space="preserve"> 316 7886666</t>
  </si>
  <si>
    <t>juandmurillog06@gmail.com</t>
  </si>
  <si>
    <t>Juan David Murillo Gonzalez</t>
  </si>
  <si>
    <t xml:space="preserve"> 321 3063282</t>
  </si>
  <si>
    <t>Avenida Carrera 15 6-72, 250252 Zipaquirá, Colombia</t>
  </si>
  <si>
    <t>saracordobam4@gmail.com</t>
  </si>
  <si>
    <t>Sara Córdoba Maichel</t>
  </si>
  <si>
    <t>Carrera 76A 135-55, 111121 Bogota, D.C., Colombia</t>
  </si>
  <si>
    <t>sara.herrera08@outlook.es</t>
  </si>
  <si>
    <t>Sara Camila Herrera Amarillo</t>
  </si>
  <si>
    <t>Carrera 10A 28 S-16, 111821 Bogota, D.C., Colombia</t>
  </si>
  <si>
    <t>antosampedro31@gmail.com</t>
  </si>
  <si>
    <t>Antonia Sampedro</t>
  </si>
  <si>
    <t xml:space="preserve"> 310 2914103</t>
  </si>
  <si>
    <t>Carrera 2 76A, Bogota, D.C., Colombia</t>
  </si>
  <si>
    <t>i.juliao@uniandes.edu.co</t>
  </si>
  <si>
    <t>Isabel Juliao</t>
  </si>
  <si>
    <t>Calle 101 16-84, 110111 Bogota, D.C., Colombia</t>
  </si>
  <si>
    <t>jairoeamayac@javeriana.edu.co</t>
  </si>
  <si>
    <t>Jairo Amaya Celis</t>
  </si>
  <si>
    <t xml:space="preserve"> 302 8361979</t>
  </si>
  <si>
    <t>grauveronica033@gmail.com</t>
  </si>
  <si>
    <t>Veronica Grau</t>
  </si>
  <si>
    <t xml:space="preserve"> 318 3239712</t>
  </si>
  <si>
    <t>Carrera 9-86, 110221 Bogota, D.C., Colombia</t>
  </si>
  <si>
    <t>juanferodriguez32@gmail.com</t>
  </si>
  <si>
    <t>Juan Felipe Rodríguez De Los Rios</t>
  </si>
  <si>
    <t xml:space="preserve"> 312 7048442</t>
  </si>
  <si>
    <t>Edificio Sabana, 111111 Bogota, D.C., Colombia</t>
  </si>
  <si>
    <t>mateorojas270@gmail.com</t>
  </si>
  <si>
    <t>Mateo Rojas Corrales</t>
  </si>
  <si>
    <t>Doble carrera: Administracion de empresas y economia</t>
  </si>
  <si>
    <t xml:space="preserve"> 301 7846892</t>
  </si>
  <si>
    <t>Calle 168 9-71, 110131 Bogota, D.C., Colombia</t>
  </si>
  <si>
    <t>juanes021205@hotmail.com</t>
  </si>
  <si>
    <t>Juan Esteban Atehortua Franco</t>
  </si>
  <si>
    <t>PERSONAS DE PRUEBA</t>
  </si>
  <si>
    <t>Transversal 39A-71, 050031 Medellin, Colombia</t>
  </si>
  <si>
    <t>maikivilla908@gmail.com</t>
  </si>
  <si>
    <t>Michael Lozano</t>
  </si>
  <si>
    <t>Carrera 49G 68D S-52, 111931 Bogota, D.C., Colombia</t>
  </si>
  <si>
    <t>danielafernandezg1220@gmail.com</t>
  </si>
  <si>
    <t>Daniela Fernández Gómez</t>
  </si>
  <si>
    <t>Diagonal 89B 116A-10, 111011 Bogota, D.C., Colombia</t>
  </si>
  <si>
    <t>lrodriguezcas@unal.edu.co</t>
  </si>
  <si>
    <t>Lizeth Tatiana Rodriguez Castaneda</t>
  </si>
  <si>
    <t xml:space="preserve"> 322 2115510</t>
  </si>
  <si>
    <t>Calle 64 112B-47, 111031 Bogota, D.C., Colombia</t>
  </si>
  <si>
    <t>maomarquez2004@gmail.com</t>
  </si>
  <si>
    <t>Mauricio Márquez Aristizábal</t>
  </si>
  <si>
    <t xml:space="preserve"> 320 3014062</t>
  </si>
  <si>
    <t>Calle 122 11D, Bogota, D.C., Colombia</t>
  </si>
  <si>
    <t>valecasasbuenas@gmail.com</t>
  </si>
  <si>
    <t>Valeria Casasbuenas García</t>
  </si>
  <si>
    <t xml:space="preserve"> 317 6543024</t>
  </si>
  <si>
    <t>Calle 103A 19A-43, 110111 Bogota, D.C., Colombia</t>
  </si>
  <si>
    <t>sebastiancasaspoloche@gmail.com</t>
  </si>
  <si>
    <t>Sebastian Casas</t>
  </si>
  <si>
    <t xml:space="preserve"> 322 2463206</t>
  </si>
  <si>
    <t>Carrera 84 41A S-57, 110851 Bogota, D.C., Colombia</t>
  </si>
  <si>
    <t>sebasluna2013@gmail.com</t>
  </si>
  <si>
    <t>Sebastián david Luna gonzalez</t>
  </si>
  <si>
    <t>jmremisom@ut.edu.co</t>
  </si>
  <si>
    <t>JARCNID MONTENEGRO</t>
  </si>
  <si>
    <t>Ibagué</t>
  </si>
  <si>
    <t>Universidad del Tolima</t>
  </si>
  <si>
    <t xml:space="preserve"> 313 2658972</t>
  </si>
  <si>
    <t>Carrera 8 46-45, 730001 Ibague, Colombia</t>
  </si>
  <si>
    <t>alejandrojesurun94@gmail.com</t>
  </si>
  <si>
    <t>Alejandro Jesurun Arévalo</t>
  </si>
  <si>
    <t xml:space="preserve"> 317 5558997</t>
  </si>
  <si>
    <t>Calle 117A 10-42, 110111 Bogota, D.C., Colombia</t>
  </si>
  <si>
    <t>lunavtorresvargas@gmail.com</t>
  </si>
  <si>
    <t>Luna Valentina Torres Vargas</t>
  </si>
  <si>
    <t xml:space="preserve"> 315 4058269</t>
  </si>
  <si>
    <t>Avenida Carrera 9 146-45, 110121 Bogota, D.C., Colombia</t>
  </si>
  <si>
    <t>sofiacosma22@gmail.com</t>
  </si>
  <si>
    <t>Ana Sofia Cosma Abril</t>
  </si>
  <si>
    <t xml:space="preserve"> 320 3445667</t>
  </si>
  <si>
    <t>Calle 2-45, 250040 Mosquera, Colombia</t>
  </si>
  <si>
    <t>juanchis3102@hotmail.com</t>
  </si>
  <si>
    <t>Juan Carlos Delgado Velandia</t>
  </si>
  <si>
    <t xml:space="preserve"> 350 3378727</t>
  </si>
  <si>
    <t>110221 Bogota, D.C., Colombia</t>
  </si>
  <si>
    <t>bryantcar2309@hotmail.com</t>
  </si>
  <si>
    <t>Gilbeto Bryant Cardenas Martinez</t>
  </si>
  <si>
    <t xml:space="preserve"> 311 6685541</t>
  </si>
  <si>
    <t>Calle 145A 13A-70, 110121 Bogota, D.C., Colombia</t>
  </si>
  <si>
    <t>diegoalejandroarroyoquenan@gmail.com</t>
  </si>
  <si>
    <t>Diego Arroyo Quenan</t>
  </si>
  <si>
    <t>PASTO</t>
  </si>
  <si>
    <t>Universidad de Nariño</t>
  </si>
  <si>
    <t>Ingeniería Agroindustrial</t>
  </si>
  <si>
    <t xml:space="preserve"> 312 7102118</t>
  </si>
  <si>
    <t>Calle 21G, Pasto, Colombia</t>
  </si>
  <si>
    <t>leonardrincon18@gmail.com</t>
  </si>
  <si>
    <t>Leonart Rincon</t>
  </si>
  <si>
    <t>Sogamoso</t>
  </si>
  <si>
    <t>Carrera 31 11A-54, 152211 Sogamoso, Colombia</t>
  </si>
  <si>
    <t>diegoandresp275@gmail.com</t>
  </si>
  <si>
    <t>Diego Andres Perez Rodriguez</t>
  </si>
  <si>
    <t>Abuela - Mariela Camargo de Rodriguez</t>
  </si>
  <si>
    <t>Vereda Primera Chorrera, Sogamoso, Colombia</t>
  </si>
  <si>
    <t>adrianaa.salgador@gmail.com</t>
  </si>
  <si>
    <t>Adriana Alexandra Salgado Rivera</t>
  </si>
  <si>
    <t xml:space="preserve"> 322 4630169</t>
  </si>
  <si>
    <t>Calle 49DD 83A-68, 050035 Medellin, Colombia</t>
  </si>
  <si>
    <t>yurley.tejada25@gmail.com</t>
  </si>
  <si>
    <t>YURLEY FANERY TEJADA ZULUAGA</t>
  </si>
  <si>
    <t>320 8896616</t>
  </si>
  <si>
    <t>Carrera 43B 102, Medellin, Colombia</t>
  </si>
  <si>
    <t>fiorellalopezfajardo@gmail.com</t>
  </si>
  <si>
    <t>FIORELLA FAJARDO</t>
  </si>
  <si>
    <t>311 3236803</t>
  </si>
  <si>
    <t>Calle 48B 91A-42, 050035 Medellin, Colombia</t>
  </si>
  <si>
    <t>mceleste1220@gmail.com</t>
  </si>
  <si>
    <t>María Celeste Cardona Gallo</t>
  </si>
  <si>
    <t>GUARNE</t>
  </si>
  <si>
    <t xml:space="preserve"> 312 6440342</t>
  </si>
  <si>
    <t>Carrera 46A 50A-43, 054050 Guarne, Colombia</t>
  </si>
  <si>
    <t>sruizt2@eafit.edu.co</t>
  </si>
  <si>
    <t>Sofia Ruiz Tamayo</t>
  </si>
  <si>
    <t>Envigado</t>
  </si>
  <si>
    <t>Biología</t>
  </si>
  <si>
    <t>Transversal 32D Sur Diagonal 31B-16, 055420 Envigado, Colombia</t>
  </si>
  <si>
    <t>dmorenodo@unal.edu.co</t>
  </si>
  <si>
    <t>David Moreno Dosantos</t>
  </si>
  <si>
    <t>ingeniería biológica</t>
  </si>
  <si>
    <t>Diagonal 64 52-16, 050034 Medellin, Colombia</t>
  </si>
  <si>
    <t>cataflorez1113@gmail.com</t>
  </si>
  <si>
    <t>Catalina Flórez Medina</t>
  </si>
  <si>
    <t xml:space="preserve"> 317 4002460</t>
  </si>
  <si>
    <t>Carrera 48A 12 S-161, 050022 Medellin, Colombia</t>
  </si>
  <si>
    <t>danielariasvalderrama@gmail.com</t>
  </si>
  <si>
    <t>Daniel Arias Valderrama</t>
  </si>
  <si>
    <t>MANIZALES</t>
  </si>
  <si>
    <t xml:space="preserve"> 310 3774795</t>
  </si>
  <si>
    <t>Transversal 72 20-54, 170003 Manizales, Colombia</t>
  </si>
  <si>
    <t>jeffersongonzales3112@gmail.com</t>
  </si>
  <si>
    <t>Jefferson Gonzalez Gordillo</t>
  </si>
  <si>
    <t>PALMIRA VALLE</t>
  </si>
  <si>
    <t xml:space="preserve"> 313 7604357</t>
  </si>
  <si>
    <t>Carrera 1A 33, Palmira, Colombia</t>
  </si>
  <si>
    <t>dc.morat@outlook.es</t>
  </si>
  <si>
    <t>Dana Catalina Mora Torres</t>
  </si>
  <si>
    <t xml:space="preserve"> 312 4693211</t>
  </si>
  <si>
    <t>250227 Subachoque, Colombia</t>
  </si>
  <si>
    <t>paulamaanrique052@hotmail.com</t>
  </si>
  <si>
    <t>Paula Vanessa Manrique Camacho</t>
  </si>
  <si>
    <t>TABIO</t>
  </si>
  <si>
    <t>Tabio, Colombia</t>
  </si>
  <si>
    <t>yerliseth1726@gmail.com</t>
  </si>
  <si>
    <t>Yerly Liseth Pastran Parra</t>
  </si>
  <si>
    <t>Fundación Universitaria Agraria de Colombia</t>
  </si>
  <si>
    <t xml:space="preserve"> 322 3851073</t>
  </si>
  <si>
    <t>Calle 74A 78-10, 111051 Bogota, D.C., Colombia</t>
  </si>
  <si>
    <t>sergio2a04@gmail.com</t>
  </si>
  <si>
    <t>Sergio Arbelaez Agudelo</t>
  </si>
  <si>
    <t>Chia</t>
  </si>
  <si>
    <t xml:space="preserve"> 310 2213837</t>
  </si>
  <si>
    <t>Avenida Pradilla 5-25, 250001 Chía, Colombia</t>
  </si>
  <si>
    <t>alejo.cparra12@gmail.com</t>
  </si>
  <si>
    <t>Manuel Alejandro Cortés Parra</t>
  </si>
  <si>
    <t>301 2449988</t>
  </si>
  <si>
    <t>Carrera 85E 42-50, 760026 Cali, Colombia</t>
  </si>
  <si>
    <t>herrerafuentesalejandrojose@gmail.com</t>
  </si>
  <si>
    <t>Alejandro José Herrera Fuentes</t>
  </si>
  <si>
    <t xml:space="preserve"> 302 4511618</t>
  </si>
  <si>
    <t>Carrera 33A 103, Barranquilla, Colombia</t>
  </si>
  <si>
    <t>escorciasebas56@gmail.com</t>
  </si>
  <si>
    <t>Sebastián Escorcia Reales</t>
  </si>
  <si>
    <t xml:space="preserve"> 315 5903994</t>
  </si>
  <si>
    <t>Calle 20 16-70, 083003 Soledad, Colombia</t>
  </si>
  <si>
    <t>valeqo13063105@gmail.com</t>
  </si>
  <si>
    <t>Valeria Alejandra Quezada Olarte</t>
  </si>
  <si>
    <t>Cartagena de Indias</t>
  </si>
  <si>
    <t>Ingeniería Civil</t>
  </si>
  <si>
    <t>Alto Bosque, Cartagena, Colombia</t>
  </si>
  <si>
    <t>ssanchezdearce@gmail.com</t>
  </si>
  <si>
    <t>Santiago Sanchez De Arce</t>
  </si>
  <si>
    <t xml:space="preserve"> 313 5748376</t>
  </si>
  <si>
    <t>Carrera 53 9B-45, 760036 Cali, Colombia</t>
  </si>
  <si>
    <t>alejandro.martinez.ruiz@correounivalle.edu.co</t>
  </si>
  <si>
    <t>Alejandro Martinez Ruiz</t>
  </si>
  <si>
    <t xml:space="preserve"> 301 4054205</t>
  </si>
  <si>
    <t>760007 Cali, Colombia</t>
  </si>
  <si>
    <t>camilosanchezochoa125@gmail.com</t>
  </si>
  <si>
    <t>Camilo Sánchez Ochoa</t>
  </si>
  <si>
    <t>POPAYÁN</t>
  </si>
  <si>
    <t xml:space="preserve"> 317 8982461</t>
  </si>
  <si>
    <t>Rincon de la Estancia, Popayan, Colombia</t>
  </si>
  <si>
    <t>diana.martinez12@u.icesi.edu.co</t>
  </si>
  <si>
    <t>DIANA CAMILA MARTINEZ SOTO</t>
  </si>
  <si>
    <t>Cali, Valle del Cauca</t>
  </si>
  <si>
    <t>Carrera 121 20-27, 760031 Cali, Colombia</t>
  </si>
  <si>
    <t>jimmy.josa@correounivalle.edu.co</t>
  </si>
  <si>
    <t>Jimmy Daniel Josa Collazos</t>
  </si>
  <si>
    <t xml:space="preserve"> 322 6175626</t>
  </si>
  <si>
    <t>Meléndez, Cali, Colombia</t>
  </si>
  <si>
    <t>mariaandrea.maac@gmail.com</t>
  </si>
  <si>
    <t>María Andrea Argumedo Campo</t>
  </si>
  <si>
    <t>Montería</t>
  </si>
  <si>
    <t>UNIVERSIDAD DE CÓRDOBA</t>
  </si>
  <si>
    <t>La Granja, Monteria, Colombia</t>
  </si>
  <si>
    <t>sotomariaclaudia02@gmail.com</t>
  </si>
  <si>
    <t>Maria Claudia Soto Pereira</t>
  </si>
  <si>
    <t>Montería CO (Córdoba-CO)</t>
  </si>
  <si>
    <t>Universidad de Córdoba</t>
  </si>
  <si>
    <t>Monteria, Colombia</t>
  </si>
  <si>
    <t>jdmperez2006@gmail.com</t>
  </si>
  <si>
    <t>Julian Mejía Pérez</t>
  </si>
  <si>
    <t>BARANOA</t>
  </si>
  <si>
    <t>Calle 19 16B-10, 082020 Baranoa, Colombia</t>
  </si>
  <si>
    <t>valenjimenez100@gmail.com</t>
  </si>
  <si>
    <t>Valentina Jimenez Diaz</t>
  </si>
  <si>
    <t>Carrera 80 172A-35, 111166 Bogota, D.C., Colombia</t>
  </si>
  <si>
    <t>juanresco@unisabana.edu.co</t>
  </si>
  <si>
    <t>Juan Restrepo</t>
  </si>
  <si>
    <t xml:space="preserve"> 300 2853391</t>
  </si>
  <si>
    <t>Carrera 8 7-46, 251010 Tocancipá, Colombia</t>
  </si>
  <si>
    <t>juan.pulido1405@gmail.com</t>
  </si>
  <si>
    <t>Juan David Pulido Rosas</t>
  </si>
  <si>
    <t xml:space="preserve"> 321 3813413</t>
  </si>
  <si>
    <t>Carrera 68B 23B, Bogota, D.C., Colombia</t>
  </si>
  <si>
    <t>aldanaruizjorgeeliecer@gmail.com</t>
  </si>
  <si>
    <t>JORGE ALDANA RUIZ</t>
  </si>
  <si>
    <t xml:space="preserve"> 300 8840493</t>
  </si>
  <si>
    <t>Cereté, Colombia</t>
  </si>
  <si>
    <t>sofipolancot@gmail.com</t>
  </si>
  <si>
    <t>Sofia Polanco Tietje</t>
  </si>
  <si>
    <t>Fundación Universitaria Konrad Lorenz</t>
  </si>
  <si>
    <t xml:space="preserve"> 311 8825484</t>
  </si>
  <si>
    <t>Calle 152 56-75, 111156 Bogota, D.C., Colombia</t>
  </si>
  <si>
    <t>correonavia@gmail.com</t>
  </si>
  <si>
    <t>Nicolás Barros</t>
  </si>
  <si>
    <t>VILLAVICENCIO</t>
  </si>
  <si>
    <t xml:space="preserve"> 322 4541839</t>
  </si>
  <si>
    <t>Iglesia Restrepo Meta, 501031 Restrepo, Colombia</t>
  </si>
  <si>
    <t>andreaochoa516@gmail.com</t>
  </si>
  <si>
    <t>Andrea Ochoa Pico</t>
  </si>
  <si>
    <t xml:space="preserve"> 311 5366519</t>
  </si>
  <si>
    <t>Calle 134A 18-51, 110121 Bogota, D.C., Colombia</t>
  </si>
  <si>
    <t>yesica.gallo1@udea.edu.co</t>
  </si>
  <si>
    <t>Yesica Alejandra Gallo Botero</t>
  </si>
  <si>
    <t>Medellin</t>
  </si>
  <si>
    <t xml:space="preserve"> 310 8795621</t>
  </si>
  <si>
    <t>Calle 65 56-84, 050010 Medellin, Colombia</t>
  </si>
  <si>
    <t>alejoguerrero2709@gmail.com</t>
  </si>
  <si>
    <t>Alejandro Guerrero Arango</t>
  </si>
  <si>
    <t xml:space="preserve"> 316 8227783</t>
  </si>
  <si>
    <t>angiecuellar1213@gmail.com</t>
  </si>
  <si>
    <t>Angie Sofia Cuellar Capella</t>
  </si>
  <si>
    <t xml:space="preserve"> 300 6894859</t>
  </si>
  <si>
    <t>Bruselas, Cartagena, Colombia</t>
  </si>
  <si>
    <t>payaresdaniel20@gmail.com</t>
  </si>
  <si>
    <t>Daniel Payares</t>
  </si>
  <si>
    <t xml:space="preserve"> 319 3885124</t>
  </si>
  <si>
    <t>Calle 8 Sur 43B-112, 050022 Medellin, Colombia</t>
  </si>
  <si>
    <t>estefaniaberdugo26@gmail.com</t>
  </si>
  <si>
    <t>Estefania Berdugo</t>
  </si>
  <si>
    <t>Carrera 29 94-3, 680003 Bucaramanga, Colombia</t>
  </si>
  <si>
    <t>iraisatorsa2510@gmail.com</t>
  </si>
  <si>
    <t>Iralis Torregroza Sarria</t>
  </si>
  <si>
    <t xml:space="preserve"> 322 5830965</t>
  </si>
  <si>
    <t>Conjunto Residencial El Magnolio, 250001 Chía, Colombia</t>
  </si>
  <si>
    <t>karolita.tulay@gmail.com</t>
  </si>
  <si>
    <t>Karol Andrea Oviedo Tulay</t>
  </si>
  <si>
    <t>Calle 68 Sur 78H-28, 110741 Bogota, D.C., Colombia</t>
  </si>
  <si>
    <t>mariaalemendeza@gmail.com</t>
  </si>
  <si>
    <t>María Alejandra Méndez Alcalá</t>
  </si>
  <si>
    <t xml:space="preserve"> 311 2694927</t>
  </si>
  <si>
    <t>Carrera 49 118-73, 111111 Bogota, D.C., Colombia</t>
  </si>
  <si>
    <t>isanchezsanchez1104@gmail.com</t>
  </si>
  <si>
    <t>Isabella Sánchez</t>
  </si>
  <si>
    <t>Calle 131 78A-61, 111121 Bogota, D.C., Colombia</t>
  </si>
  <si>
    <t>g.guerrerog@uniandes.edu.co</t>
  </si>
  <si>
    <t>Gabriela GUERRERO GARRIDO</t>
  </si>
  <si>
    <t xml:space="preserve"> 320 8538594</t>
  </si>
  <si>
    <t>Carrera 11B 123-30, 110111 Bogota, D.C., Colombia</t>
  </si>
  <si>
    <t>luciaserpa05@gmail.com</t>
  </si>
  <si>
    <t>Maria Lucia Serpa Martin</t>
  </si>
  <si>
    <t>Bogota/Chia</t>
  </si>
  <si>
    <t xml:space="preserve"> 301 5379266</t>
  </si>
  <si>
    <t>Vereda La Balsa, Chía, Colombia</t>
  </si>
  <si>
    <t>jessuaguillot0721@gmail.com</t>
  </si>
  <si>
    <t>Jessua Guillot Gonzalez</t>
  </si>
  <si>
    <t>Carrera 37 9C-19, 470002 Santa Marta, Colombia</t>
  </si>
  <si>
    <t>karolmiranda1907@gmail.com</t>
  </si>
  <si>
    <t>Carolina Arrieta</t>
  </si>
  <si>
    <t>MONTERIA CORDOBA</t>
  </si>
  <si>
    <t>Universidad de Cordoba</t>
  </si>
  <si>
    <t xml:space="preserve"> 320 6461491</t>
  </si>
  <si>
    <t>Calle 77, Monteria, Colombia</t>
  </si>
  <si>
    <t>sebaschin1503@gmail.com</t>
  </si>
  <si>
    <t>Sebastian Ferney Chinchilla Forero</t>
  </si>
  <si>
    <t xml:space="preserve"> 322 7851411</t>
  </si>
  <si>
    <t>Carrera 27 105-250, 681004 Floridablanca, Colombia</t>
  </si>
  <si>
    <t>danielandresruizsandoval@gmail.com</t>
  </si>
  <si>
    <t>Daniel Andres Ruiz Sandoval</t>
  </si>
  <si>
    <t>MEDELLÍN</t>
  </si>
  <si>
    <t xml:space="preserve"> 320 2359161</t>
  </si>
  <si>
    <t>Carrera 38 43-73, 050016 Medellin, Colombia</t>
  </si>
  <si>
    <t>gerdavidvn20@gmail.com</t>
  </si>
  <si>
    <t>German David Villamizar Nova</t>
  </si>
  <si>
    <t>Calle 90 24-72, 680004 Bucaramanga, Colombia</t>
  </si>
  <si>
    <t>vaneanguloalba@gmail.com</t>
  </si>
  <si>
    <t>Vanessa Alejandra Angulo Alba</t>
  </si>
  <si>
    <t>Tibitó</t>
  </si>
  <si>
    <t>Administración de Empresas Agropecuarias</t>
  </si>
  <si>
    <t xml:space="preserve"> 333 7505212</t>
  </si>
  <si>
    <t>Carrera 34 19-133, 150462 Duitama, Colombia</t>
  </si>
  <si>
    <t>yiselpa2206@gmail.com</t>
  </si>
  <si>
    <t>Yisel Lorena Padilla Cárdenas</t>
  </si>
  <si>
    <t xml:space="preserve"> 302 3133177</t>
  </si>
  <si>
    <t>Calle 14 16-35, 250251 Zipaquirá, Colombia</t>
  </si>
  <si>
    <t>jose231101a@gmail.com</t>
  </si>
  <si>
    <t>Jose Alexander Romero Cardenas</t>
  </si>
  <si>
    <t xml:space="preserve"> 322 2067541</t>
  </si>
  <si>
    <t>Tunja, Colombia</t>
  </si>
  <si>
    <t>maicolestivenchavarronope3@gmail.com</t>
  </si>
  <si>
    <t>Michael Stevent Chavarro Nope</t>
  </si>
  <si>
    <t>Tunja boyaca</t>
  </si>
  <si>
    <t>Universidad de boyaca</t>
  </si>
  <si>
    <t xml:space="preserve"> 314 2209452</t>
  </si>
  <si>
    <t>Carrera 2G-4, 150003 Tunja, Colombia</t>
  </si>
  <si>
    <t>natalia03982@gmail.com</t>
  </si>
  <si>
    <t>Natalia Sofía Suárez Rodríguez</t>
  </si>
  <si>
    <t>Ingeniería de Transporte y Vías</t>
  </si>
  <si>
    <t>Hermana - Adriana Lizeth Suárez Rodríguez</t>
  </si>
  <si>
    <t>Carrera 13 25-12, 150002 Tunja, Colombia</t>
  </si>
  <si>
    <t>sebas1ostos2@gmail.com</t>
  </si>
  <si>
    <t>Sebastian Enrique Ostos Barrera</t>
  </si>
  <si>
    <t xml:space="preserve"> 322 4745812</t>
  </si>
  <si>
    <t>Carrera 71B 71-53, 111061 Bogota, D.C., Colombia</t>
  </si>
  <si>
    <t>Relaciones laborales</t>
  </si>
  <si>
    <t>angelaospina9@hotmail.com</t>
  </si>
  <si>
    <t>Ángela María Ospina Quintero</t>
  </si>
  <si>
    <t xml:space="preserve"> 322 6765803</t>
  </si>
  <si>
    <t>Carrera 5A 32-55, 110311 Bogota, D.C., Colombia</t>
  </si>
  <si>
    <t>pandreagutierrez4@gmail.com</t>
  </si>
  <si>
    <t>PAULA ANDREA GUTIERREZ GOMEZ</t>
  </si>
  <si>
    <t>UNIVERSIDAD POPULAR DEL CESAR</t>
  </si>
  <si>
    <t xml:space="preserve"> 324 6016605</t>
  </si>
  <si>
    <t>natacarrero23@gmail.com</t>
  </si>
  <si>
    <t>Natalia Carrero Salinas</t>
  </si>
  <si>
    <t>Carrera 7, Soacha, Colombia</t>
  </si>
  <si>
    <t>sebastian2y3r@gmail.com</t>
  </si>
  <si>
    <t>Sebastian Yanchaguano Romero</t>
  </si>
  <si>
    <t>305 8860218</t>
  </si>
  <si>
    <t>Carrera 20 160-25, 110131 Bogota, D.C., Colombia</t>
  </si>
  <si>
    <t>juanvargas0608@hotmail.com</t>
  </si>
  <si>
    <t>Juan Felipe Vargas Martinez</t>
  </si>
  <si>
    <t>317 7639732</t>
  </si>
  <si>
    <t>Transversal 77 Calle 162, Bogota, D.C., Colombia</t>
  </si>
  <si>
    <t>luisam.lozano@urosario.edu.co</t>
  </si>
  <si>
    <t>Luisa Lozano Trujillo</t>
  </si>
  <si>
    <t xml:space="preserve"> 311 8143467</t>
  </si>
  <si>
    <t>Carrera 55A 187-51, 111166 Bogota, D.C., Colombia</t>
  </si>
  <si>
    <t>jczuniga1905@gmail.com</t>
  </si>
  <si>
    <t>Juan Camilo Zúñiga Suárez</t>
  </si>
  <si>
    <t xml:space="preserve"> 323 3367001</t>
  </si>
  <si>
    <t>serodriguezb7@gmail.com</t>
  </si>
  <si>
    <t>Sebastián Andrés Rodríguez Barrera</t>
  </si>
  <si>
    <t>Fundación Universitaria del Área Andina</t>
  </si>
  <si>
    <t xml:space="preserve"> 313 5117090</t>
  </si>
  <si>
    <t>Calle 86 114-76, 111011 Bogota, D.C., Colombia</t>
  </si>
  <si>
    <t>mariangelgricap@gmail.com</t>
  </si>
  <si>
    <t>Mariangel Grimaldo Capdevilla</t>
  </si>
  <si>
    <t xml:space="preserve"> 313 8394233</t>
  </si>
  <si>
    <t>Carrera 50 130-15, 111111 Bogota, D.C., Colombia</t>
  </si>
  <si>
    <t>stgsan@hotmail.com</t>
  </si>
  <si>
    <t>Santiago Téllez Gutiérrez</t>
  </si>
  <si>
    <t xml:space="preserve"> 318 8778478</t>
  </si>
  <si>
    <t>Calle 146 13-9, 110121 Bogota, D.C., Colombia</t>
  </si>
  <si>
    <t>abg.daniel.guevara@gmail.com</t>
  </si>
  <si>
    <t>Daniel Fernando Guevara Torralba</t>
  </si>
  <si>
    <t xml:space="preserve"> 317 8009224</t>
  </si>
  <si>
    <t>Carrera 13 19-62, 150002 Tunja, Colombia</t>
  </si>
  <si>
    <t>lizeth3004gomez@gmail.com</t>
  </si>
  <si>
    <t>LIZETH KATHERINE GÓMEZ BARÓN</t>
  </si>
  <si>
    <t>HERMANO - JULIAN ALEXANDER BUITRAGO BARÓN</t>
  </si>
  <si>
    <t xml:space="preserve"> 322 5436103</t>
  </si>
  <si>
    <t>nicolastorres5h6@gmail.com</t>
  </si>
  <si>
    <t>Nicolas Torres Carreño</t>
  </si>
  <si>
    <t xml:space="preserve"> 321 2038347</t>
  </si>
  <si>
    <t>Duitama, Colombia</t>
  </si>
  <si>
    <t>lauravalentinavelandiacamargo@gmail.com</t>
  </si>
  <si>
    <t>Laura valentina Velandia Camargo</t>
  </si>
  <si>
    <t>Nogal Plaza, 150003 Tunja, Colombia</t>
  </si>
  <si>
    <t>blancoleonl63@gmail.com</t>
  </si>
  <si>
    <t>Luis Carlos Blanco León</t>
  </si>
  <si>
    <t>320 3456294</t>
  </si>
  <si>
    <t>Tunja, Boyacá</t>
  </si>
  <si>
    <t>karenvela1001@gmail.com</t>
  </si>
  <si>
    <t>Karen Juliana Vela Cárdenas</t>
  </si>
  <si>
    <t>314 2225915</t>
  </si>
  <si>
    <t>riverareyesalejandra7@gmail.com</t>
  </si>
  <si>
    <t>Maria alejandra rivera reyes</t>
  </si>
  <si>
    <t xml:space="preserve"> 321 9937799</t>
  </si>
  <si>
    <t>Conjunto Residencial Sierra de Normandia, 760045 Cali, Colombia</t>
  </si>
  <si>
    <t>julianamariacastrorojas@gmail.com</t>
  </si>
  <si>
    <t>Juliana Castro Rojas</t>
  </si>
  <si>
    <t xml:space="preserve"> 323 2745140</t>
  </si>
  <si>
    <t>Calle 191A 11A-93, 110141 Bogota, D.C., Colombia</t>
  </si>
  <si>
    <t>ximena.carrera004@gmail.com</t>
  </si>
  <si>
    <t>ximena carrera</t>
  </si>
  <si>
    <t>Pasto</t>
  </si>
  <si>
    <t>Villa Ángela, Pasto, Colombia</t>
  </si>
  <si>
    <t>estivengonzafcb@gmail.com</t>
  </si>
  <si>
    <t>Estiven González Zúñiga</t>
  </si>
  <si>
    <t xml:space="preserve"> 322 2738812</t>
  </si>
  <si>
    <t>Carrera 102 21-162, 760032 Cali, Colombia</t>
  </si>
  <si>
    <t>paulisj895@gmail.com</t>
  </si>
  <si>
    <t>Paula Jimenez</t>
  </si>
  <si>
    <t xml:space="preserve"> 322 2332441</t>
  </si>
  <si>
    <t>Carrera 6 183-80, 110141 Bogota, D.C., Colombia</t>
  </si>
  <si>
    <t>mgiron.2328@gmail.com</t>
  </si>
  <si>
    <t>Maria Giron</t>
  </si>
  <si>
    <t xml:space="preserve"> 318 4422562</t>
  </si>
  <si>
    <t>Calle 159 54-81, 111156 Bogota, D.C., Colombia</t>
  </si>
  <si>
    <t>riosdan618@gmail.com</t>
  </si>
  <si>
    <t>Daniela Rios</t>
  </si>
  <si>
    <t>Universidad de la costa CUC</t>
  </si>
  <si>
    <t>Calle 39-44, 080003 Barranquilla, Colombia</t>
  </si>
  <si>
    <t>dayannacastro200308@gmail.com</t>
  </si>
  <si>
    <t>Dayanna Valentina Castro Barbosa</t>
  </si>
  <si>
    <t>Conjunto Residencial Paraguitas 1, 681001 Floridablanca, Colombia</t>
  </si>
  <si>
    <t>09.zanathalydiaz@gmail.com</t>
  </si>
  <si>
    <t>Nathaly Constanza Díaz Romero</t>
  </si>
  <si>
    <t>Medellin, Colombia</t>
  </si>
  <si>
    <t>andresbenavidezj@gmail.com</t>
  </si>
  <si>
    <t>JESÚS ANDRÉS BENAVIDES FREIRE</t>
  </si>
  <si>
    <t xml:space="preserve"> 316 5372511</t>
  </si>
  <si>
    <t>Calle 54 12A, Cali, Colombia</t>
  </si>
  <si>
    <t>lizrojass212@gmail.com</t>
  </si>
  <si>
    <t>Lizeth Dayana Rojas Valencia</t>
  </si>
  <si>
    <t xml:space="preserve"> 305 8808379</t>
  </si>
  <si>
    <t>Carrera 1E BIS 57-10, 760004 Cali, Colombia</t>
  </si>
  <si>
    <t>daniela.maiguel@correounivalle.edu.co</t>
  </si>
  <si>
    <t>Daniela Gutierrez de Piñerez Maiguel</t>
  </si>
  <si>
    <t xml:space="preserve"> 316 4963071</t>
  </si>
  <si>
    <t>Calle 50 92-56, 760026 Cali, Colombia</t>
  </si>
  <si>
    <t>cardonameilyn91@gmail.com</t>
  </si>
  <si>
    <t>MEILYN YINETH CARDONA CANAVAL</t>
  </si>
  <si>
    <t xml:space="preserve"> 318 4111789</t>
  </si>
  <si>
    <t>Transversal 6A, Palmira, Colombia</t>
  </si>
  <si>
    <t>paula.andrea.velasquez@correounivalle.edu.co</t>
  </si>
  <si>
    <t>PAULA ANDREA VELASQUEZ TORRES</t>
  </si>
  <si>
    <t xml:space="preserve"> 322 2149678</t>
  </si>
  <si>
    <t>Carrera 13B 22-49, 760502 Yumbo, Colombia</t>
  </si>
  <si>
    <t>vtoledo1@udi.edu.co</t>
  </si>
  <si>
    <t>Valentina Toledo silva</t>
  </si>
  <si>
    <t>Universidad de investigación y desarrollo</t>
  </si>
  <si>
    <t xml:space="preserve"> 321 4847513</t>
  </si>
  <si>
    <t>Carrera 19 111-11, 680004 Bucaramanga, Colombia</t>
  </si>
  <si>
    <t>karoll.calderon.2021@upb.edu.co</t>
  </si>
  <si>
    <t>Karoll Michel Calderón Jaimez</t>
  </si>
  <si>
    <t>Zapopan, Jalisco, México</t>
  </si>
  <si>
    <t xml:space="preserve"> 317 4392050</t>
  </si>
  <si>
    <t>Anillo Vial 21-119, 681004 Floridablanca, Colombia</t>
  </si>
  <si>
    <t>trinogarcia2002@outlook.com</t>
  </si>
  <si>
    <t>Trino García Martelo</t>
  </si>
  <si>
    <t xml:space="preserve"> 310 5919408</t>
  </si>
  <si>
    <t>mendozamartinezvane@gmail.com</t>
  </si>
  <si>
    <t>Vanessa Alexandra Mendoza Martinez</t>
  </si>
  <si>
    <t xml:space="preserve"> 304 2063410</t>
  </si>
  <si>
    <t>Calle 61B 6-38, 083005 Soledad, Colombia</t>
  </si>
  <si>
    <t>majocarrillobedoya@gmail.com</t>
  </si>
  <si>
    <t>Maria Jose Carrillo Bedoya</t>
  </si>
  <si>
    <t xml:space="preserve"> 315 8066945</t>
  </si>
  <si>
    <t>Calle 86 93A-17, 050041 Medellin, Colombia</t>
  </si>
  <si>
    <t>Talento Supply Cervecería de Medellín</t>
  </si>
  <si>
    <t>mafernandezt@unal.edu.co</t>
  </si>
  <si>
    <t>Marilyn Oliva Fernandez Taborda</t>
  </si>
  <si>
    <t>Carrera 59A 69C, Itagüí, Colombia</t>
  </si>
  <si>
    <t>rafaelrendonpalacio@gmail.com</t>
  </si>
  <si>
    <t>Rafael Rendon Palacio</t>
  </si>
  <si>
    <t>valeriaospina.e@gmail.com</t>
  </si>
  <si>
    <t>Valeria Estupiñan</t>
  </si>
  <si>
    <t xml:space="preserve"> 315 4695560</t>
  </si>
  <si>
    <t>Laureles, Medellin, Colombia</t>
  </si>
  <si>
    <t>yeriveram@unal.edu.co</t>
  </si>
  <si>
    <t>Yerli Eliana Rivera Mora</t>
  </si>
  <si>
    <t>INGENIERIA ADMINISTRATIVA</t>
  </si>
  <si>
    <t>Carrera 99-66e, 050033 Medellin, Colombia</t>
  </si>
  <si>
    <t>sharitacosta2502@gmail.com</t>
  </si>
  <si>
    <t>SHARIT PATRCIA ACOSTA ARROYO</t>
  </si>
  <si>
    <t>Universidad Cooperativa de Colombia</t>
  </si>
  <si>
    <t xml:space="preserve"> 321 9335836</t>
  </si>
  <si>
    <t>Calle 48A-94, 230002 Monteria, Colombia</t>
  </si>
  <si>
    <t>mcgutierrp@eafit.edu.co</t>
  </si>
  <si>
    <t>Maria Camila Gutierrez Pelaez</t>
  </si>
  <si>
    <t>SABANETA</t>
  </si>
  <si>
    <t>Calle 77 Sur 35-140, 055450 Sabaneta, Colombia</t>
  </si>
  <si>
    <t>brafebares_@hotmail.com</t>
  </si>
  <si>
    <t>Brayan Felipe Barbosa Esteban</t>
  </si>
  <si>
    <t xml:space="preserve"> 315 7364602</t>
  </si>
  <si>
    <t>camiposadaber@gmail.com</t>
  </si>
  <si>
    <t>Camila Posada</t>
  </si>
  <si>
    <t>Calle 31A 78-55, 050030 Medellin, Colombia</t>
  </si>
  <si>
    <t>milenarestrepo2005@hotmail.com</t>
  </si>
  <si>
    <t>Milena Restrepo Galvis</t>
  </si>
  <si>
    <t>ENVIGADO</t>
  </si>
  <si>
    <t xml:space="preserve"> 300 6329432</t>
  </si>
  <si>
    <t>Carrera 42A, Envigado, Colombia</t>
  </si>
  <si>
    <t>yeisonfag@gmail.com</t>
  </si>
  <si>
    <t>YEISON  FABIAN ALFARO GARCIA</t>
  </si>
  <si>
    <t>305 4221048</t>
  </si>
  <si>
    <t>Carrera 16A 24-15, 250251 Zipaquirá, Colombia</t>
  </si>
  <si>
    <t>daniela.diaz-s@mail.escuelaing.edu.co</t>
  </si>
  <si>
    <t>Daniela Diaz Suarez</t>
  </si>
  <si>
    <t>302 8421772</t>
  </si>
  <si>
    <t>Carrera 12B 161-33, 110131 Bogota, D.C., Colombia</t>
  </si>
  <si>
    <t>santiagochavesw@gmail.com</t>
  </si>
  <si>
    <t>Santiago Chaves</t>
  </si>
  <si>
    <t xml:space="preserve"> 323 4032976</t>
  </si>
  <si>
    <t>santiagoamadorincon@hotmail.com</t>
  </si>
  <si>
    <t>Santiago Enrique Amador Rincon</t>
  </si>
  <si>
    <t xml:space="preserve"> 321 4325795</t>
  </si>
  <si>
    <t>Carrera 72 94-63, 080001 Barranquilla, Colombia</t>
  </si>
  <si>
    <t>isabella.betancur@urosario.edu.co</t>
  </si>
  <si>
    <t>Isabella Betancur Lopez</t>
  </si>
  <si>
    <t>Calle 176 54B-15, 111166 Bogota, D.C., Colombia</t>
  </si>
  <si>
    <t>esnejesus2018@gmail.com</t>
  </si>
  <si>
    <t>Esneider Garavito Balmaceda</t>
  </si>
  <si>
    <t>CORPORACION UNIVERSITARIA DE LA COSTA</t>
  </si>
  <si>
    <t xml:space="preserve"> 300 5244226</t>
  </si>
  <si>
    <t>Calle 31 40A-16, 083002 Soledad, Colombia</t>
  </si>
  <si>
    <t>maricuellarcasti@gmail.com</t>
  </si>
  <si>
    <t>Maria Cuellar Castillo</t>
  </si>
  <si>
    <t>Universidad de la Costa CUC</t>
  </si>
  <si>
    <t>Padre- Oscar Custodio Cuellar Rivera</t>
  </si>
  <si>
    <t xml:space="preserve"> 302 3533233</t>
  </si>
  <si>
    <t>Calle 37 12A-39, 083005 Soledad, Colombia</t>
  </si>
  <si>
    <t>cespro64@gmail.com</t>
  </si>
  <si>
    <t>Cesar Luis Navarro Ibañez</t>
  </si>
  <si>
    <t xml:space="preserve"> 320 7369219</t>
  </si>
  <si>
    <t>faalmanzap@udistrital.edu.co</t>
  </si>
  <si>
    <t>Fabián Almanza Patiño</t>
  </si>
  <si>
    <t xml:space="preserve"> 321 2622132</t>
  </si>
  <si>
    <t>Conjunto Residencial Argo 183, 110141 Bogota, D.C., Colombia</t>
  </si>
  <si>
    <t>jdlobaton04@gmail.com</t>
  </si>
  <si>
    <t>Juan David Lobaton Mendoza</t>
  </si>
  <si>
    <t>Bogota D.C</t>
  </si>
  <si>
    <t xml:space="preserve"> 311 5834299</t>
  </si>
  <si>
    <t>Calle 130F 97-12, 111131 Bogota, D.C., Colombia</t>
  </si>
  <si>
    <t>daniel.quilaguy.correa@gmail.com</t>
  </si>
  <si>
    <t>Daniel Quilaguy Correa</t>
  </si>
  <si>
    <t xml:space="preserve"> 305 3360405</t>
  </si>
  <si>
    <t>Carrera 90 BIS 73A-95, 111051 Bogota, D.C., Colombia</t>
  </si>
  <si>
    <t>fedehernandezmon@gmail.com</t>
  </si>
  <si>
    <t>Federico Hernandez Montano</t>
  </si>
  <si>
    <t>Prima - Lina Montaño Galvis</t>
  </si>
  <si>
    <t>322 342 5440</t>
  </si>
  <si>
    <t>Carrera 18 8, Zipaquirá, Colombia</t>
  </si>
  <si>
    <t>mdavg91@gmail.com</t>
  </si>
  <si>
    <t>Mariana Dávila Giraldo</t>
  </si>
  <si>
    <t>ITAGUI</t>
  </si>
  <si>
    <t xml:space="preserve"> 312 7794191</t>
  </si>
  <si>
    <t>Calle 49 45-36, 055412 Itagüí, Colombia</t>
  </si>
  <si>
    <t>nelsonospina773@gmail.com</t>
  </si>
  <si>
    <t>Nelson Ospina Mosquera</t>
  </si>
  <si>
    <t xml:space="preserve"> 320 3089591</t>
  </si>
  <si>
    <t>Calle 22A 121-223, 760031 Cali, Colombia</t>
  </si>
  <si>
    <t>mariandreasaga@gmail.com</t>
  </si>
  <si>
    <t>Mariana Andrea Sanchez Garcia</t>
  </si>
  <si>
    <t xml:space="preserve"> 319 5754801</t>
  </si>
  <si>
    <t>Calle 166 8D-44, 110131 Bogota, D.C., Colombia</t>
  </si>
  <si>
    <t>sarasmunozl@gmail.com</t>
  </si>
  <si>
    <t>Sara Muñoz</t>
  </si>
  <si>
    <t xml:space="preserve"> 321 4015628</t>
  </si>
  <si>
    <t>Carrera 70 22D-22, 110931 Bogota, D.C., Colombia</t>
  </si>
  <si>
    <t>mariaarenasgomez12@gmail.com</t>
  </si>
  <si>
    <t>María José Arenas Gómez</t>
  </si>
  <si>
    <t xml:space="preserve"> 320 5643575</t>
  </si>
  <si>
    <t>Calle 128A 91-25, 111131 Bogota, D.C., Colombia</t>
  </si>
  <si>
    <t>dani3lgom3zz@gmail.com</t>
  </si>
  <si>
    <t>Daniel Gómez Gutierrez</t>
  </si>
  <si>
    <t xml:space="preserve"> 313 7018275</t>
  </si>
  <si>
    <t>Calle 2 13-30, 760044 Cali, Colombia</t>
  </si>
  <si>
    <t>tasconmariana06@gmail.com</t>
  </si>
  <si>
    <t>Mariana Tascón</t>
  </si>
  <si>
    <t xml:space="preserve"> 302 2998079</t>
  </si>
  <si>
    <t>Carrera 3 2-41, 760044 Cali, Colombia</t>
  </si>
  <si>
    <t>luisaalegria390@gmail.com</t>
  </si>
  <si>
    <t>Luisa Viviana Alegria Jojoa</t>
  </si>
  <si>
    <t>Alférez Real, Cali, Colombia</t>
  </si>
  <si>
    <t>geral125.u@gmail.com</t>
  </si>
  <si>
    <t>Yeraldin Umaña</t>
  </si>
  <si>
    <t>Tuluá</t>
  </si>
  <si>
    <t>Unidad central del Valle del Cauca (UCEVA)</t>
  </si>
  <si>
    <t>Carrera 26 24-19, 763022 Tuluá, Colombia</t>
  </si>
  <si>
    <t>Vacante</t>
  </si>
  <si>
    <t>Ubicación / Planta (funnel)</t>
  </si>
  <si>
    <t>Fecha creatón (texto original)</t>
  </si>
  <si>
    <t>127</t>
  </si>
  <si>
    <t>13 de octubre de 2026</t>
  </si>
  <si>
    <t>7:30 a.m. a 11:30 a.m.</t>
  </si>
  <si>
    <t>13 de octubre de 2026, 7:30 a.m. a 11:30 a.m.</t>
  </si>
  <si>
    <t>1:30 p.m. a 5:30 p.m.</t>
  </si>
  <si>
    <t>13 de octubre de 2026, 1:30 p.m. a 5:30 p.m.</t>
  </si>
  <si>
    <t>Finanzas Control Interno</t>
  </si>
  <si>
    <t>No aplica (vacante a 1 año)</t>
  </si>
  <si>
    <t>Gestión de talento</t>
  </si>
  <si>
    <t>127/Regional Centro</t>
  </si>
  <si>
    <t>16 de octubre de 2026</t>
  </si>
  <si>
    <t>1:30 p.m. a 3:30 p.m.</t>
  </si>
  <si>
    <t>16 de octubre de 2026, 1:30 p.m. a 3:30 p.m.</t>
  </si>
  <si>
    <t>Por confirmar</t>
  </si>
  <si>
    <t>TEV</t>
  </si>
  <si>
    <t>Planta Atlantico</t>
  </si>
  <si>
    <t>Cervecería de Atlántico</t>
  </si>
  <si>
    <t>23 de octubre de 2026</t>
  </si>
  <si>
    <t>8:30 a.m. a 12:00 p.m.</t>
  </si>
  <si>
    <t>23 de octubre de 2026, 8:30 a.m. a 12:00 p.m.</t>
  </si>
  <si>
    <t>Planta Barranquilla</t>
  </si>
  <si>
    <t>Cervecería de Barranquilla</t>
  </si>
  <si>
    <t>22 de octubre de 2026</t>
  </si>
  <si>
    <t>12:30 p.m. a 5:00 p.m.</t>
  </si>
  <si>
    <t>22 de octubre de 2026, 12:30 p.m. a 5:00 p.m.</t>
  </si>
  <si>
    <t>Planta Boyacá</t>
  </si>
  <si>
    <t>Cervecería de Boyacá</t>
  </si>
  <si>
    <t>15 de octubre de 2026</t>
  </si>
  <si>
    <t>7:30 a.m. a 12:00 p.m.</t>
  </si>
  <si>
    <t>Planta Bucaramanga</t>
  </si>
  <si>
    <t>Cervecería de Bucaramanga</t>
  </si>
  <si>
    <t>21 de octubre de 2026</t>
  </si>
  <si>
    <t>21 de octubre de 2026, 7:30 a.m. a 12:00 p.m.</t>
  </si>
  <si>
    <t>Planta Medellín</t>
  </si>
  <si>
    <t>Cervecería de Medellín</t>
  </si>
  <si>
    <t>Envase Cervecería de Medellín  (Tienen practicante de un año)</t>
  </si>
  <si>
    <t>I&amp;S Cervecería de Medellín</t>
  </si>
  <si>
    <t>Planta Tibitó</t>
  </si>
  <si>
    <t>Cervecería de Tibitó</t>
  </si>
  <si>
    <t>27 de octubre de 2026</t>
  </si>
  <si>
    <t>12:30 p.m. a 4:00 p.m.</t>
  </si>
  <si>
    <t>27 de octubre de 2026, 12:30 p.m. a 4:00 p.m.</t>
  </si>
  <si>
    <t>Planta Tocancipá</t>
  </si>
  <si>
    <t>Cervecería de Tocancipá</t>
  </si>
  <si>
    <t>Confirmar cual será la vacante: Logística Cervecería de Tocancipá</t>
  </si>
  <si>
    <t>Planta Cali</t>
  </si>
  <si>
    <t>Cervecería del Valle</t>
  </si>
  <si>
    <t>Indugral</t>
  </si>
  <si>
    <t>15 de octubre de 2026, 12:30 p.m. a 4:00 p.m.</t>
  </si>
  <si>
    <t>Regional Andes</t>
  </si>
  <si>
    <t>Regional Centro</t>
  </si>
  <si>
    <t>Regional Norte</t>
  </si>
  <si>
    <t>Regional Sur</t>
  </si>
  <si>
    <t>22 de octubre de 2026, 8:30 a.m. a 12:00 p.m.</t>
  </si>
  <si>
    <t>Nota: Site, Fecha y Horario de la Maestra se buscan aquí por "Vacante sugerida". Si cambia la fecha u horario de una vacante, edítalo en esta hoja y actualiza las tablas dinámicas (Datos &gt; Actualizar todo).</t>
  </si>
  <si>
    <t>Candidatos confirmados a la Creatón — 127, Regional Centro</t>
  </si>
  <si>
    <t>Cédula</t>
  </si>
  <si>
    <t>Correo</t>
  </si>
  <si>
    <t>Candidatos confirmados a la Creatón — Indugral</t>
  </si>
  <si>
    <t>317 1662760</t>
  </si>
  <si>
    <t>300 5568536</t>
  </si>
  <si>
    <t>318 5139065</t>
  </si>
  <si>
    <t>300 7487102</t>
  </si>
  <si>
    <t>318 4101038</t>
  </si>
  <si>
    <t>320 2205129</t>
  </si>
  <si>
    <t>322 6378982</t>
  </si>
  <si>
    <t>314 8443067</t>
  </si>
  <si>
    <t>320 8753642</t>
  </si>
  <si>
    <t>3135404291</t>
  </si>
  <si>
    <t>323 3317100</t>
  </si>
  <si>
    <t>320 5293145</t>
  </si>
  <si>
    <t>314 5015242</t>
  </si>
  <si>
    <t>Candidatos confirmados a la Creatón — Cervecería del Valle</t>
  </si>
  <si>
    <t>3157699360</t>
  </si>
  <si>
    <t>305 3309565</t>
  </si>
  <si>
    <t>310 4297075</t>
  </si>
  <si>
    <t>318 8018223</t>
  </si>
  <si>
    <t>300 4788939</t>
  </si>
  <si>
    <t>310 4233492</t>
  </si>
  <si>
    <t>321 2048843</t>
  </si>
  <si>
    <t>320 7618708</t>
  </si>
  <si>
    <t>315 4901789</t>
  </si>
  <si>
    <t>3337125760</t>
  </si>
  <si>
    <t>320 4347215</t>
  </si>
  <si>
    <t>3147398003</t>
  </si>
  <si>
    <t>315 8084417</t>
  </si>
  <si>
    <t>322 8629829</t>
  </si>
  <si>
    <t>312 8724546</t>
  </si>
  <si>
    <t>3176161450</t>
  </si>
  <si>
    <t>3182176352</t>
  </si>
  <si>
    <t>315 4069847</t>
  </si>
  <si>
    <t>3156628776</t>
  </si>
  <si>
    <t>324 5771142</t>
  </si>
  <si>
    <t>316 5067860</t>
  </si>
  <si>
    <t>3195372919</t>
  </si>
  <si>
    <t>317 4875563</t>
  </si>
  <si>
    <t>317 3309191</t>
  </si>
  <si>
    <t>Candidatos confirmados a la Creatón — Cervecería de Medellín</t>
  </si>
  <si>
    <t>Candidatos confirmados a la Creatón — Regional Andes</t>
  </si>
  <si>
    <t>321 8212815</t>
  </si>
  <si>
    <t>321 6544399</t>
  </si>
  <si>
    <t>321 5798177</t>
  </si>
  <si>
    <t>3113598719</t>
  </si>
  <si>
    <t>323 2175901</t>
  </si>
  <si>
    <t>322 5903956</t>
  </si>
  <si>
    <t>321 8334820</t>
  </si>
  <si>
    <t>3194401899</t>
  </si>
  <si>
    <t>314 8230896</t>
  </si>
  <si>
    <t>3195270322</t>
  </si>
  <si>
    <t>3102562819</t>
  </si>
  <si>
    <t>3137503885</t>
  </si>
  <si>
    <t>Candidatos confirmados a la Creatón — Cervecería de Atlántico</t>
  </si>
  <si>
    <t>3007316702</t>
  </si>
  <si>
    <t>300 4327190</t>
  </si>
  <si>
    <t>305 4050713</t>
  </si>
  <si>
    <t>304 5469960</t>
  </si>
  <si>
    <t>310 8218310</t>
  </si>
  <si>
    <t>3105274860</t>
  </si>
  <si>
    <t>304 2752561</t>
  </si>
  <si>
    <t>3157085604</t>
  </si>
  <si>
    <t>300 8603362</t>
  </si>
  <si>
    <t>324 4798404</t>
  </si>
  <si>
    <t>304 4555434</t>
  </si>
  <si>
    <t>3016957509</t>
  </si>
  <si>
    <t>3174250357</t>
  </si>
  <si>
    <t>300 1303873</t>
  </si>
  <si>
    <t>Candidatos confirmados a la Creatón — Cervecería de Barranquilla</t>
  </si>
  <si>
    <t>312 6172663</t>
  </si>
  <si>
    <t>300 7536860</t>
  </si>
  <si>
    <t>324 2183271</t>
  </si>
  <si>
    <t>3004451226</t>
  </si>
  <si>
    <t>3012298941</t>
  </si>
  <si>
    <t>3205739128</t>
  </si>
  <si>
    <t>3028404613</t>
  </si>
  <si>
    <t>300 2916918</t>
  </si>
  <si>
    <t>3137286283</t>
  </si>
  <si>
    <t>302 8476293</t>
  </si>
  <si>
    <t>3002713372</t>
  </si>
  <si>
    <t>314 3636163</t>
  </si>
  <si>
    <t>302 8689279</t>
  </si>
  <si>
    <t>300 3916646</t>
  </si>
  <si>
    <t>304 5286582</t>
  </si>
  <si>
    <t>300 6727521</t>
  </si>
  <si>
    <t>320 7461252</t>
  </si>
  <si>
    <t>350 3703324</t>
  </si>
  <si>
    <t>304 5729929</t>
  </si>
  <si>
    <t>305 4414452</t>
  </si>
  <si>
    <t>3169387050</t>
  </si>
  <si>
    <t>314 6441933</t>
  </si>
  <si>
    <t>322 7943599</t>
  </si>
  <si>
    <t>314 5091990</t>
  </si>
  <si>
    <t>324 5087460</t>
  </si>
  <si>
    <t>3006655965</t>
  </si>
  <si>
    <t>301 5176294</t>
  </si>
  <si>
    <t>Candidatos confirmados a la Creatón — Regional Norte</t>
  </si>
  <si>
    <t>321 8076611</t>
  </si>
  <si>
    <t>301 3969374</t>
  </si>
  <si>
    <t>302 4118837</t>
  </si>
  <si>
    <t>314 7902917</t>
  </si>
  <si>
    <t>3176940867</t>
  </si>
  <si>
    <t>Candidatos confirmados a la Creatón — Cervecería de Boyacá</t>
  </si>
  <si>
    <t>3112388229</t>
  </si>
  <si>
    <t>321 7866399</t>
  </si>
  <si>
    <t>3186987976</t>
  </si>
  <si>
    <t>3154190320</t>
  </si>
  <si>
    <t>3105595063</t>
  </si>
  <si>
    <t>312 3264153</t>
  </si>
  <si>
    <t>Candidatos confirmados a la Creatón — Regional Sur</t>
  </si>
  <si>
    <t>3124247820</t>
  </si>
  <si>
    <t>317 2129349</t>
  </si>
  <si>
    <t>318 2468842</t>
  </si>
  <si>
    <t>318 6029672</t>
  </si>
  <si>
    <t>300 2439716</t>
  </si>
  <si>
    <t>Candidatos confirmados a la Creatón — Cervecería de Bucaramanga</t>
  </si>
  <si>
    <t>3152069944</t>
  </si>
  <si>
    <t>3156201141</t>
  </si>
  <si>
    <t>3208719059</t>
  </si>
  <si>
    <t>318 8620569</t>
  </si>
  <si>
    <t>301 7990303</t>
  </si>
  <si>
    <t>3009477921</t>
  </si>
  <si>
    <t>318 8023106</t>
  </si>
  <si>
    <t>3105656315</t>
  </si>
  <si>
    <t>3202411797</t>
  </si>
  <si>
    <t>312 4370413</t>
  </si>
  <si>
    <t>Candidatos confirmados a la Creatón — Cervecería de Tocancipá</t>
  </si>
  <si>
    <t>310 6843734</t>
  </si>
  <si>
    <t>3112717077</t>
  </si>
  <si>
    <t>304 4262137</t>
  </si>
  <si>
    <t>324 3928424</t>
  </si>
  <si>
    <t>301 6260541</t>
  </si>
  <si>
    <t>310 3244082</t>
  </si>
  <si>
    <t>3147560352</t>
  </si>
  <si>
    <t>317 5933601</t>
  </si>
  <si>
    <t>317 4197224</t>
  </si>
  <si>
    <t>3104776612</t>
  </si>
  <si>
    <t>300 4381621</t>
  </si>
  <si>
    <t>315 6904793</t>
  </si>
  <si>
    <t>313 3207767</t>
  </si>
  <si>
    <t>319 6517955</t>
  </si>
  <si>
    <t>313 4821880</t>
  </si>
  <si>
    <t>3112427382</t>
  </si>
  <si>
    <t>310 2167568</t>
  </si>
  <si>
    <t>3156386690</t>
  </si>
  <si>
    <t>3132579156</t>
  </si>
  <si>
    <t>316 8290681</t>
  </si>
  <si>
    <t>3013304652</t>
  </si>
  <si>
    <t>320 9550447</t>
  </si>
  <si>
    <t>314 4777000</t>
  </si>
  <si>
    <t>3102549573</t>
  </si>
  <si>
    <t>Candidatos confirmados a la Creatón — Cervecería de Tibitó</t>
  </si>
  <si>
    <t>3143606567</t>
  </si>
  <si>
    <t>3192705164</t>
  </si>
  <si>
    <t>3209135713</t>
  </si>
  <si>
    <t/>
  </si>
  <si>
    <t>morales_j@javeriana.edu.co</t>
  </si>
  <si>
    <t>Julian David Morales Bolivar</t>
  </si>
  <si>
    <t>ONE PAGER CARGADO</t>
  </si>
  <si>
    <t xml:space="preserve"> 319 2930685</t>
  </si>
  <si>
    <t>Calle 11A Sur 29D-55, 111511 Bogota, D.C., Colombia</t>
  </si>
  <si>
    <t>nicolass.molinad@gmail.com</t>
  </si>
  <si>
    <t>Nicolás Nicolás</t>
  </si>
  <si>
    <t>PRUEBAS FIT CULTURAL</t>
  </si>
  <si>
    <t xml:space="preserve"> 320 9953968</t>
  </si>
  <si>
    <t>Multifamiliar Boyaca, 110621 Bogota, D.C., Colombia</t>
  </si>
  <si>
    <t>13 de octubre de 2026, 12:30 p.m. a 4:00 p.m.</t>
  </si>
  <si>
    <t>1:30 p.m. a 5:00 p.m.</t>
  </si>
  <si>
    <t>22 de octubre de 2026, 1:30 p.m. a 5:00 p.m.</t>
  </si>
  <si>
    <t>3144784547</t>
  </si>
  <si>
    <t>3106456019</t>
  </si>
  <si>
    <t>3127386690</t>
  </si>
  <si>
    <t>322 6175626</t>
  </si>
  <si>
    <t>322 2738812</t>
  </si>
  <si>
    <t>322 8949260</t>
  </si>
  <si>
    <t>310 8795621</t>
  </si>
  <si>
    <t>319 3885124</t>
  </si>
  <si>
    <t>312 7794191</t>
  </si>
  <si>
    <t>3161364210</t>
  </si>
  <si>
    <t>316 2503458</t>
  </si>
  <si>
    <t>314 5227092</t>
  </si>
  <si>
    <t>315 5903994</t>
  </si>
  <si>
    <t>302 4511618</t>
  </si>
  <si>
    <t>3007181485</t>
  </si>
  <si>
    <t>3006906867</t>
  </si>
  <si>
    <t>304 2063410</t>
  </si>
  <si>
    <t>3184636614</t>
  </si>
  <si>
    <t>3205909541</t>
  </si>
  <si>
    <t>3202806780</t>
  </si>
  <si>
    <t>3125891400</t>
  </si>
  <si>
    <t>316 5372511</t>
  </si>
  <si>
    <t>316 4963071</t>
  </si>
  <si>
    <t>318 4111789</t>
  </si>
  <si>
    <t>3218878289</t>
  </si>
  <si>
    <t>3106231132</t>
  </si>
  <si>
    <t>320 2359161</t>
  </si>
  <si>
    <t>3142093772</t>
  </si>
  <si>
    <t>310 5919408</t>
  </si>
  <si>
    <t>315 6794059</t>
  </si>
  <si>
    <t>3046547913</t>
  </si>
  <si>
    <t>300 8840493</t>
  </si>
  <si>
    <t>300 2853391</t>
  </si>
  <si>
    <t>321 3813413</t>
  </si>
  <si>
    <t>333 7505212</t>
  </si>
  <si>
    <t>322 2067541</t>
  </si>
  <si>
    <t>314 2209452</t>
  </si>
  <si>
    <t>andresramirezn5@gmail.com</t>
  </si>
  <si>
    <t>Andres Ramirez nieto</t>
  </si>
  <si>
    <t xml:space="preserve"> 314 5682060</t>
  </si>
  <si>
    <t>Avenida Calle 147 13, Bogota, D.C., Colombia</t>
  </si>
  <si>
    <t>laurayvaleria2005@gmail.com</t>
  </si>
  <si>
    <t>Laura Peña</t>
  </si>
  <si>
    <t xml:space="preserve"> 322 4587534</t>
  </si>
  <si>
    <t>Carrera 54D 135-65, 111111 Bogota, D.C., Colombia</t>
  </si>
  <si>
    <t>nataliarojascastillo2325@gmail.com</t>
  </si>
  <si>
    <t>KAREN NATALIA ROJAS CASTILLO</t>
  </si>
  <si>
    <t>310 8803925</t>
  </si>
  <si>
    <t>Calle 32 17B, Tunja, Colombia</t>
  </si>
  <si>
    <t>PS</t>
  </si>
  <si>
    <t>Agregada desde hoja de vida (14/10/2026)</t>
  </si>
  <si>
    <t>ebladino@uniboyaca.edu.co</t>
  </si>
  <si>
    <t>Ean Bryan Alexandre Ladino Pérez</t>
  </si>
  <si>
    <t>313 4266421</t>
  </si>
  <si>
    <t>Agregado desde hoja de vida (14/10/2026)</t>
  </si>
  <si>
    <t>20 de octubre de 2026</t>
  </si>
  <si>
    <t>20 de octubre de 2026, 7:30 a.m. a 12:00 p.m.</t>
  </si>
  <si>
    <t>21 de octubre de 2026, 7:30 a.m. a 11:30 a.m.</t>
  </si>
  <si>
    <t>Relaciones laborales queda "Por confirmar" por indicación de TA. Filas en naranja en la Maestra = vacante asignada en esta actualización.</t>
  </si>
  <si>
    <t>3147455327</t>
  </si>
  <si>
    <t>(en blanco)</t>
  </si>
  <si>
    <t>321 2038347</t>
  </si>
  <si>
    <t>(Varios elementos)</t>
  </si>
  <si>
    <t>Daniela Prado Sahab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</si>
</sst>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:ss"/>
  </numFmts>
  <fonts count="7" x14ac:knownFonts="1">
    <font>
      <sz val="10"/>
      <name val="Arial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9"/>
      <name val="Arial"/>
      <family val="2"/>
    </font>
    <font>
      <b/>
      <sz val="13"/>
      <color rgb="FF1F3864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FC000"/>
      </patternFill>
    </fill>
    <fill>
      <patternFill patternType="solid">
        <fgColor theme="4" tint="0.39997558519241921"/>
        <bgColor theme="4" tint="0.39997558519241921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5" fillId="0" borderId="0" xfId="0" applyFont="1"/>
    <xf numFmtId="0" fontId="6" fillId="4" borderId="1" xfId="0" applyFont="1" applyFill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tro" refreshedDate="46311.451251041668" createdVersion="6" refreshedVersion="8" minRefreshableVersion="3" recordCount="501" xr:uid="{00000000-000A-0000-FFFF-FFFF01000000}">
  <cacheSource type="worksheet">
    <worksheetSource name="TablaMaestra"/>
  </cacheSource>
  <cacheFields count="53">
    <cacheField name="Correo del candidato" numFmtId="0">
      <sharedItems count="501">
        <s v="jepr.240505@gmail.com"/>
        <s v="gabrielalopezp5@gmail.com"/>
        <s v="mateo.fontecha@outlook.com"/>
        <s v="juanjeronimo1508@gmail.com"/>
        <s v="johningla15@gmail.com"/>
        <s v="santiago.zambrano1008@gmail.com"/>
        <s v="selmasanabriad@gmail.com"/>
        <s v="carolinaandrea6470@gmail.com"/>
        <s v="angelamendozaeslava2000@gmail.com"/>
        <s v="acastanedaruiz55@gmail.com"/>
        <s v="julim2702@gmail.com"/>
        <s v="ottorincon0408@gmail.com"/>
        <s v="ricardocubillosc@javeriana.edu.co"/>
        <s v="sanvalentin139@gmail.com"/>
        <s v="cristianbeltran450@gmail.com"/>
        <s v="dkarina.th@gmail.com"/>
        <s v="afdelgado@universidadmayor.edu.co"/>
        <s v="pericoagudelomariafernanda@gmail.com"/>
        <s v="lunaardila08@hotmail.com"/>
        <s v="dfelipegomeza203@gmail.com"/>
        <s v="daza.matias@javeriana.edu.co"/>
        <s v="nicolechiquiza@gmail.com"/>
        <s v="gabyaguirrecortes@gmail.com"/>
        <s v="foreroandres292@gmail.com"/>
        <s v="sarahernandezn.20@gmail.com"/>
        <s v="mariacasjau@unisabana.edu.co"/>
        <s v="c.gomezt2@uniandes.edu.co"/>
        <s v="marianaroro16@gmail.com"/>
        <s v="gabilievano0120@gmail.com"/>
        <s v="alejandraparracard@gmail.com"/>
        <s v="ignacio.vega.gouffray@gmail.com"/>
        <s v="danigalan1805@gmail.com"/>
        <s v="valeriarojasmora2@gmail.com"/>
        <s v="erikacure12@gmail.com"/>
        <s v="natalia.lizarazo.lopez@gmail.com"/>
        <s v="douglas.plazasg@gmail.com"/>
        <s v="isabellaforero0210@outlook.com"/>
        <s v="daniel.felipe.ladino@gmail.com"/>
        <s v="cataochoad300@gmail.com"/>
        <s v="brayanjaramillo_05@hotmail.com"/>
        <s v="karengonzalezk158@gmail.com"/>
        <s v="juanita.morenov@urosario.edu.co"/>
        <s v="sofiaararat2@gmail.com"/>
        <s v="marialzateballesteros123@gmail.com"/>
        <s v="valemontes2004@outlook.es"/>
        <s v="sofsuarez26@gmail.com"/>
        <s v="miguelcaza24@gmail.com"/>
        <s v="mariajulianarodriguez2003@gmail.com"/>
        <s v="laurav0193@gmail.com"/>
        <s v="arianasofiagomez19@gmail.com"/>
        <s v="isabellarojasdada05@gmail.com"/>
        <s v="leidysanaven@gmail.com"/>
        <s v="pipecorreanegro@gmail.com"/>
        <s v="linapaolaparralobo15@gmail.com"/>
        <s v="tomas101220sandovalr@gmail.com"/>
        <s v="juandiperezcris@hotmail.com"/>
        <s v="wilsiton16ruiz@gmail.com"/>
        <s v="sharitvargas@usantotomas.edu.co"/>
        <s v="isabellasanin2003@gmail.com"/>
        <s v="jeidyyulianabeltrantriana@gmail.com"/>
        <s v="karenlizethlopezcastro@gmail.com"/>
        <s v="veronica.salamanca028@gmail.com"/>
        <s v="ana.castromora9@gmail.com"/>
        <s v="am.diazv12@uniandes.edu.co"/>
        <s v="lauraosorio1422@gmail.com"/>
        <s v="davidortisanchez@gmail.com"/>
        <s v="le.ramirezd1@uniandes.edu.co"/>
        <s v="davidpardo.0627@gmail.com"/>
        <s v="adrianacastillo612@gmail.com"/>
        <s v="nasly.hernandez@hotmail.com"/>
        <s v="mariajimenabecerra@gmail.com"/>
        <s v="mariajose.cubides.a@gmail.com"/>
        <s v="laurascortesg@gmail.com"/>
        <s v="isacano.icca@gmail.com"/>
        <s v="majomorenons@gmail.com"/>
        <s v="7890thunder@gmail.com"/>
        <s v="valemarticas22@gmail.com"/>
        <s v="orjuelagabriela20@gmail.com"/>
        <s v="andresfelipeforerotoro7@gmail.com"/>
        <s v="danielaromanom@gmail.com"/>
        <s v="paulargb2004@hotmail.com"/>
        <s v="danpame1219@gmail.com"/>
        <s v="mariayr501@gmail.com"/>
        <s v="valrg0827@gmail.com"/>
        <s v="jorgeszarate@outlook.com"/>
        <s v="andresmontana811@gmail.com"/>
        <s v="juangarzon1853@gmail.com"/>
        <s v="anaasofiaamonteroo@gmail.com"/>
        <s v="doblecontabilidad@gmail.com"/>
        <s v="danielaalejandrao920@gmail.com"/>
        <s v="jsqo4320@gmail.com"/>
        <s v="andrevelezf@gmail.com"/>
        <s v="jm.aguirre@uniandes.edu.co"/>
        <s v="jjsalcedohernandez@gmail.com"/>
        <s v="sofiaramirezdelavalle27@gmail.com"/>
        <s v="anamariabeltransaenz02@gmail.com"/>
        <s v="viasusgabriela205@gmail.com"/>
        <s v="estefaniaduran.w@gmail.com"/>
        <s v="andrestoncel123@gmail.com"/>
        <s v="mmachucah@unal.edu.co"/>
        <s v="juanmarc1609@gmail.com"/>
        <s v="nrodriguezmartinez23@gmail.com"/>
        <s v="kevinnieto0001@gmail.com"/>
        <s v="marodriguezsan@unal.edu.co"/>
        <s v="isabella.triana.f@gmail.com"/>
        <s v="francouribesimon@gmail.com"/>
        <s v="tatianaparra1805@gmail.com"/>
        <s v="majusanma7@gmail.com"/>
        <s v="fc9908885@gmail.com"/>
        <s v="danielagalindogalvez@gmail.com"/>
        <s v="juanj.diazr1993@gmail.com"/>
        <s v="sanchezo.mangelica@javeriana.edu.co"/>
        <s v="j.navarrov@uniandes.edu.co"/>
        <s v="nataliaprieto0507@gmail.com"/>
        <s v="corredorborja@gmail.com"/>
        <s v="jimenavatorresc@gmail.com"/>
        <s v="luisafernandarojastovar@gmail.com"/>
        <s v="sdsanchezc.27@gmail.com"/>
        <s v="miguemul1@gmail.com"/>
        <s v="gizquierda@eafit.edu.co"/>
        <s v="ercortes@unal.edu.co"/>
        <s v="masavago06@gmail.com"/>
        <s v="juandmurillog06@gmail.com"/>
        <s v="saracordobam4@gmail.com"/>
        <s v="sara.herrera08@outlook.es"/>
        <s v="antosampedro31@gmail.com"/>
        <s v="i.juliao@uniandes.edu.co"/>
        <s v="jairoeamayac@javeriana.edu.co"/>
        <s v="grauveronica033@gmail.com"/>
        <s v="juanferodriguez32@gmail.com"/>
        <s v="mateorojas270@gmail.com"/>
        <s v="maikivilla908@gmail.com"/>
        <s v="danielafernandezg1220@gmail.com"/>
        <s v="lrodriguezcas@unal.edu.co"/>
        <s v="maomarquez2004@gmail.com"/>
        <s v="valecasasbuenas@gmail.com"/>
        <s v="sebastiancasaspoloche@gmail.com"/>
        <s v="sebasluna2013@gmail.com"/>
        <s v="jmremisom@ut.edu.co"/>
        <s v="alejandrojesurun94@gmail.com"/>
        <s v="lunavtorresvargas@gmail.com"/>
        <s v="sofiacosma22@gmail.com"/>
        <s v="juanchis3102@hotmail.com"/>
        <s v="bryantcar2309@hotmail.com"/>
        <s v="sofipolancot@gmail.com"/>
        <s v="correonavia@gmail.com"/>
        <s v="andreaochoa516@gmail.com"/>
        <s v="g.guerrerog@uniandes.edu.co"/>
        <s v="luciaserpa05@gmail.com"/>
        <s v="paulisj895@gmail.com"/>
        <s v="mgiron.2328@gmail.com"/>
        <s v="riosdan618@gmail.com"/>
        <s v="dayannacastro200308@gmail.com"/>
        <s v="09.zanathalydiaz@gmail.com"/>
        <s v="santiagochavesw@gmail.com"/>
        <s v="cespro64@gmail.com"/>
        <s v="faalmanzap@udistrital.edu.co"/>
        <s v="jdlobaton04@gmail.com"/>
        <s v="daniel.quilaguy.correa@gmail.com"/>
        <s v="fedehernandezmon@gmail.com"/>
        <s v="mariandreasaga@gmail.com"/>
        <s v="sarasmunozl@gmail.com"/>
        <s v="mariaarenasgomez12@gmail.com"/>
        <s v="morales_j@javeriana.edu.co"/>
        <s v="nicolass.molinad@gmail.com"/>
        <s v="andresramirezn5@gmail.com"/>
        <s v="laurayvaleria2005@gmail.com"/>
        <s v="lina.giselle.jaramillo@correounivalle.edu.co"/>
        <s v="coraltulcanjuancarlos@gmail.com"/>
        <s v="garcialaurasofia0@gmail.com"/>
        <s v="nathalia.caez@correounivalle.edu.co"/>
        <s v="nataliahenao0527@gmail.com"/>
        <s v="ocampob2003@gmail.com"/>
        <s v="cami188ortiz@gmail.com"/>
        <s v="alejandrodiaznieva@gmail.com"/>
        <s v="catehortua310@gmail.com"/>
        <s v="cristiangonzalez842737@gmail.com"/>
        <s v="danilocuai12@gmail.com"/>
        <s v="dariojbq27@gmail.com"/>
        <s v="guascawilson797@gmail.com"/>
        <s v="miguelsalazar1105@gmail.com"/>
        <s v="ngomezcortes735@gmail.com"/>
        <s v="nicold.astaiza@gmail.com"/>
        <s v="alejandro.martinez.ruiz@correounivalle.edu.co"/>
        <s v="camilosanchezochoa125@gmail.com"/>
        <s v="diana.martinez12@u.icesi.edu.co"/>
        <s v="isapalatoro@gmail.com"/>
        <s v="sofipeh.est@gmail.com"/>
        <s v="anbernala@unal.edu.co"/>
        <s v="federicosflorez@gmail.com"/>
        <s v="alcorrodaniela@gmail.com"/>
        <s v="davida.ospitian@utadeo.edu.co"/>
        <s v="andresrodriguezpracticas@gmail.com"/>
        <s v="laurav.copetet@utadeo.edu.co"/>
        <s v="benjicamacho2003@gmail.com"/>
        <s v="mssilva@unbosque.edu.co"/>
        <s v="paula.14.villanueva@gmail.com"/>
        <s v="melisacesaray123@gmail.com"/>
        <s v="luisavapa@unisabana.edu.co"/>
        <s v="paola.lozadae@gmail.com"/>
        <s v="paulacamilasancheztalero@gmail.com"/>
        <s v="anamariagranada0@gmail.com"/>
        <s v="m.cardenasm2@uniandes.edu.co"/>
        <s v="mariadelmarhenaos@gmail.com"/>
        <s v="juanandreslopez777@gmail.com"/>
        <s v="crisdaduarteri@gmail.com"/>
        <s v="miguelangeldemoyagomez2004@gmail.com"/>
        <s v="karollvelasquez0406@gmail.com"/>
        <s v="samuelvalenciatoro6@gmail.com"/>
        <s v="valeariza31@gmail.com"/>
        <s v="marimojica898@gmail.com"/>
        <s v="camtellezz@gmail.com"/>
        <s v="mariamallarino19@gmail.com"/>
        <s v="lauraplba@unisabana.edu.co"/>
        <s v="josealejandrosv05@gmail.com"/>
        <s v="olartec130702@gmail.com"/>
        <s v="julidg05@gmail.com"/>
        <s v="sofiaramirez2442@gmail.com"/>
        <s v="camiloperezb1106@gmail.com"/>
        <s v="plazasc.nalejandra@javeriana.edu.co"/>
        <s v="nicolascastro375@gmail.com"/>
        <s v="vdma1000@gmail.com"/>
        <s v="vbohorqueznino@gmail.com"/>
        <s v="valenjimenez100@gmail.com"/>
        <s v="estefaniaberdugo26@gmail.com"/>
        <s v="iraisatorsa2510@gmail.com"/>
        <s v="karolita.tulay@gmail.com"/>
        <s v="mariaalemendeza@gmail.com"/>
        <s v="isanchezsanchez1104@gmail.com"/>
        <s v="javiestudio2142@gmail.com"/>
        <s v="luisacarreno3012@gmail.com"/>
        <s v="ortizeliana2004@gmail.com"/>
        <s v="lorensofi2010@hotmail.com"/>
        <s v="astridfajardovargas@gmail.com"/>
        <s v="juansebastiangilrodriguez11@gmail.com"/>
        <s v="leonardrincon18@gmail.com"/>
        <s v="diegoandresp275@gmail.com"/>
        <s v="nataliarojascastillo2325@gmail.com"/>
        <s v="ebladino@uniboyaca.edu.co"/>
        <s v="diegoalejandroarroyoquenan@gmail.com"/>
        <s v="liz24022006@gmail.com"/>
        <s v="nicolastorres5h6@gmail.com"/>
        <s v="lauravalentinavelandiacamargo@gmail.com"/>
        <s v="blancoleonl63@gmail.com"/>
        <s v="karenvela1001@gmail.com"/>
        <s v="est.juan.scastro@unimilitar.edu.co"/>
        <s v="tatamc9515@gmail.com"/>
        <s v="abg.daniel.guevara@gmail.com"/>
        <s v="lizeth3004gomez@gmail.com"/>
        <s v="valentinatellezmonterrosa@gmail.com"/>
        <s v="londonomelissa16@gmail.com"/>
        <s v="linamontenegro1602@gmail.com"/>
        <s v="stefaniamolinaamaya28@gmail.com"/>
        <s v="dannaso04@gmail.com"/>
        <s v="juan.camilo@correounivalle.edu.co"/>
        <s v="juanfrancosalas1401@gmail.com"/>
        <s v="mariajoseav52@gmail.com"/>
        <s v="montenegro.lizeth@correounivalle.edu.co"/>
        <s v="sarahlizethpizaprada@gmail.com"/>
        <s v="salinas.daniel1206@gmail.com"/>
        <s v="mariajoquendoch@gmail.com"/>
        <s v="a.f.herrera2003@gmail.com"/>
        <s v="santiago.tamayo3103@gmail.com"/>
        <s v="ramirez.alvaro@correounivalle.edu.co"/>
        <s v="anamperez@unicauca.edu.co"/>
        <s v="diego.felipe.arcos@correounivalle.edu.co"/>
        <s v="karen.lagarejo9@gmail.com"/>
        <s v="sebasbuslo@hotmail.com"/>
        <s v="castillophanor40@gmail.com"/>
        <s v="pbernal309@gmail.com"/>
        <s v="hurtadojaimessamuel@gmail.com"/>
        <s v="katherine.sarmiento.coy@gmail.com"/>
        <s v="andrespolo151@gmail.com"/>
        <s v="dfernandx@gmail.com"/>
        <s v="albarranximena00@gmail.com"/>
        <s v="gelvezconnie@gmail.com"/>
        <s v="dizeocamilo@gmail.com"/>
        <s v="julianestebanbetancourt@gmail.com"/>
        <s v="daniela.sandovalp01@gmail.com"/>
        <s v="karendiaz081204@gmail.com"/>
        <s v="macama3456@gmail.com"/>
        <s v="zharik2222683@correo.uis.edu.co"/>
        <s v="vc3888297@gmail.com"/>
        <s v="1105360307@u.icesi.edu.co"/>
        <s v="laura.tatiana.torres@correounivalle.edu.co"/>
        <s v="natalyvanessadoradodaza@gmail.com"/>
        <s v="luz7.noguera.v@gmail.com"/>
        <s v="karen.suarezs@outlook.com"/>
        <s v="morenomejia485@gmail.com"/>
        <s v="alexander10763@gmail.com"/>
        <s v="julian29093947@gmail.com"/>
        <s v="emilyquicenoguerrero@gmail.com"/>
        <s v="bellatrabajos23@gmail.com"/>
        <s v="lsalazar14@udi.edu.co"/>
        <s v="juanruizm@unicauca.edu.co"/>
        <s v="johnagredo@outlook.com"/>
        <s v="jeffersongonzales3112@gmail.com"/>
        <s v="alejo.cparra12@gmail.com"/>
        <s v="ssanchezdearce@gmail.com"/>
        <s v="jimmy.josa@correounivalle.edu.co"/>
        <s v="sebaschin1503@gmail.com"/>
        <s v="danielandresruizsandoval@gmail.com"/>
        <s v="gerdavidvn20@gmail.com"/>
        <s v="riverareyesalejandra7@gmail.com"/>
        <s v="julianamariacastrorojas@gmail.com"/>
        <s v="ximena.carrera004@gmail.com"/>
        <s v="estivengonzafcb@gmail.com"/>
        <s v="vtoledo1@udi.edu.co"/>
        <s v="karoll.calderon.2021@upb.edu.co"/>
        <s v="trinogarcia2002@outlook.com"/>
        <s v="c.danielsatizabal@gmail.com"/>
        <s v="josealmariop@gmail.com"/>
        <s v="jd.henriquezalbor@gmail.com"/>
        <s v="danilocarballo53@gmail.com"/>
        <s v="johanmiguel.jmgh@gmail.com"/>
        <s v="danzapeluffo@gmail.com"/>
        <s v="kayrol2810@gmail.com"/>
        <s v="plbarrios@uninorte.edu.co"/>
        <s v="mcarolinazapata@mail.uniatlantico.edu.co"/>
        <s v="nalvarezmenco1119@gmail.com"/>
        <s v="sandovalortizlauravalentina@gmail.com"/>
        <s v="an20-13@hotmail.com"/>
        <s v="zuniga.angel0802@gmail.com"/>
        <s v="valegrondonag@hotmail.com"/>
        <s v="matemarinm@gmail.com"/>
        <s v="carlosada567@gmail.com"/>
        <s v="keitlynpino3@gmail.com"/>
        <s v="stefanyoporto@gmail.com"/>
        <s v="albajulianaquiroz@gmail.com"/>
        <s v="samuelcollazos1709@gmail.com"/>
        <s v="ercavego@gmail.com"/>
        <s v="jnunezleguia@gmail.com"/>
        <s v="danneramaya123@gmail.com"/>
        <s v="mmanjarres2103@gmail.com"/>
        <s v="mnub886@gmail.com"/>
        <s v="djaaron@uninorte.edu.co"/>
        <s v="isis.diazc07@gmail.com"/>
        <s v="ngmolina46@gmail.com"/>
        <s v="michypater02@hotmail.com"/>
        <s v="aricantillo0@gmail.com"/>
        <s v="karenmerco@hotmail.com"/>
        <s v="wvaljimenez@gmail.com"/>
        <s v="afqb0108@gmail.com"/>
        <s v="elianaarroyoperez@gmail.com"/>
        <s v="mariaca272712@gmail.com"/>
        <s v="adrianita.sc03@gmail.com"/>
        <s v="jporto0804@gmail.com"/>
        <s v="faandres@uninorte.edu.co"/>
        <s v="nicollerodriguezblanquicett@gmail.com"/>
        <s v="nbarneyv@gmail.com"/>
        <s v="marianafbaltan@gmail.com"/>
        <s v="ana.gualtero@u.icesi.edu.co"/>
        <s v="veronikamejia95@gmail.com"/>
        <s v="davidrodriguez081@hotmail.com"/>
        <s v="linaaltahona1@gmail.com"/>
        <s v="valeriaagall@gmail.com"/>
        <s v="carovmarino@gmail.com"/>
        <s v="jhosepoliveragaviria@gmail.com"/>
        <s v="bravooteroluisafernanda@gmail.com"/>
        <s v="nicolasbarfer@gmail.com"/>
        <s v="lauraalvaradozp04@gmail.com"/>
        <s v="danielaguerrero270@gmail.com"/>
        <s v="esneiderguzman19@gmail.com"/>
        <s v="herrerafuentesalejandrojose@gmail.com"/>
        <s v="escorciasebas56@gmail.com"/>
        <s v="valeqo13063105@gmail.com"/>
        <s v="mariaandrea.maac@gmail.com"/>
        <s v="sotomariaclaudia02@gmail.com"/>
        <s v="jdmperez2006@gmail.com"/>
        <s v="andresbenavidezj@gmail.com"/>
        <s v="lizrojass212@gmail.com"/>
        <s v="daniela.maiguel@correounivalle.edu.co"/>
        <s v="cardonameilyn91@gmail.com"/>
        <s v="paula.andrea.velasquez@correounivalle.edu.co"/>
        <s v="mendozamartinezvane@gmail.com"/>
        <s v="santiagoamadorincon@hotmail.com"/>
        <s v="isabella.betancur@urosario.edu.co"/>
        <s v="esnejesus2018@gmail.com"/>
        <s v="maricuellarcasti@gmail.com"/>
        <s v="dani3lgom3zz@gmail.com"/>
        <s v="tasconmariana06@gmail.com"/>
        <s v="luisaalegria390@gmail.com"/>
        <s v="geral125.u@gmail.com"/>
        <s v="dannamontilla77@gmail.com"/>
        <s v="ruedafernanda385@gmail.com"/>
        <s v="manulopera2013@gmail.com"/>
        <s v="mbedoya87@unilasallista.edu.co"/>
        <s v="jjzv2004@gmail.com"/>
        <s v="danidavid338@gmail.com"/>
        <s v="dealba447cp@gmail.com"/>
        <s v="jahairavisbal@gmail.com"/>
        <s v="sebastian.merinoc06@gmail.com"/>
        <s v="mirandajuandavid0710@gmail.com"/>
        <s v="vacastano@uninorte.edu.co"/>
        <s v="obarrazatinoco12@gmail.com"/>
        <s v="madariagamendozam@gmail.com"/>
        <s v="juliobolivar1094@gmail.com"/>
        <s v="andrey0707david@gmail.com"/>
        <s v="carlosmateo2209@gmail.com"/>
        <s v="jacke8015@gmail.com"/>
        <s v="yulianamirandasehuanes@gmail.com"/>
        <s v="argumedosoto31@gmail.com"/>
        <s v="martinoso1234567@gmail.com"/>
        <s v="sofiaecheverri5324@gmail.com"/>
        <s v="jennifergiraldojaramillo@gmail.com"/>
        <s v="mariam.orrego@upb.edu.co"/>
        <s v="danielhincapie888@gmail.com"/>
        <s v="lspaezr@eafit.edu.co"/>
        <s v="hallisondaniela@gmail.com"/>
        <s v="vaneale2009@gmail.com"/>
        <s v="marianalzate06@gmail.com"/>
        <s v="sebasgiraldo001@gmail.com"/>
        <s v="valeriapazarrieta@gmail.com"/>
        <s v="majomonsalvegomez@gmail.com"/>
        <s v="jjmontoyad@gmail.com"/>
        <s v="yesica.gallo1@udea.edu.co"/>
        <s v="alejoguerrero2709@gmail.com"/>
        <s v="angiecuellar1213@gmail.com"/>
        <s v="payaresdaniel20@gmail.com"/>
        <s v="jessuaguillot0721@gmail.com"/>
        <s v="karolmiranda1907@gmail.com"/>
        <s v="mdavg91@gmail.com"/>
        <s v="nelsonospina773@gmail.com"/>
        <s v="alejandrorf122004@gmail.com"/>
        <s v="dayafame26@gmail.com"/>
        <s v="jucamu26@gmail.com"/>
        <s v="emmioppen@gmail.com"/>
        <s v="dachaparrob@unal.edu.co"/>
        <s v="tatisagui.0318@gmail.com"/>
        <s v="lauritamich15@gmail.com"/>
        <s v="cjjaramillod_3@hotmail.com"/>
        <s v="juan.salgado1@utp.edu.co"/>
        <s v="chalounferp@gmail.com"/>
        <s v="paurobayo11@gmail.com"/>
        <s v="ladinomariana26@gmail.com"/>
        <s v="cristianacevedo217@gmail.com"/>
        <s v="linamarcelarojas2003@gmail.com"/>
        <s v="thomasdavidaguilarmesa@gmail.com"/>
        <s v="danichamar2015@gmail.com"/>
        <s v="mateo.vasqueze9@gmail.com"/>
        <s v="gabrielacorteslmve@gmail.com"/>
        <s v="german05corredor@gmail.com"/>
        <s v="paulapinzon2005@gmail.com"/>
        <s v="james.a.garcia.v@gmail.com"/>
        <s v="munozanamaria89@gmail.com"/>
        <s v="yulianaquintero144@gmail.com"/>
        <s v="paulasofia368@gmail.com"/>
        <s v="salocortes11@gmail.com"/>
        <s v="andreatipazoca5@gmail.com"/>
        <s v="angelcamilo2703@gmail.com"/>
        <s v="lramirezri@unal.edu.co"/>
        <s v="jhonysan09@gmail.com"/>
        <s v="sofiaaranguren21@gmail.com"/>
        <s v="deysaivethporrasforero27@gmail.com"/>
        <s v="mosquerakarenksmh@gmail.com"/>
        <s v="s.julianamedina.l@gmail.com"/>
        <s v="dc.morat@outlook.es"/>
        <s v="paulamaanrique052@hotmail.com"/>
        <s v="yerliseth1726@gmail.com"/>
        <s v="sergio2a04@gmail.com"/>
        <s v="juanresco@unisabana.edu.co"/>
        <s v="juan.pulido1405@gmail.com"/>
        <s v="aldanaruizjorgeeliecer@gmail.com"/>
        <s v="vaneanguloalba@gmail.com"/>
        <s v="yiselpa2206@gmail.com"/>
        <s v="jose231101a@gmail.com"/>
        <s v="maicolestivenchavarronope3@gmail.com"/>
        <s v="natalia03982@gmail.com"/>
        <s v="yeisonfag@gmail.com"/>
        <s v="daniela.diaz-s@mail.escuelaing.edu.co"/>
        <s v="mdiazmar@unal.edu.co"/>
        <s v="juanes021205@hotmail.com"/>
        <s v="adrianaa.salgador@gmail.com"/>
        <s v="yurley.tejada25@gmail.com"/>
        <s v="fiorellalopezfajardo@gmail.com"/>
        <s v="mceleste1220@gmail.com"/>
        <s v="sruizt2@eafit.edu.co"/>
        <s v="dmorenodo@unal.edu.co"/>
        <s v="cataflorez1113@gmail.com"/>
        <s v="danielariasvalderrama@gmail.com"/>
        <s v="sebas1ostos2@gmail.com"/>
        <s v="angelaospina9@hotmail.com"/>
        <s v="pandreagutierrez4@gmail.com"/>
        <s v="natacarrero23@gmail.com"/>
        <s v="sebastian2y3r@gmail.com"/>
        <s v="juanvargas0608@hotmail.com"/>
        <s v="luisam.lozano@urosario.edu.co"/>
        <s v="jczuniga1905@gmail.com"/>
        <s v="serodriguezb7@gmail.com"/>
        <s v="mariangelgricap@gmail.com"/>
        <s v="stgsan@hotmail.com"/>
        <s v="majocarrillobedoya@gmail.com"/>
        <s v="mafernandezt@unal.edu.co"/>
        <s v="rafaelrendonpalacio@gmail.com"/>
        <s v="valeriaospina.e@gmail.com"/>
        <s v="yeriveram@unal.edu.co"/>
        <s v="sharitacosta2502@gmail.com"/>
        <s v="mcgutierrp@eafit.edu.co"/>
        <s v="brafebares_@hotmail.com"/>
        <s v="camiposadaber@gmail.com"/>
        <s v="milenarestrepo2005@hotmail.com"/>
      </sharedItems>
    </cacheField>
    <cacheField name="Nombre del candidato" numFmtId="0">
      <sharedItems count="501">
        <s v="Juan Esteban Paez Ruiz"/>
        <s v="Gabriela Lopez"/>
        <s v="Mateo Fontecha"/>
        <s v="Juan David Jerónimo González"/>
        <s v="John Alejandro Rosas Guerrero"/>
        <s v="Santiago Zambrano Iregui"/>
        <s v="Selma Melisa Andrea Sanabria Durango"/>
        <s v="Carolina Hernandez"/>
        <s v="Angela Mendoza Eslava"/>
        <s v="Alejandro Castaneda Ruiz"/>
        <s v="Juliana Manrique Monroy"/>
        <s v="Oto Esteban Rincón Giraldo"/>
        <s v="Ricardo Cubillos Combariza"/>
        <s v="Valentín Moncada Sánchez"/>
        <s v="Cristian Beltran Mendez"/>
        <s v="Danna Karina Tovar Cabezas"/>
        <s v="ANDRES FELIPE DELGADO REY"/>
        <s v="Maria Fernanda Perico Agudelo"/>
        <s v="Luna Carolina Ardila Jiménez"/>
        <s v="Daniel Gómez Anaya"/>
        <s v="Matias Daza"/>
        <s v="Nicole Daiam Chiquiza Moreno"/>
        <s v="Gabriela Aguirre Cortes"/>
        <s v="Andres Fuentes Forero"/>
        <s v="Sara Sofia Hernandez Neira"/>
        <s v="Maria Alejandra Castro Jauregui"/>
        <s v="Catalina Gómez"/>
        <s v="Mariana Rojas Rodriguez"/>
        <s v="Gabriela Lievano"/>
        <s v="María Alejandra Parra Cárdenas"/>
        <s v="Hernando Ignacio Vega Gouffray"/>
        <s v="Daniela Galán Muñoz"/>
        <s v="Valeria Rojas Mora"/>
        <s v="Erika Cure"/>
        <s v="Natalia Lizarazo"/>
        <s v="Douglas Plazas Guzman"/>
        <s v="Isabella Forero"/>
        <s v="Daniel Felipe Ladino Torres"/>
        <s v="Catalina Ochoa Dueñas"/>
        <s v="BRAYAN STEVEN JARAMILLO MORENO"/>
        <s v="Karen Sofia Gonzalez Sanchez"/>
        <s v="Juanita Moreno Vargas"/>
        <s v="Ana Sofía Ararat Corzo"/>
        <s v="MARIA ANGELICA ALZATE BALLESTEROS"/>
        <s v="Nicol Valentina Montes Arcila"/>
        <s v="Sofia Suarez Martinez"/>
        <s v="Miguel Ángel Casas Zárate"/>
        <s v="María Juliana Rodríguez Álvarez"/>
        <s v="Laura Valentina Franco Segura"/>
        <s v="Ariana Gómez Pinzón"/>
        <s v="Isabella Rojas Dada"/>
        <s v="Leidy Sánchez Avendaño"/>
        <s v="Andres Correa"/>
        <s v="Lina Paola Parra Lobo"/>
        <s v="Tomás Felipe Sandoval Rojas"/>
        <s v="Juan Diego Perez Cristancho"/>
        <s v="Wilson Andrés Ruiz Bohórquez"/>
        <s v="Tatiana Vargas Lara"/>
        <s v="Isabella Sanin Osorio"/>
        <s v="Jeidy Yuliana Beltran Triana"/>
        <s v="Karen Lizeth López Castro"/>
        <s v="VERONICA SALAMANCA BECERRA"/>
        <s v="Ana Maria Elena Castro Morales"/>
        <s v="Ashlie Melissa Díaz Villanueva"/>
        <s v="Laura Sofía Osorio Morales"/>
        <s v="David Francisco Ortiz Sanchez"/>
        <s v="Leonardo Enrique Ramírez Doncel"/>
        <s v="David Alejandro Pardo Niño"/>
        <s v="Adriana carolina Castillo"/>
        <s v="Nasly Shajira Hernandez Riveros"/>
        <s v="Maria Jimena Becerra Beltran"/>
        <s v="María José Cubides Alba"/>
        <s v="Laura Cortés García"/>
        <s v="Isabella Cano"/>
        <s v="Maria Jose Moreno Noriega"/>
        <s v="Mariana López Bareño"/>
        <s v="Valentina Martinez Castro"/>
        <s v="Gabriela Orjuela"/>
        <s v="Andres Felipe Forero Toro"/>
        <s v="Daniela Roman"/>
        <s v="Paula Andrea Rodriguez Gomez"/>
        <s v="Daniel Patiño Mejia"/>
        <s v="Maria Paula Rodriguez Muñoz"/>
        <s v="Laura Valentina Gonzalez Rojas"/>
        <s v="Jorge Sánchez Zarate"/>
        <s v="Andres Montaña"/>
        <s v="Juan Camilo Garzón Ramírez"/>
        <s v="Ana Sofia Montero Angulo"/>
        <s v="Natalia Orejuela castrillon"/>
        <s v="Daniela Alejandra Hernández Ortiz"/>
        <s v="Juan Sebastián Quiñones Oeding"/>
        <s v="Andrea Vélez Fernández"/>
        <s v="Juan Miguel Aguirre Guzman"/>
        <s v="Juan Salcedo"/>
        <s v="Sofía Ramírez De Lavalle"/>
        <s v="Ana María Beltrán Sáenz"/>
        <s v="Gabriela Fernanda Viasus Castro"/>
        <s v="Estefanía Durán Luna"/>
        <s v="ANDRES TONCEL VASQUEZ"/>
        <s v="Maria Paula Machuca Hortua"/>
        <s v="Juan Manuel Ruiz Cruz"/>
        <s v="Natalia Rodríguez Martínez"/>
        <s v="Kevin A. Nieto Callejas"/>
        <s v="Maria Camila Rodriguez Sanchez"/>
        <s v="Isabella Triana"/>
        <s v="Simón Franco Uribe"/>
        <s v="Lineth Tatiana Parra"/>
        <s v="María Juliana Sánchez Martínez"/>
        <s v="Jhon Castillo"/>
        <s v="Daniela Galindo"/>
        <s v="Juan José Díaz Rodríguez"/>
        <s v="María Angélica Sánchez Ortiz"/>
        <s v="Juan Pablo Navarro Vega"/>
        <s v="Natalia Prieto Ferro"/>
        <s v="Juan Francisco Corredor Borja"/>
        <s v="Jimena Torres"/>
        <s v="Luisa Fernanda Rojas Tovar"/>
        <s v="Samuel Sanchez Caceres"/>
        <s v="Miguel Mulett"/>
        <s v="Gabriela Izquierdo Agudelo"/>
        <s v="Erick Santiago Cortes Laiton"/>
        <s v="Maria Salome Valencia Gonzalez"/>
        <s v="Juan David Murillo Gonzalez"/>
        <s v="Sara Córdoba Maichel"/>
        <s v="Sara Camila Herrera Amarillo"/>
        <s v="Antonia Sampedro"/>
        <s v="Isabel Juliao"/>
        <s v="Jairo Amaya Celis"/>
        <s v="Veronica Grau"/>
        <s v="Juan Felipe Rodríguez De Los Rios"/>
        <s v="Mateo Rojas Corrales"/>
        <s v="Michael Lozano"/>
        <s v="Daniela Fernández Gómez"/>
        <s v="Lizeth Tatiana Rodriguez Castaneda"/>
        <s v="Mauricio Márquez Aristizábal"/>
        <s v="Valeria Casasbuenas García"/>
        <s v="Sebastian Casas"/>
        <s v="Sebastián david Luna gonzalez"/>
        <s v="JARCNID MONTENEGRO"/>
        <s v="Alejandro Jesurun Arévalo"/>
        <s v="Luna Valentina Torres Vargas"/>
        <s v="Ana Sofia Cosma Abril"/>
        <s v="Juan Carlos Delgado Velandia"/>
        <s v="Gilbeto Bryant Cardenas Martinez"/>
        <s v="Sofia Polanco Tietje"/>
        <s v="Nicolás Barros"/>
        <s v="Andrea Ochoa Pico"/>
        <s v="Gabriela GUERRERO GARRIDO"/>
        <s v="Maria Lucia Serpa Martin"/>
        <s v="Paula Jimenez"/>
        <s v="Maria Giron"/>
        <s v="Daniela Rios"/>
        <s v="Dayanna Valentina Castro Barbosa"/>
        <s v="Nathaly Constanza Díaz Romero"/>
        <s v="Santiago Chaves"/>
        <s v="Cesar Luis Navarro Ibañez"/>
        <s v="Fabián Almanza Patiño"/>
        <s v="Juan David Lobaton Mendoza"/>
        <s v="Daniel Quilaguy Correa"/>
        <s v="Federico Hernandez Montano"/>
        <s v="Mariana Andrea Sanchez Garcia"/>
        <s v="Sara Muñoz"/>
        <s v="María José Arenas Gómez"/>
        <s v="Julian David Morales Bolivar"/>
        <s v="Nicolás Nicolás"/>
        <s v="Andres Ramirez nieto"/>
        <s v="Laura Peña"/>
        <s v="LINA GISELLE JARAMILLO ORTIZ"/>
        <s v="Juan Coral Tulcan"/>
        <s v="Laura Sofía Garcia Patiño"/>
        <s v="Nathalia Stephanie Caez Daza"/>
        <s v="Natalia Osorio Henao"/>
        <s v="Brandon Steven Ocampo López"/>
        <s v="PAULA CAMILA ORTIZ GALINDEZ"/>
        <s v="Alejandro Diaz Nieva"/>
        <s v="Catalina Atehortua Zuluaga"/>
        <s v="Cristian Alexis Gonzalez Gutiérrez"/>
        <s v="Oscar Danilo Colimba Cuaical"/>
        <s v="Janer Darío Bolaños Quiñones"/>
        <s v="Antonio Guasca"/>
        <s v="Miguel Angel Salazar Ramirez"/>
        <s v="Natalia Gómez Cortés"/>
        <s v="Nicol Dayan Pinzón Astaiza"/>
        <s v="Alejandro Martinez Ruiz"/>
        <s v="Camilo Sánchez Ochoa"/>
        <s v="DIANA CAMILA MARTINEZ SOTO"/>
        <s v="Isabella Palacio Toro"/>
        <s v="Sofia Peña Hernández"/>
        <s v="Ana Sofía Bernal Arango"/>
        <s v="Federico Soto Flórez"/>
        <s v="Daniela Alexandra Alcorro Ramírez"/>
        <s v="David Alejandro Ospitia Novoa"/>
        <s v="Andres Gerardo Rodriguez Martinez"/>
        <s v="Laura Valentina Copete Tinjaca"/>
        <s v="Benjamín Camacho Angel"/>
        <s v="Maria Sofia Silva Vargas"/>
        <s v="Paula Andrea Villanueva Beleño"/>
        <s v="Saray Cabrera Henríquez"/>
        <s v="Luisa Valencia"/>
        <s v="Paola Lozada Estrella"/>
        <s v="Paula Camila Sánchez Talero"/>
        <s v="Ana Maria Granada Rincon"/>
        <s v="Mariana Millán"/>
        <s v="María del Mar Henao Sánchez"/>
        <s v="Juan Andrés López Escalante"/>
        <s v="Cristian David Duarte Rios"/>
        <s v="Miguel Ángel De Moya Gómez"/>
        <s v="Karoll Velasquez"/>
        <s v="Samuel Valencia Toro"/>
        <s v="Valentina Ariza"/>
        <s v="Mariana Mojica Hernandez"/>
        <s v="Camila Téllez Ortiz"/>
        <s v="Maria Mallarino"/>
        <s v="Laura Plazas"/>
        <s v="Jose Suárez"/>
        <s v="Cristian Camilo Mejia Olarte"/>
        <s v="Juliana Duarte Garzón"/>
        <s v="Sofia Ramirez"/>
        <s v="Juan Camilo Pérez Beltrán"/>
        <s v="Nicole Alejandra Plazas Cufiño"/>
        <s v="Nicolas Castro Pacheco"/>
        <s v="Valery Dayann Moreno Arias"/>
        <s v="Valentina Bohorquez"/>
        <s v="Valentina Jimenez Diaz"/>
        <s v="Estefania Berdugo"/>
        <s v="Iralis Torregroza Sarria"/>
        <s v="Karol Andrea Oviedo Tulay"/>
        <s v="María Alejandra Méndez Alcalá"/>
        <s v="Isabella Sánchez"/>
        <s v="Javier Alfonso Muñoz Guette"/>
        <s v="Luisa Yuliana Carreño Pérez"/>
        <s v="Karen Eliana Ortiz Caicedo"/>
        <s v="Loren Daniela Duarte Colmenares"/>
        <s v="Astrid Juliana Fajardo Vargas"/>
        <s v="Juan sebastian Gil Rodriguez"/>
        <s v="Leonart Rincon"/>
        <s v="Diego Andres Perez Rodriguez"/>
        <s v="KAREN NATALIA ROJAS CASTILLO"/>
        <s v="Ean Bryan Alexandre Ladino Pérez"/>
        <s v="Diego Arroyo Quenan"/>
        <s v="Lizeth Mariana Sánchez Forero"/>
        <s v="Nicolas Torres Carreño"/>
        <s v="Laura valentina Velandia Camargo"/>
        <s v="Luis Carlos Blanco León"/>
        <s v="Karen Juliana Vela Cárdenas"/>
        <s v="Juan Sebastian Castro Aguirre"/>
        <s v="Catalina Gallego"/>
        <s v="Daniel Fernando Guevara Torralba"/>
        <s v="LIZETH KATHERINE GÓMEZ BARÓN"/>
        <s v="Valentina Tellez monterrosa"/>
        <s v="Melissa Andrea Londoño Poveda"/>
        <s v="Lina María Montenegro Arturo"/>
        <s v="Stefania Molina Amaya"/>
        <s v="Danna Sofia Hoyos Jaramillo"/>
        <s v="JUAN GUEVARA"/>
        <s v="Juan Sebastián Franco Salas"/>
        <s v="Maria Jose Calambas Casamachin"/>
        <s v="LIZETH MAYERLI MONTENEGRO RESTREPO"/>
        <s v="Sarah Piza Prada"/>
        <s v="Daniel Stiven Salinas Castillo"/>
        <s v="Maria José Oquendo Chavarría"/>
        <s v="Andrés Felipe Herrera Velasco"/>
        <s v="Santiago Tamayo Quevedo"/>
        <s v="ALVARO ANDRES RAMIREZ QUINTERO"/>
        <s v="Ana María Perez Figueroa"/>
        <s v="DIEGO FELIPE ARCOS MARIN"/>
        <s v="Karen Daniela Lagarejo Aguilar"/>
        <s v="Sebastian Bustamante López"/>
        <s v="Phanor Castillo"/>
        <s v="Pedro Bernal Londoño"/>
        <s v="Samuel David Hurtado Jaimes"/>
        <s v="Katherine Nicolle Sarmiento Coy"/>
        <s v="Andrés Polo"/>
        <s v="Diego Fernando Prada romero"/>
        <s v="Julieth Ximena Albarran Vargas"/>
        <s v="Connie Alexandra Gelvez Mojica"/>
        <s v="Camilo Di Zeo Oliveros"/>
        <s v="Julian Esteban Betancourt Ocampo"/>
        <s v="Daniela Sandoval Perlaza"/>
        <s v="Karen Vanessa Díaz laurido"/>
        <s v="María torrado"/>
        <s v="Zharik Lopez"/>
        <s v="Vanesa Castañeda Archila"/>
        <s v="Laura Sofía Hernández Castaño"/>
        <s v="Laura Tatiana Torres Trujillo"/>
        <s v="NATALI VANESSA DORADO DAZA"/>
        <s v="Luz Adriana Noguera Velasco"/>
        <s v="Karen Dayanna Suarez Serrato"/>
        <s v="Ángel Moreno Mejía"/>
        <s v="Alexander Ortiz Martínez"/>
        <s v="Óscar Julián Pérez Ladino"/>
        <s v="Emily Smith Quiceno Guerrero"/>
        <s v="Isabella Narváez Castillo"/>
        <s v="LAURA NATALIA SALAZAR TORRES"/>
        <s v="Juan David Ruiz Múnera"/>
        <s v="John Edinson Agredo Muñoz"/>
        <s v="Jefferson Gonzalez Gordillo"/>
        <s v="Manuel Alejandro Cortés Parra"/>
        <s v="Santiago Sanchez De Arce"/>
        <s v="Jimmy Daniel Josa Collazos"/>
        <s v="Sebastian Ferney Chinchilla Forero"/>
        <s v="Daniel Andres Ruiz Sandoval"/>
        <s v="German David Villamizar Nova"/>
        <s v="Maria alejandra rivera reyes"/>
        <s v="Juliana Castro Rojas"/>
        <s v="ximena carrera"/>
        <s v="Estiven González Zúñiga"/>
        <s v="Valentina Toledo silva"/>
        <s v="Karoll Michel Calderón Jaimez"/>
        <s v="Trino García Martelo"/>
        <s v="Carlos Daniel Satizabal Holguín"/>
        <s v="Jose Francisco Almario Padilla"/>
        <s v="Jesus David Henriquez Albor"/>
        <s v="Danilo Alexander Carballo Jabba"/>
        <s v="Johan Miguel Granados Hidalgo"/>
        <s v="Mayerlis Peluffo Mendoza"/>
        <s v="KAROL DE BARROS PADILLA"/>
        <s v="Liseth Barrios Guzman"/>
        <s v="MARIA CAROLINA ZAPATA ROA"/>
        <s v="Nataly Alvarez Menco"/>
        <s v="LAURA VALENTINA SANDOVAL ORTIZ"/>
        <s v="Ana Jiménez"/>
        <s v="Angel Zuñiga Robles"/>
        <s v="Valentina Grondona Gutierrez"/>
        <s v="Mateo Marin"/>
        <s v="Carlos Andres De Avila Espinosa"/>
        <s v="Keitlyn Pino Cano"/>
        <s v="Stefany Oporto Alvarez"/>
        <s v="Alba Juliana Quiroz Ospina"/>
        <s v="Samuel David Collazos Herrera"/>
        <s v="Ernesto Carlos Vega Gómez"/>
        <s v="Juan David Nuñez Leguía"/>
        <s v="Danner Manuel Amaya Padilla"/>
        <s v="Mariantonia Manjarres Garcia"/>
        <s v="Emanuel Barranco Reales"/>
        <s v="Joel Zapata Aaron"/>
        <s v="ISABELLA DIAZ"/>
        <s v="Natalia Gómez molina"/>
        <s v="Michelle Paternina Amaris"/>
        <s v="Ariadna Cantillo"/>
        <s v="Karen Mercado"/>
        <s v="Wanda Alvarez Jimenez"/>
        <s v="Andres Felipe Quiroz Borja"/>
        <s v="Eliana Marcela Arroyo Pérez"/>
        <s v="Maria Carolina Morales Quevedo"/>
        <s v="Adriana Maria Sierra Cabrera"/>
        <s v="Juan David Porto Léon"/>
        <s v="ANDRES FELIPE ACOSTA GUTIERREZ"/>
        <s v="Nicolle Carolina Rodriguez Blanquicett"/>
        <s v="Natalia Barney Vergara"/>
        <s v="Mariana Freire Baltan"/>
        <s v="Ana María Gualtero Rios"/>
        <s v="Veronica Mejia Raquejo"/>
        <s v="David Santiago Suárez Rodríguez"/>
        <s v="Lina Altahona De Hoyos"/>
        <s v="Valeria Arroyave Grisales"/>
        <s v="Maria Carolina Vilchis Marino"/>
        <s v="Jhosep Olivera Gaviria"/>
        <s v="Luisa Fernanda Bravo Otero"/>
        <s v="Nicolás Barbosa Fernández"/>
        <s v="Laura Alvarado Zapata"/>
        <s v="LAURA DANIELA GUERRERO RAMOS"/>
        <s v="Esneider david Guzman de barros"/>
        <s v="Alejandro José Herrera Fuentes"/>
        <s v="Sebastián Escorcia Reales"/>
        <s v="Valeria Alejandra Quezada Olarte"/>
        <s v="María Andrea Argumedo Campo"/>
        <s v="Maria Claudia Soto Pereira"/>
        <s v="Julian Mejía Pérez"/>
        <s v="JESÚS ANDRÉS BENAVIDES FREIRE"/>
        <s v="Lizeth Dayana Rojas Valencia"/>
        <s v="Daniela Gutierrez de Piñerez Maiguel"/>
        <s v="MEILYN YINETH CARDONA CANAVAL"/>
        <s v="PAULA ANDREA VELASQUEZ TORRES"/>
        <s v="Vanessa Alexandra Mendoza Martinez"/>
        <s v="Santiago Enrique Amador Rincon"/>
        <s v="Isabella Betancur Lopez"/>
        <s v="Esneider Garavito Balmaceda"/>
        <s v="Maria Cuellar Castillo"/>
        <s v="Daniel Gómez Gutierrez"/>
        <s v="Mariana Tascón"/>
        <s v="Luisa Viviana Alegria Jojoa"/>
        <s v="Yeraldin Umaña"/>
        <s v="Danna Montilla Suarez"/>
        <s v="Paula Fernanda Rueda Machado"/>
        <s v="Manuela Lopera Monsalve"/>
        <s v="María Fernanda Bedoya Escobar"/>
        <s v="Juan José Zapata"/>
        <s v="Jesus David Mora Ramirez"/>
        <s v="cinthya de alba"/>
        <s v="Jahaira Guzmán Visbal"/>
        <s v="Sebastian Meriño Cantillo"/>
        <s v="Juan David Miranda Centeno"/>
        <s v="Valeria Andrea González Castaño"/>
        <s v="orlan Barraza tinoco"/>
        <s v="Melissa Madariaga Mendoza"/>
        <s v="Julio Bolivar"/>
        <s v="Andrey Gutierrez Fernandez"/>
        <s v="carlos mateo"/>
        <s v="ALAN JOSUE CABRALES MEJIA"/>
        <s v="Yuliana Miranda"/>
        <s v="Mauricio Argumedo Soto"/>
        <s v="martin osorio martinez"/>
        <s v="Sofía Echeverri Ríos"/>
        <s v="Jennifer Giraldo"/>
        <s v="Mariam Camila Orrego Jiménez"/>
        <s v="Daniel Felipe Hincapié López"/>
        <s v="Laura Sofía Páez Ramírez"/>
        <s v="Hallison Daniela Amaya Lopez"/>
        <s v="Vanessa Alexandra Ramírez Pinto"/>
        <s v="Mariana Alzate Gil"/>
        <s v="Jhon Sebastian Giraldo Pineda"/>
        <s v="Valeria Paz Arrieta"/>
        <s v="María José Monsalve Gómez"/>
        <s v="Juan Jose Montoya Diaz"/>
        <s v="Yesica Alejandra Gallo Botero"/>
        <s v="Alejandro Guerrero Arango"/>
        <s v="Angie Sofia Cuellar Capella"/>
        <s v="Daniel Payares"/>
        <s v="Jessua Guillot Gonzalez"/>
        <s v="Carolina Arrieta"/>
        <s v="Mariana Dávila Giraldo"/>
        <s v="Nelson Ospina Mosquera"/>
        <s v="Alejandro Ramirez Forero"/>
        <s v="Liseth Dayana Fajardo Mejia"/>
        <s v="Juana Camila Camacho Murcia"/>
        <s v="Emily Oppenheim Chiriboga"/>
        <s v="Danna Sofia Chaparro Barrera"/>
        <s v="Tatiana Aguilera"/>
        <s v="Laura Michell Ñustes Ortiz"/>
        <s v="Leidy Juliana Jaramillo Monroy"/>
        <s v="Juan David Salgado Hernandez"/>
        <s v="Chaloun Fernanda Pachón García"/>
        <s v="Paula Daniela Robayo Rozo"/>
        <s v="Mariana Lucia Ladino Melo"/>
        <s v="CRISTIAN CAMILO ACEVEDO QUINTERO"/>
        <s v="Lina Marcela Rojas Castro"/>
        <s v="Thomas david Aguilar mesa"/>
        <s v="Daniel Andres Chavez Martinez"/>
        <s v="Mateo Vasquez Escobar"/>
        <s v="Gabriela Cortes Urrego"/>
        <s v="Joseph German Corredor Torres"/>
        <s v="Paula Jimena Pinzón Forero"/>
        <s v="James Alejandro García Vásquez"/>
        <s v="ANA MARIA FERNANDEZ MUÑOZ"/>
        <s v="Mónica Yuliana Velásquez Quintero"/>
        <s v="Paula Sofia Saldaña Linares"/>
        <s v="Maria Salomé Cortés Ávila"/>
        <s v="PAULA ANDREA LAVERDE TIPAZOCA"/>
        <s v="Angel Camilo Suta Rueda"/>
        <s v="Laura Natalia Ramirez Rios"/>
        <s v="Jhoan Esteban Sanchez Villalba"/>
        <s v="Sara Sofia Aranguren Bolívar"/>
        <s v="DEYSA IVETH PORRAS FORERO"/>
        <s v="Karen Mosquera"/>
        <s v="Sara Juliana Medina López"/>
        <s v="Dana Catalina Mora Torres"/>
        <s v="Paula Vanessa Manrique Camacho"/>
        <s v="Yerly Liseth Pastran Parra"/>
        <s v="Sergio Arbelaez Agudelo"/>
        <s v="Juan Restrepo"/>
        <s v="Juan David Pulido Rosas"/>
        <s v="JORGE ALDANA RUIZ"/>
        <s v="Vanessa Alejandra Angulo Alba"/>
        <s v="Yisel Lorena Padilla Cárdenas"/>
        <s v="Jose Alexander Romero Cardenas"/>
        <s v="Michael Stevent Chavarro Nope"/>
        <s v="Natalia Sofía Suárez Rodríguez"/>
        <s v="YEISON  FABIAN ALFARO GARCIA"/>
        <s v="Daniela Diaz Suarez"/>
        <s v="Maria Paula Diaz Martinez"/>
        <s v="Juan Esteban Atehortua Franco"/>
        <s v="Adriana Alexandra Salgado Rivera"/>
        <s v="YURLEY FANERY TEJADA ZULUAGA"/>
        <s v="FIORELLA FAJARDO"/>
        <s v="María Celeste Cardona Gallo"/>
        <s v="Sofia Ruiz Tamayo"/>
        <s v="David Moreno Dosantos"/>
        <s v="Catalina Flórez Medina"/>
        <s v="Daniel Arias Valderrama"/>
        <s v="Sebastian Enrique Ostos Barrera"/>
        <s v="Ángela María Ospina Quintero"/>
        <s v="PAULA ANDREA GUTIERREZ GOMEZ"/>
        <s v="Natalia Carrero Salinas"/>
        <s v="Sebastian Yanchaguano Romero"/>
        <s v="Juan Felipe Vargas Martinez"/>
        <s v="Luisa Lozano Trujillo"/>
        <s v="Juan Camilo Zúñiga Suárez"/>
        <s v="Sebastián Andrés Rodríguez Barrera"/>
        <s v="Mariangel Grimaldo Capdevilla"/>
        <s v="Santiago Téllez Gutiérrez"/>
        <s v="Maria Jose Carrillo Bedoya"/>
        <s v="Marilyn Oliva Fernandez Taborda"/>
        <s v="Rafael Rendon Palacio"/>
        <s v="Valeria Estupiñan"/>
        <s v="Yerli Eliana Rivera Mora"/>
        <s v="SHARIT PATRCIA ACOSTA ARROYO"/>
        <s v="Maria Camila Gutierrez Pelaez"/>
        <s v="Brayan Felipe Barbosa Esteban"/>
        <s v="Camila Posada"/>
        <s v="Milena Restrepo Galvis"/>
      </sharedItems>
    </cacheField>
    <cacheField name="Tipo de identificación" numFmtId="0">
      <sharedItems containsBlank="1"/>
    </cacheField>
    <cacheField name="Número de documento de identificación" numFmtId="0">
      <sharedItems containsString="0" containsBlank="1" containsNumber="1" containsInteger="1" minValue="1000007207" maxValue="1193600407" count="499">
        <n v="1031641933"/>
        <n v="1034516871"/>
        <n v="1000364978"/>
        <n v="1027525480"/>
        <n v="1013259327"/>
        <n v="1032876688"/>
        <n v="1066872533"/>
        <n v="1023372339"/>
        <n v="1018432023"/>
        <n v="1014858199"/>
        <n v="1000612606"/>
        <n v="1070589753"/>
        <n v="1014859662"/>
        <n v="1022939244"/>
        <n v="1027210314"/>
        <n v="1013102674"/>
        <n v="1000163318"/>
        <n v="1031644605"/>
        <n v="1025528570"/>
        <n v="1001096590"/>
        <n v="1031652558"/>
        <n v="1072644235"/>
        <n v="1016912331"/>
        <n v="1000286128"/>
        <n v="1021512114"/>
        <n v="1012337267"/>
        <n v="1107834811"/>
        <n v="1023372804"/>
        <n v="1031610059"/>
        <n v="1011090066"/>
        <n v="1000503044"/>
        <n v="1051066730"/>
        <n v="1031809430"/>
        <n v="1042243518"/>
        <n v="1034399810"/>
        <n v="1000502600"/>
        <n v="1001191913"/>
        <n v="1000796156"/>
        <n v="1025061418"/>
        <n v="1070596087"/>
        <n v="1023369712"/>
        <n v="1013036270"/>
        <n v="1097782112"/>
        <n v="1119394634"/>
        <n v="1021664406"/>
        <n v="1021633586"/>
        <n v="1014479562"/>
        <n v="1007558149"/>
        <n v="1027210269"/>
        <n v="1000365880"/>
        <n v="1019842441"/>
        <n v="1014856810"/>
        <n v="1001297216"/>
        <n v="1031806221"/>
        <n v="1013260603"/>
        <n v="1000708616"/>
        <n v="1031648377"/>
        <n v="1031641717"/>
        <n v="1000180082"/>
        <n v="1014736816"/>
        <n v="1077142999"/>
        <n v="1057571944"/>
        <n v="1027280496"/>
        <n v="1109186833"/>
        <n v="1013256959"/>
        <n v="1019153214"/>
        <n v="1011085214"/>
        <n v="1023872170"/>
        <n v="1001309326"/>
        <n v="1021671198"/>
        <n v="1019602144"/>
        <n v="1019603862"/>
        <n v="1014657993"/>
        <n v="1034988548"/>
        <n v="1011082341"/>
        <n v="1007557956"/>
        <n v="1014662117"/>
        <n v="1025060093"/>
        <n v="1000127209"/>
        <n v="1000698286"/>
        <n v="1146635183"/>
        <n v="1076905047"/>
        <n v="1016592928"/>
        <n v="1002367458"/>
        <n v="1193115873"/>
        <n v="1031421663"/>
        <n v="1013256749"/>
        <n v="1077721001"/>
        <n v="1006037327"/>
        <n v="1081275499"/>
        <n v="1014859269"/>
        <n v="1029500104"/>
        <n v="1001300590"/>
        <n v="1002156347"/>
        <n v="1013260058"/>
        <n v="1007475387"/>
        <n v="1002760191"/>
        <n v="1095788078"/>
        <n v="1004360759"/>
        <n v="1011088751"/>
        <n v="1010004486"/>
        <n v="1025322663"/>
        <n v="1034400353"/>
        <n v="1069302644"/>
        <n v="1007529993"/>
        <n v="1034576632"/>
        <n v="1054283421"/>
        <n v="1016833922"/>
        <n v="1118362920"/>
        <n v="1096801863"/>
        <n v="1023242066"/>
        <n v="1111755107"/>
        <n v="1014978352"/>
        <n v="1110365169"/>
        <n v="1000719548"/>
        <n v="1032676292"/>
        <n v="1011091671"/>
        <n v="1094045254"/>
        <n v="1021633152"/>
        <n v="1006100465"/>
        <n v="1001091599"/>
        <n v="1112390266"/>
        <n v="1076241425"/>
        <n v="1011320707"/>
        <n v="1021664400"/>
        <n v="1025060647"/>
        <n v="1048064512"/>
        <n v="1126430889"/>
        <n v="1034286689"/>
        <n v="1081272015"/>
        <n v="1092455070"/>
        <n v="1029141596"/>
        <n v="1000835394"/>
        <n v="1192748874"/>
        <n v="1013036295"/>
        <n v="1013259681"/>
        <n v="1034779334"/>
        <n v="1042243379"/>
        <n v="1104545629"/>
        <n v="1014859846"/>
        <n v="1122509597"/>
        <n v="1011084990"/>
        <n v="1000953336"/>
        <n v="1000007207"/>
        <n v="1027281762"/>
        <n v="1000366435"/>
        <n v="1023302706"/>
        <n v="1021632752"/>
        <n v="1033097520"/>
        <n v="1025461611"/>
        <n v="1000035463"/>
        <n v="1043442138"/>
        <n v="1005153458"/>
        <n v="1123802302"/>
        <n v="1021392130"/>
        <n v="1001978590"/>
        <n v="1001217895"/>
        <n v="1025461045"/>
        <n v="1034396248"/>
        <n v="1011084415"/>
        <n v="1023082568"/>
        <n v="1027282055"/>
        <n v="1101622249"/>
        <n v="1000503369"/>
        <n v="1027400384"/>
        <n v="1000953490"/>
        <n v="1032798649"/>
        <n v="1110283459"/>
        <n v="1085896222"/>
        <n v="1117013881"/>
        <n v="1083752386"/>
        <n v="1005784074"/>
        <n v="1006053135"/>
        <n v="1004419222"/>
        <n v="1006101876"/>
        <n v="1006427742"/>
        <n v="1004154247"/>
        <n v="1004691011"/>
        <n v="1089512175"/>
        <n v="1002777341"/>
        <n v="1193600407"/>
        <n v="1021394536"/>
        <n v="1109665069"/>
        <n v="1106512686"/>
        <n v="1004249982"/>
        <n v="1088589197"/>
        <n v="1017923697"/>
        <n v="1000795796"/>
        <n v="1014861896"/>
        <n v="1013036441"/>
        <n v="1016946062"/>
        <n v="1012339115"/>
        <n v="1014738839"/>
        <n v="1011085210"/>
        <n v="1014656615"/>
        <n v="1016946776"/>
        <n v="1025529261"/>
        <n v="1082850774"/>
        <n v="1013106151"/>
        <n v="1005220378"/>
        <n v="1027210266"/>
        <n v="1010001901"/>
        <n v="1013257717"/>
        <n v="1000954209"/>
        <n v="1000612793"/>
        <n v="1011092812"/>
        <n v="1044602243"/>
        <n v="1015400341"/>
        <n v="1013259195"/>
        <n v="1025060402"/>
        <n v="1054283488"/>
        <n v="1011321660"/>
        <n v="1066866461"/>
        <n v="1023082974"/>
        <n v="1013260068"/>
        <n v="1002479999"/>
        <n v="1019986060"/>
        <n v="1021392572"/>
        <n v="1012338729"/>
        <n v="1014976849"/>
        <n v="1010073275"/>
        <n v="1010960642"/>
        <n v="1032876485"/>
        <n v="1001204257"/>
        <n v="1097490304"/>
        <n v="1083572887"/>
        <n v="1012339343"/>
        <n v="1011320051"/>
        <n v="1014860276"/>
        <n v="1006734815"/>
        <n v="1002455397"/>
        <n v="1118533053"/>
        <n v="1053442581"/>
        <n v="1052381342"/>
        <n v="1056798003"/>
        <n v="1006554579"/>
        <n v="1057570417"/>
        <n v="1050090351"/>
        <m/>
        <n v="1004217384"/>
        <n v="1057214413"/>
        <n v="1002697466"/>
        <n v="1057978536"/>
        <n v="1002559370"/>
        <n v="1002459278"/>
        <n v="1002760401"/>
        <n v="1051316053"/>
        <n v="1005185477"/>
        <n v="1126965198"/>
        <n v="1081053547"/>
        <n v="1109559936"/>
        <n v="1108558815"/>
        <n v="1193249727"/>
        <n v="1110362238"/>
        <n v="1062275043"/>
        <n v="1005935212"/>
        <n v="1105363099"/>
        <n v="1105368091"/>
        <n v="1037776478"/>
        <n v="1193069331"/>
        <n v="1107835167"/>
        <n v="1087119111"/>
        <n v="1061684721"/>
        <n v="1111540386"/>
        <n v="1107844181"/>
        <n v="1114541928"/>
        <n v="1121198799"/>
        <n v="1112389571"/>
        <n v="1097094457"/>
        <n v="1005260233"/>
        <n v="1096800652"/>
        <n v="1130266716"/>
        <n v="1002528206"/>
        <n v="1098612128"/>
        <n v="1085037242"/>
        <n v="1112618688"/>
        <n v="1112041540"/>
        <n v="1111540492"/>
        <n v="1004898829"/>
        <n v="1097094297"/>
        <n v="1101753789"/>
        <n v="1105360307"/>
        <n v="1107042882"/>
        <n v="1059354950"/>
        <n v="1192724020"/>
        <n v="1006098987"/>
        <n v="1105363383"/>
        <n v="1115574468"/>
        <n v="1193324017"/>
        <n v="1097093780"/>
        <n v="1010036742"/>
        <n v="1005479785"/>
        <n v="1058932795"/>
        <n v="1113152043"/>
        <n v="1112220828"/>
        <n v="1105369065"/>
        <n v="1006051484"/>
        <n v="1006907583"/>
        <n v="1005563628"/>
        <n v="1004795078"/>
        <n v="1005334499"/>
        <n v="1005464303"/>
        <n v="1000184730"/>
        <n v="1081272383"/>
        <n v="1006493321"/>
        <n v="1101682061"/>
        <n v="1005258745"/>
        <n v="1193553981"/>
        <n v="1010043305"/>
        <n v="1082873020"/>
        <n v="1041694437"/>
        <n v="1041970241"/>
        <n v="1048434954"/>
        <n v="1007764065"/>
        <n v="1048264627"/>
        <n v="1042244929"/>
        <n v="1045226956"/>
        <n v="1052946093"/>
        <n v="1048264316"/>
        <n v="1042247753"/>
        <n v="1002163133"/>
        <n v="1042852030"/>
        <n v="1001825014"/>
        <n v="1042242843"/>
        <n v="1043132420"/>
        <n v="1002163280"/>
        <n v="1042849137"/>
        <n v="1193588753"/>
        <n v="1007786770"/>
        <n v="1007219010"/>
        <n v="1042247728"/>
        <n v="1034986459"/>
        <n v="1129510305"/>
        <n v="1042243983"/>
        <n v="1084331089"/>
        <n v="1005626243"/>
        <n v="1043964085"/>
        <n v="1043296135"/>
        <n v="1102840967"/>
        <n v="1001945971"/>
        <n v="1129539518"/>
        <n v="1050839158"/>
        <n v="1044210712"/>
        <n v="1082873539"/>
        <n v="1000951426"/>
        <n v="1042243295"/>
        <n v="1043652925"/>
        <n v="1047036295"/>
        <n v="1105365016"/>
        <n v="1109185610"/>
        <n v="1006016564"/>
        <n v="1010960473"/>
        <n v="1043644222"/>
        <n v="1193290817"/>
        <n v="1047034256"/>
        <n v="1082856658"/>
        <n v="1105364869"/>
        <n v="1105928637"/>
        <n v="1048434816"/>
        <n v="1010151670"/>
        <n v="1001884244"/>
        <n v="1048064341"/>
        <n v="1043116135"/>
        <n v="1002159559"/>
        <n v="1062956742"/>
        <n v="1062954988"/>
        <n v="1041772099"/>
        <n v="1086754228"/>
        <n v="1110040647"/>
        <n v="1098609475"/>
        <n v="1114541627"/>
        <n v="1021669180"/>
        <n v="1001823066"/>
        <n v="1041690226"/>
        <n v="1065588728"/>
        <n v="1042244585"/>
        <n v="1044210586"/>
        <n v="1005893469"/>
        <n v="1105362491"/>
        <n v="1002965497"/>
        <n v="1006493201"/>
        <n v="1091353229"/>
        <n v="1018372262"/>
        <n v="1025880974"/>
        <n v="1023523325"/>
        <n v="1034987448"/>
        <n v="1004368328"/>
        <n v="1044210202"/>
        <n v="1129506759"/>
        <n v="1141320197"/>
        <n v="1042241995"/>
        <n v="1043665142"/>
        <n v="1082470342"/>
        <n v="1123622199"/>
        <n v="1045166605"/>
        <n v="1139424257"/>
        <n v="1140906335"/>
        <n v="1043665416"/>
        <n v="1043673339"/>
        <n v="1004501029"/>
        <n v="1033257311"/>
        <n v="1027740396"/>
        <n v="1011510808"/>
        <n v="1018232610"/>
        <n v="1001095936"/>
        <n v="1042241820"/>
        <n v="1105361230"/>
        <n v="1097492556"/>
        <n v="1125781473"/>
        <n v="1037670821"/>
        <n v="1107836866"/>
        <n v="1013457902"/>
        <n v="1023163254"/>
        <n v="1023523538"/>
        <n v="1006110276"/>
        <n v="1043295614"/>
        <n v="1068417699"/>
        <n v="1082840858"/>
        <n v="1003077773"/>
        <n v="1035973289"/>
        <n v="1080260535"/>
        <n v="1020713951"/>
        <n v="1031806915"/>
        <n v="1034276263"/>
        <n v="1000698418"/>
        <n v="1116612016"/>
        <n v="1000159919"/>
        <n v="1005849189"/>
        <n v="1003908604"/>
        <n v="1054543116"/>
        <n v="1053325985"/>
        <n v="1076240691"/>
        <n v="1076648963"/>
        <n v="1120561289"/>
        <n v="1007106198"/>
        <n v="1013108958"/>
        <n v="1023162766"/>
        <n v="1000327103"/>
        <n v="1034658511"/>
        <n v="1014738447"/>
        <n v="1013260438"/>
        <n v="1076241749"/>
        <n v="1018514708"/>
        <n v="1034280833"/>
        <n v="1019038060"/>
        <n v="1013258565"/>
        <n v="1050604600"/>
        <n v="1003565150"/>
        <n v="1010164509"/>
        <n v="1076242124"/>
        <n v="1016947267"/>
        <n v="1091965068"/>
        <n v="1097783237"/>
        <n v="1034777926"/>
        <n v="1021395092"/>
        <n v="1011081594"/>
        <n v="1002541388"/>
        <n v="1054398334"/>
        <n v="1011081455"/>
        <n v="1013099587"/>
        <n v="1003190023"/>
        <n v="1000953816"/>
        <n v="1076738061"/>
        <n v="1003912861"/>
        <n v="1054372023"/>
        <n v="1002329465"/>
        <n v="1003882497"/>
        <n v="1033098791"/>
        <n v="1029981862"/>
        <n v="1001029308"/>
        <n v="1000184650"/>
        <n v="1000414899"/>
        <n v="1001420520"/>
        <n v="1036251392"/>
        <n v="1043636565"/>
        <n v="1000273617"/>
        <n v="1000537538"/>
        <n v="1002635864"/>
        <n v="1021393550"/>
        <n v="1108558398"/>
        <n v="1003239472"/>
        <n v="1013110125"/>
        <n v="1013259326"/>
        <n v="1032938709"/>
        <n v="1107975100"/>
        <n v="1082859811"/>
        <n v="1065582886"/>
        <n v="1125760316"/>
        <n v="1007604121"/>
        <n v="1031940150"/>
        <n v="1040570384"/>
        <n v="1034987035"/>
        <n v="1097182783"/>
        <n v="1127584762"/>
        <n v="1071349324"/>
        <n v="1034988528"/>
        <n v="1005028536"/>
        <n v="1033257457"/>
        <n v="1022002946"/>
      </sharedItems>
    </cacheField>
    <cacheField name="Género con el que te identificas" numFmtId="0">
      <sharedItems containsBlank="1"/>
    </cacheField>
    <cacheField name="¿Cuál es tu edad?" numFmtId="0">
      <sharedItems containsString="0" containsBlank="1" containsNumber="1" containsInteger="1" minValue="18" maxValue="26"/>
    </cacheField>
    <cacheField name="¿Actualmente estás cursando un pregrado universitario?" numFmtId="0">
      <sharedItems/>
    </cacheField>
    <cacheField name="Ciudad en la que resides actualmente" numFmtId="0">
      <sharedItems containsBlank="1"/>
    </cacheField>
    <cacheField name="Lugar en el que estarías dispuesto/a a realizar tus prácticas" numFmtId="0">
      <sharedItems containsBlank="1"/>
    </cacheField>
    <cacheField name="A que universidad perteneces" numFmtId="0">
      <sharedItems containsBlank="1"/>
    </cacheField>
    <cacheField name="¿Cuál?." numFmtId="0">
      <sharedItems containsBlank="1"/>
    </cacheField>
    <cacheField name="Nombre del programa académico" numFmtId="0">
      <sharedItems/>
    </cacheField>
    <cacheField name="¿Cuál?" numFmtId="0">
      <sharedItems containsBlank="1"/>
    </cacheField>
    <cacheField name="¿Debes cursar asignaturas durante la realización de tus prácticas?" numFmtId="0">
      <sharedItems containsBlank="1"/>
    </cacheField>
    <cacheField name="¿Anteriormente ha tenido vinculación como aprendiz SENA?" numFmtId="0">
      <sharedItems containsBlank="1"/>
    </cacheField>
    <cacheField name="Nivel de inglés" numFmtId="0">
      <sharedItems containsBlank="1"/>
    </cacheField>
    <cacheField name="Nivel de manejo de Excel" numFmtId="0">
      <sharedItems containsBlank="1"/>
    </cacheField>
    <cacheField name="Primer área de interés para realizar la práctica" numFmtId="0">
      <sharedItems containsBlank="1"/>
    </cacheField>
    <cacheField name="Vacantes Producción (Operaciones)" numFmtId="0">
      <sharedItems containsNonDate="0" containsString="0" containsBlank="1"/>
    </cacheField>
    <cacheField name="Vacantes Finanzas" numFmtId="0">
      <sharedItems containsBlank="1"/>
    </cacheField>
    <cacheField name="Vacantes Talento" numFmtId="0">
      <sharedItems containsBlank="1"/>
    </cacheField>
    <cacheField name="Vacantes Ventas" numFmtId="0">
      <sharedItems containsBlank="1"/>
    </cacheField>
    <cacheField name="Segunda área de interés para realizar la práctica" numFmtId="0">
      <sharedItems containsBlank="1"/>
    </cacheField>
    <cacheField name="Vacantes Producción (Operaciones)2" numFmtId="0">
      <sharedItems containsBlank="1"/>
    </cacheField>
    <cacheField name="Vacantes Finanzas3" numFmtId="0">
      <sharedItems containsBlank="1"/>
    </cacheField>
    <cacheField name="Vacantes Talento4" numFmtId="0">
      <sharedItems containsBlank="1"/>
    </cacheField>
    <cacheField name="Vacantes Ventas5" numFmtId="0">
      <sharedItems containsBlank="1"/>
    </cacheField>
    <cacheField name="¿Has trabajado anteriormente para nuestra compañía?" numFmtId="0">
      <sharedItems containsBlank="1"/>
    </cacheField>
    <cacheField name="¿Tienes algún familiar laborado con la compañía?" numFmtId="0">
      <sharedItems containsBlank="1"/>
    </cacheField>
    <cacheField name="Si tu respuesta fue &quot;Sí&quot;, indica el parentesco y nombre completo (Ejemplo: Madre – Rosa Elena Medina Delgado):" numFmtId="0">
      <sharedItems containsBlank="1"/>
    </cacheField>
    <cacheField name="¿Tienes algún familiar que sea o labore con un proveedor de la compañía?" numFmtId="0">
      <sharedItems containsBlank="1"/>
    </cacheField>
    <cacheField name="Si tu respuesta fue &quot;Sí&quot;, indica e parentesco y nombre completo (Ejemplo: Madre - Rosa Elena Medina Delgado):" numFmtId="0">
      <sharedItems containsBlank="1"/>
    </cacheField>
    <cacheField name="¿Tienes algún familiar que sea o labore con un cliente de la compañía?" numFmtId="0">
      <sharedItems containsBlank="1"/>
    </cacheField>
    <cacheField name="Si tu respuesta fue &quot;Sí&quot;, indica el parentesco y nombre completo (Ejemplo: Madre - Rosa Elena Medina Delgado):" numFmtId="0">
      <sharedItems containsBlank="1"/>
    </cacheField>
    <cacheField name="¿Tienes algún familiar que sea o labore con la competencia de la compañía?" numFmtId="0">
      <sharedItems containsBlank="1"/>
    </cacheField>
    <cacheField name="Si tu respuesta fue &quot;Sí&quot;, indica el parentesco y nombre completo (Ejemplo: Madre -  Rosa Elena Medina Delgado):" numFmtId="0">
      <sharedItems containsBlank="1"/>
    </cacheField>
    <cacheField name="¿Por qué medio te enteraste de nuestra convocatoria?" numFmtId="0">
      <sharedItems containsBlank="1"/>
    </cacheField>
    <cacheField name="Nombre de la etapa" numFmtId="0">
      <sharedItems/>
    </cacheField>
    <cacheField name="Día " numFmtId="0">
      <sharedItems containsDate="1" containsString="0" containsBlank="1" containsMixedTypes="1" minDate="2026-08-21T00:00:00" maxDate="2026-09-14T00:00:00"/>
    </cacheField>
    <cacheField name="Hora" numFmtId="0">
      <sharedItems containsNonDate="0" containsDate="1" containsString="0" containsBlank="1" minDate="1899-12-30T00:02:37" maxDate="1899-12-30T23:48:59"/>
    </cacheField>
    <cacheField name="Teléfono" numFmtId="0">
      <sharedItems containsMixedTypes="1" containsNumber="1" containsInteger="1" minValue="0" maxValue="3508455279"/>
    </cacheField>
    <cacheField name="Dirección" numFmtId="0">
      <sharedItems containsBlank="1" containsMixedTypes="1" containsNumber="1" containsInteger="1" minValue="0" maxValue="0"/>
    </cacheField>
    <cacheField name="Magneto ERI" numFmtId="0">
      <sharedItems containsBlank="1"/>
    </cacheField>
    <cacheField name="Magneto %" numFmtId="0">
      <sharedItems containsString="0" containsBlank="1" containsNumber="1" minValue="62.7" maxValue="98.8"/>
    </cacheField>
    <cacheField name="Encargado" numFmtId="0">
      <sharedItems containsBlank="1"/>
    </cacheField>
    <cacheField name="Vacante sugerida" numFmtId="0">
      <sharedItems count="48">
        <s v="Area financiera (PPM)"/>
        <s v="Asuntos Corporativos"/>
        <s v="Compensación y beneficios"/>
        <s v="Compras (Procurement PPM Reporting)"/>
        <s v="Comunicaciones"/>
        <s v="Logística T2 (Safety &amp; DPO T2)"/>
        <s v="People Support 2"/>
        <s v="Tecnología (JR Data Scientist)"/>
        <s v="Channel Strategy and Performance (BEES)"/>
        <s v="Atracción de talento y Marca Empleadora"/>
        <s v="Canal moderno (KA)"/>
        <s v="People Support 1"/>
        <s v="Talento Regional Centro"/>
        <s v="Ventas comercial (Trade Marketing) Regional Centro"/>
        <s v="Calidad Supply Indugral"/>
        <s v="Envase Supply Indugral"/>
        <s v="MKT Balance choice"/>
        <s v="MKT Core brands"/>
        <s v="MKT High end"/>
        <s v="MKT Premium brands"/>
        <s v="Elaboración Boyacá Cervecería de Boyacá"/>
        <s v="Talento Cervecería de Boyacá"/>
        <s v="Talento Supply Bucaramanga"/>
        <s v="Calidad Cervecería del Valle"/>
        <s v="Elaboración Cervecería del Valle"/>
        <s v="Envase Cervecería del Valle"/>
        <s v="I&amp;S  Cervecería del Valle"/>
        <s v="Producción (operaciones) Bucaramanga"/>
        <s v="Talento Cervecería del Valle"/>
        <s v="Talento Regional Sur"/>
        <s v="Talento Supply Cervecería de Barranquilla"/>
        <s v="Talento Ventas Regional Norte"/>
        <s v="Brewing &amp; Quality Cervecería de Barranquilla"/>
        <s v="Envase Cervecería de Barranquilla"/>
        <s v="I&amp;S Cervecería de Barranquilla"/>
        <s v="Ventas Regional Sur"/>
        <s v="Logística T2 Regional Andes"/>
        <s v="Producción (operaciones) Atlantico Envase"/>
        <s v="Producción (operaciones) Atlantico Gestión"/>
        <s v="Ventas (gestión de ejecución premium) Regional Andes"/>
        <s v="Elaboración Cervecería de Tocancipá"/>
        <s v="Calidad Cervecería de Tocancipá"/>
        <s v="I&amp;S Cervecería de Tocancipá"/>
        <s v="Producción (operaciones) Cervecería de Tibitó"/>
        <s v="Talento Supply Cervecería de Tocancipá"/>
        <s v="Elaboración Cervecería de Medellín"/>
        <s v="Relaciones laborales"/>
        <s v="Talento Supply Cervecería de Medellín"/>
      </sharedItems>
    </cacheField>
    <cacheField name="Confirmación " numFmtId="0">
      <sharedItems containsBlank="1" count="3">
        <s v="NO"/>
        <s v="SI"/>
        <m/>
      </sharedItems>
    </cacheField>
    <cacheField name="Comentarios" numFmtId="0">
      <sharedItems/>
    </cacheField>
    <cacheField name="Carrera" numFmtId="0">
      <sharedItems count="56">
        <s v="Estadística"/>
        <s v="Economía"/>
        <s v="Finanzas"/>
        <s v="Administración de Empresas"/>
        <s v="Marketing / Mercadeo"/>
        <s v="Negocios Internacionales"/>
        <s v="Administración de Negocios Internacionales"/>
        <s v="Analítica de Datos"/>
        <s v="Derecho"/>
        <s v="Psicología"/>
        <s v="Ingeniería Industrial"/>
        <s v="Narrativas Digitales y Ciencia Politica"/>
        <s v="Comunicación social"/>
        <s v="Publicidad"/>
        <s v="Comercio Internacional"/>
        <s v="Logística"/>
        <s v="Relaciones Internacionales"/>
        <s v="Diseño Gráfico"/>
        <s v="Ingeniería de Sistemas"/>
        <s v="Ingeniería de Software"/>
        <s v="Ciencia De Datos"/>
        <s v="Contaduría Pública"/>
        <s v="Comercio Exterior"/>
        <s v="Doble carrera: Administracion de empresas y economia"/>
        <s v="Ingeniería Electrónica"/>
        <s v="Ingeniería Mecatrónica"/>
        <s v="Química"/>
        <s v="INGENIERIA EN AUTOMATICA INDUSTRIAL"/>
        <s v="Ingeniería Química"/>
        <s v="Ingeniería Mecánica"/>
        <s v="Química Farmacéutica"/>
        <s v="Marketing Integral y Negocios Globales"/>
        <s v="Comunicación Social - Periodismo"/>
        <s v="Ingeniería Ambiental"/>
        <s v="Ingeniería Agroindustrial"/>
        <s v="Seguridad y Salud en el Trabajo"/>
        <s v="DISEÑO INDUSTRIAL"/>
        <s v="Trabajo Social"/>
        <s v="Ingeniería Bioquímica"/>
        <s v="Microbiología"/>
        <s v="Ingeniería de Alimentos"/>
        <s v="Tecnología en electrónica industrial"/>
        <s v="Ingeniería Biológica"/>
        <s v="Ingeniería de Producción"/>
        <s v="Marketing digital, inglés 4, sistemas de gestión y calidad"/>
        <s v="Ingeniería Eléctrica"/>
        <s v="Administración Industrial"/>
        <s v="Ingeniería Civil"/>
        <s v="ANALISIS Y DESARROLLO DE SOFTWARE"/>
        <s v="Ingeniería Administrativa"/>
        <s v="Ingeniería de manufactura"/>
        <s v="ingenieria mecatronica"/>
        <s v="Comunicación audiovisual y multimedios"/>
        <s v="Administración de Empresas Agropecuarias"/>
        <s v="Ingeniería de Transporte y Vías"/>
        <s v="Biología"/>
      </sharedItems>
    </cacheField>
    <cacheField name="Teléfono contacto" numFmtId="0">
      <sharedItems count="489">
        <s v="310 3824756"/>
        <s v="316 2398383"/>
        <s v=""/>
        <s v="324 4326262"/>
        <s v="318 8147439"/>
        <s v="313 6263013"/>
        <s v="3106091858"/>
        <s v="305 3700517"/>
        <s v="310 8888133"/>
        <s v="316 2325718"/>
        <s v="305 4120170"/>
        <s v="321 8574669"/>
        <s v="319 5528847"/>
        <s v="315 6652203"/>
        <s v="3026715667"/>
        <s v="3143611237"/>
        <s v="3197010253"/>
        <s v="302 2508910"/>
        <s v="3058170290"/>
        <s v="305 3136665"/>
        <s v="319 4972788"/>
        <s v="318 2479065"/>
        <s v="313 4649889"/>
        <s v="322 4018881"/>
        <s v="3116257553"/>
        <s v="305 7325384"/>
        <s v="3107579299"/>
        <s v="321 9095151"/>
        <s v="316 6197879"/>
        <s v="322 9448422"/>
        <s v="322 2237039"/>
        <s v="321 7794626"/>
        <s v="310 4683903"/>
        <s v="304 4266492"/>
        <s v="3175756956"/>
        <s v="322 2444642"/>
        <s v="3136370565"/>
        <s v="3108828777"/>
        <s v="301 6701913"/>
        <s v="318 3068387"/>
        <s v="3005253020"/>
        <s v="321 4013423"/>
        <s v="310 7078253"/>
        <s v="300 1653749"/>
        <s v="301 4372540"/>
        <s v="322 2350694"/>
        <s v="3508455279"/>
        <s v="3166210415"/>
        <s v="311 2686111"/>
        <s v="3014451602"/>
        <s v="313 3998174"/>
        <s v="315 6071565"/>
        <s v="311 2459346"/>
        <s v="313 8429527"/>
        <s v="3016201098"/>
        <s v="310 3765539"/>
        <s v="322 8756281"/>
        <s v="313 8737070"/>
        <s v="315 0190006"/>
        <s v="3197399170"/>
        <s v="3123483364"/>
        <s v="302 2352387"/>
        <s v="323 2300003"/>
        <s v="313 3567458"/>
        <s v="3183529601"/>
        <s v="318 7876579"/>
        <s v="300 8890118"/>
        <s v="305 3502374"/>
        <s v="323 8265677"/>
        <s v="318 5936496"/>
        <s v="310 5545269"/>
        <s v="313 2713653"/>
        <s v="304 6772464"/>
        <s v="300 3424911"/>
        <s v="322 9603522"/>
        <s v="3163285338"/>
        <s v="301 5595946"/>
        <s v="311 5244990"/>
        <s v="311 2494264"/>
        <s v="314 4277940"/>
        <s v="321 3877492"/>
        <s v="3208971335"/>
        <s v="301 6040200"/>
        <s v="3142249659"/>
        <s v="313 7808424"/>
        <s v="314 4065467"/>
        <s v="321 2966629"/>
        <s v="302 3029042"/>
        <s v="312 2329005"/>
        <s v="310 3456622"/>
        <s v="3002356621"/>
        <s v="313 3019024"/>
        <s v="310 7613100"/>
        <s v="320 4915165"/>
        <s v="304 3749681"/>
        <s v="315 6775560"/>
        <s v="3182840338"/>
        <s v="304 6848832"/>
        <s v="3003382233"/>
        <s v="305 3525708"/>
        <s v="315 5444444"/>
        <s v="322 3704429"/>
        <s v="315 6756238"/>
        <s v="310 6748268"/>
        <s v="321 8367707"/>
        <s v="301 5337662"/>
        <s v="3143988803"/>
        <s v="3013632349"/>
        <s v="314 3392961"/>
        <s v="310 6711911"/>
        <s v="321 2247261"/>
        <s v="3054515758"/>
        <s v="3112753531"/>
        <s v="302 3135214"/>
        <s v="313 2476415"/>
        <s v="322 5048635"/>
        <s v="300 8829579"/>
        <s v="316 7886666"/>
        <s v="321 3063282"/>
        <s v="3115317009"/>
        <s v="310 2914103"/>
        <s v="3008056207"/>
        <s v="302 8361979"/>
        <s v="318 3239712"/>
        <s v="312 7048442"/>
        <s v="301 7846892"/>
        <s v="3102656668"/>
        <s v="3115472685"/>
        <s v="322 2115510"/>
        <s v="320 3014062"/>
        <s v="317 6543024"/>
        <s v="322 2463206"/>
        <s v="3188342981"/>
        <s v="313 2658972"/>
        <s v="317 5558997"/>
        <s v="315 4058269"/>
        <s v="320 3445667"/>
        <s v="350 3378727"/>
        <s v="311 6685541"/>
        <s v="311 8825484"/>
        <s v="322 4541839"/>
        <s v="311 5366519"/>
        <s v="320 8538594"/>
        <s v="301 5379266"/>
        <s v="322 2332441"/>
        <s v="318 4422562"/>
        <s v="3122875795"/>
        <s v="3156389748"/>
        <s v="3142677782"/>
        <s v="323 4032976"/>
        <s v="320 7369219"/>
        <s v="321 2622132"/>
        <s v="311 5834299"/>
        <s v="305 3360405"/>
        <s v="322 342 5440"/>
        <s v="319 5754801"/>
        <s v="321 4015628"/>
        <s v="320 5643575"/>
        <s v="319 2930685"/>
        <s v="320 9953968"/>
        <s v="314 5682060"/>
        <s v="322 4587534"/>
        <s v="320 2205129"/>
        <s v="318 4101038"/>
        <s v="322 6378982"/>
        <s v="300 7487102"/>
        <s v="300 5568536"/>
        <s v="318 5139065"/>
        <s v="317 1662760"/>
        <s v="3135404291"/>
        <s v="323 3317100"/>
        <s v="320 8753642"/>
        <s v="320 5293145"/>
        <s v="314 8443067"/>
        <s v="314 5015242"/>
        <s v="311 2165948"/>
        <s v="3144784547"/>
        <s v="301 4054205"/>
        <s v="317 8982461"/>
        <s v="3106456019"/>
        <s v="316 8321353"/>
        <s v="320 3103680"/>
        <s v="321 4233785"/>
        <s v="315 3084237"/>
        <s v="315 4665567"/>
        <s v="350 8504117"/>
        <s v="3133763400"/>
        <s v="315 3327189"/>
        <s v="320 2851472"/>
        <s v="311 2327835"/>
        <s v="302 3978224"/>
        <s v="322 8919762"/>
        <s v="313 2540752"/>
        <s v="316 6382624"/>
        <s v="300 4247308"/>
        <s v="316 2331982"/>
        <s v="318 6537732"/>
        <s v="322 4654910"/>
        <s v="+32 3 380 64 19"/>
        <s v="310 4858949"/>
        <s v="3012747419"/>
        <s v="3203673260"/>
        <s v="310 7994203"/>
        <s v="301 6356209"/>
        <s v="302 4653702"/>
        <s v="3158221182"/>
        <s v="313 2005007"/>
        <s v="3166852996"/>
        <s v="320 4770807"/>
        <s v="321 2201787"/>
        <s v="3176131515"/>
        <s v="314 5427700"/>
        <s v="3115706314"/>
        <s v="3107511782"/>
        <s v="3178025848"/>
        <s v="322 5830965"/>
        <s v="3246764783"/>
        <s v="311 2694927"/>
        <s v="3102646772"/>
        <s v="3112388229"/>
        <s v="320 8367712"/>
        <s v="3154190320"/>
        <s v="321 7866399"/>
        <s v="311 8242698"/>
        <s v="3186987976"/>
        <s v="3205909541"/>
        <s v="3202806780"/>
        <s v="310 8803925"/>
        <s v="313 4266421"/>
        <s v="312 7102118"/>
        <s v="313 4401989"/>
        <s v="321 2038347"/>
        <s v="3125891400"/>
        <s v="320 3456294"/>
        <s v="314 2225915"/>
        <s v="312 3264153"/>
        <s v="3105595063"/>
        <s v="317 8009224"/>
        <s v="322 5436103"/>
        <s v="3123884907"/>
        <s v="305 3309565"/>
        <s v="321 8059557"/>
        <s v="3152004140"/>
        <s v="3157699360"/>
        <s v="310 4297075"/>
        <s v="3337125760"/>
        <s v="310 4233492"/>
        <s v="318 8018223"/>
        <s v="321 2048843"/>
        <s v="320 7618708"/>
        <s v="300 4788939"/>
        <s v="304 6145800"/>
        <s v="315 8084417"/>
        <s v="3147398003"/>
        <s v="3023393981"/>
        <s v="3202099480"/>
        <s v="312 8724546"/>
        <s v="3182176352"/>
        <s v="3156628776"/>
        <s v="3176161450"/>
        <s v="300 2085133"/>
        <s v="3156201141"/>
        <s v="3208719059"/>
        <s v="3009477921"/>
        <s v="3152069944"/>
        <s v="301 7990303"/>
        <s v="310 5361024"/>
        <s v="317 3309191"/>
        <s v="317 4875563"/>
        <s v="3195372919"/>
        <s v="318 8023106"/>
        <s v="3202411797"/>
        <s v="312 4370413"/>
        <s v="322 5690748"/>
        <s v="315 4901789"/>
        <s v="320 4347215"/>
        <s v="322 8629829"/>
        <s v="315 8803198"/>
        <s v="317 4951986"/>
        <s v="315 4069847"/>
        <s v="324 5771142"/>
        <s v="318 8620569"/>
        <s v="316 5067860"/>
        <s v="3105656315"/>
        <s v="304 4167324"/>
        <s v="3127386690"/>
        <s v="313 7604357"/>
        <s v="301 2449988"/>
        <s v="313 5748376"/>
        <s v="322 6175626"/>
        <s v="322 7851411"/>
        <s v="320 2359161"/>
        <s v="3142093772"/>
        <s v="321 9937799"/>
        <s v="323 2745140"/>
        <s v="3147455327"/>
        <s v="322 2738812"/>
        <s v="321 4847513"/>
        <s v="317 4392050"/>
        <s v="310 5919408"/>
        <s v="302 3398986"/>
        <s v="3108107599"/>
        <s v="3022092286"/>
        <s v="3012298941"/>
        <s v="312 6172663"/>
        <s v="3004451226"/>
        <s v="300 7536860"/>
        <s v="300 1246603"/>
        <s v="3205739128"/>
        <s v="324 2183271"/>
        <s v="3002713372"/>
        <s v="300 2916918"/>
        <s v="302 8689279"/>
        <s v="3028404613"/>
        <s v="302 8476293"/>
        <s v="300 3916646"/>
        <s v="3137286283"/>
        <s v="314 3636163"/>
        <s v="304 5286582"/>
        <s v="320 7461252"/>
        <s v="300 6727521"/>
        <s v="305 4414452"/>
        <s v="350 3703324"/>
        <s v="3169387050"/>
        <s v="304 5729929"/>
        <s v="3124247820"/>
        <s v="323 9118228"/>
        <s v="321 7227862"/>
        <s v="322 7943599"/>
        <s v="3006655965"/>
        <s v="314 6441933"/>
        <s v="301 5176294"/>
        <s v="324 5087460"/>
        <s v="301 3893660"/>
        <s v="3176940867"/>
        <s v="321 8076611"/>
        <s v="301 3969374"/>
        <s v="302 4118837"/>
        <s v="3021253692"/>
        <s v="300 2439716"/>
        <s v="314 3490138"/>
        <s v="318 2468842"/>
        <s v="318 6029672"/>
        <s v="320 5809488"/>
        <s v="317 2129349"/>
        <s v="314 5091990"/>
        <s v="314 7902917"/>
        <s v="311 3233801"/>
        <s v="314 5227092"/>
        <s v="316 2503458"/>
        <s v="3017621408"/>
        <s v="302 4511618"/>
        <s v="315 5903994"/>
        <s v="3006440631"/>
        <s v="3006906867"/>
        <s v="3007181485"/>
        <s v="3011444932"/>
        <s v="316 5372511"/>
        <s v="305 8808379"/>
        <s v="316 4963071"/>
        <s v="318 4111789"/>
        <s v="322 2149678"/>
        <s v="304 2063410"/>
        <s v="321 4325795"/>
        <s v="3184636614"/>
        <s v="300 5244226"/>
        <s v="302 3533233"/>
        <s v="313 7018275"/>
        <s v="302 2998079"/>
        <s v="3218878289"/>
        <s v="3106231132"/>
        <s v="3209171357"/>
        <s v="324 3157796"/>
        <s v="321 6544399"/>
        <s v="321 8212815"/>
        <s v="321 5798177"/>
        <s v="3007316702"/>
        <s v="304 5469960"/>
        <s v="311 6124925"/>
        <s v="304 2752561"/>
        <s v="300 4327190"/>
        <s v="305 4050713"/>
        <s v="310 8218310"/>
        <s v="3016957509"/>
        <s v="304 4555434"/>
        <s v="3174250357"/>
        <s v="300 1303873"/>
        <s v="300 8603362"/>
        <s v="324 4798404"/>
        <s v="3157085604"/>
        <s v="314 8230896"/>
        <s v="305 3059203"/>
        <s v="322 5903956"/>
        <s v="3194401899"/>
        <s v="323 2175901"/>
        <s v="3195270322"/>
        <s v="3137503885"/>
        <s v="3102562819"/>
        <s v="321 7538047"/>
        <s v="3113598719"/>
        <s v="3105274860"/>
        <s v="321 8334820"/>
        <s v="3012939394"/>
        <s v="310 8795621"/>
        <s v="316 8227783"/>
        <s v="300 6894859"/>
        <s v="319 3885124"/>
        <s v="3161364210"/>
        <s v="320 6461491"/>
        <s v="312 7794191"/>
        <s v="320 3089591"/>
        <s v="317 5981002"/>
        <s v="312 5091792"/>
        <s v="324 3928424"/>
        <s v="3112717077"/>
        <s v="310 3244082"/>
        <s v="310 6843734"/>
        <s v="304 4262137"/>
        <s v="316 3164613"/>
        <s v="301 6260541"/>
        <s v="317 4197224"/>
        <s v="3104776612"/>
        <s v="300 4381621"/>
        <s v="315 6904793"/>
        <s v="319 6517955"/>
        <s v="3112427382"/>
        <s v="310 2167568"/>
        <s v="313 3207767"/>
        <s v="3156386690"/>
        <s v="3192705164"/>
        <s v="3143606567"/>
        <s v="314 4777000"/>
        <s v="316 8290681"/>
        <s v="320 9550447"/>
        <s v="3013304652"/>
        <s v="312 5370247"/>
        <s v="317 5933601"/>
        <s v="3147560352"/>
        <s v="313 4821880"/>
        <s v="3132579156"/>
        <s v="3209135713"/>
        <s v="3102549573"/>
        <s v="315 6794059"/>
        <s v="310 5968649"/>
        <s v="312 4693211"/>
        <s v="3046547913"/>
        <s v="322 3851073"/>
        <s v="310 2213837"/>
        <s v="300 2853391"/>
        <s v="321 3813413"/>
        <s v="300 8840493"/>
        <s v="333 7505212"/>
        <s v="302 3133177"/>
        <s v="322 2067541"/>
        <s v="314 2209452"/>
        <s v="3174181366"/>
        <s v="305 4221048"/>
        <s v="302 8421772"/>
        <s v="322 8949260"/>
        <s v="3006204601"/>
        <s v="322 4630169"/>
        <s v="320 8896616"/>
        <s v="311 3236803"/>
        <s v="312 6440342"/>
        <s v="3009099493"/>
        <s v="3135999743"/>
        <s v="317 4002460"/>
        <s v="310 3774795"/>
        <s v="322 4745812"/>
        <s v="322 6765803"/>
        <s v="324 6016605"/>
        <s v="3206944048"/>
        <s v="305 8860218"/>
        <s v="317 7639732"/>
        <s v="311 8143467"/>
        <s v="323 3367001"/>
        <s v="313 5117090"/>
        <s v="313 8394233"/>
        <s v="318 8778478"/>
        <s v="315 8066945"/>
        <s v="3192800000"/>
        <s v="3135455802"/>
        <s v="315 4695560"/>
        <s v="3178286241"/>
        <s v="321 9335836"/>
        <s v="3195991889"/>
        <s v="315 7364602"/>
        <s v="3148502569"/>
        <s v="300 6329432"/>
      </sharedItems>
    </cacheField>
    <cacheField name="Site" numFmtId="0">
      <sharedItems count="14">
        <s v="127"/>
        <s v="Regional Centro"/>
        <s v="Indugral"/>
        <s v="Cervecería de Boyacá"/>
        <s v="Cervecería de Bucaramanga"/>
        <s v="Cervecería del Valle"/>
        <s v="Regional Sur"/>
        <s v="Cervecería de Barranquilla"/>
        <s v="Regional Norte"/>
        <s v="Regional Andes"/>
        <s v="Cervecería de Atlántico"/>
        <s v="Cervecería de Tocancipá"/>
        <s v="Cervecería de Tibitó"/>
        <s v="Cervecería de Medellín"/>
      </sharedItems>
    </cacheField>
    <cacheField name="Fecha creatón" numFmtId="0">
      <sharedItems count="10">
        <s v="13 de octubre de 2026"/>
        <s v="15 de octubre de 2026"/>
        <s v="16 de octubre de 2026"/>
        <s v="20 de octubre de 2026"/>
        <s v="21 de octubre de 2026"/>
        <s v="22 de octubre de 2026"/>
        <s v="23 de octubre de 2026"/>
        <s v="27 de octubre de 2026"/>
        <s v="Por confirmar"/>
        <s v="14 de octubre de 2026" u="1"/>
      </sharedItems>
    </cacheField>
    <cacheField name="Horario creatón" numFmtId="0">
      <sharedItems count="10">
        <s v="7:30 a.m. a 11:30 a.m."/>
        <s v="1:30 p.m. a 5:30 p.m."/>
        <s v="12:30 p.m. a 4:00 p.m."/>
        <s v="1:30 p.m. a 3:30 p.m."/>
        <s v="7:30 a.m. a 12:00 p.m."/>
        <s v="8:30 a.m. a 12:00 p.m."/>
        <s v="12:30 p.m. a 5:00 p.m."/>
        <s v="1:30 p.m. a 5:00 p.m."/>
        <s v="Por confirmar"/>
        <s v="1:30 p.m. a 4:00 p.m." u="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x v="0"/>
    <s v="Cédula de ciudadanía"/>
    <x v="0"/>
    <s v="Hombre"/>
    <n v="22"/>
    <b v="1"/>
    <m/>
    <s v="Bogotá"/>
    <s v="Universidad del Bosque"/>
    <m/>
    <s v="Estadística"/>
    <m/>
    <b v="1"/>
    <b v="0"/>
    <s v="Intermedio"/>
    <s v="Avanzado"/>
    <s v="Tecnología"/>
    <m/>
    <m/>
    <s v="Área financiera"/>
    <m/>
    <s v="Talento"/>
    <m/>
    <m/>
    <m/>
    <m/>
    <b v="0"/>
    <b v="0"/>
    <m/>
    <b v="0"/>
    <m/>
    <b v="0"/>
    <m/>
    <b v="0"/>
    <m/>
    <s v="LinkedIn"/>
    <s v="CREATÓN"/>
    <d v="2026-09-13T00:00:00"/>
    <d v="1899-12-30T19:15:49"/>
    <s v=" 310 3824756"/>
    <s v="Calle 83 103C-55, 111011 Bogota, D.C., Colombia"/>
    <s v="DP"/>
    <n v="74.5"/>
    <s v="Cata"/>
    <x v="0"/>
    <x v="0"/>
    <s v="OK"/>
    <x v="0"/>
    <x v="0"/>
    <x v="0"/>
    <x v="0"/>
    <x v="0"/>
  </r>
  <r>
    <x v="1"/>
    <x v="1"/>
    <s v="Cédula de ciudadanía"/>
    <x v="1"/>
    <s v="Mujer"/>
    <n v="21"/>
    <b v="1"/>
    <s v="BOGOTÁ"/>
    <s v="Bogotá"/>
    <s v="Universidad de los Andes"/>
    <m/>
    <s v="Economía"/>
    <m/>
    <b v="0"/>
    <b v="0"/>
    <s v="Avanzado"/>
    <s v="Intermedio"/>
    <s v="Finanzas"/>
    <m/>
    <m/>
    <m/>
    <m/>
    <s v="Compras"/>
    <m/>
    <s v="Finanzas Impuestos"/>
    <m/>
    <m/>
    <b v="0"/>
    <b v="0"/>
    <m/>
    <b v="0"/>
    <m/>
    <b v="0"/>
    <m/>
    <b v="0"/>
    <m/>
    <s v="LinkedIn"/>
    <s v="CREATÓN"/>
    <d v="2026-08-31T00:00:00"/>
    <d v="1899-12-30T13:31:05"/>
    <s v=" 316 2398383"/>
    <s v="Calle 84 9-85, 110221 Bogota, D.C., Colombia"/>
    <s v="DP"/>
    <n v="79.7"/>
    <s v="Santi"/>
    <x v="0"/>
    <x v="0"/>
    <s v="OK"/>
    <x v="1"/>
    <x v="1"/>
    <x v="0"/>
    <x v="0"/>
    <x v="0"/>
  </r>
  <r>
    <x v="2"/>
    <x v="2"/>
    <s v="Cédula de ciudadanía"/>
    <x v="2"/>
    <s v="Hombre"/>
    <n v="25"/>
    <b v="1"/>
    <s v="BOGOTA"/>
    <s v="Bogotá"/>
    <s v="Universidad de los Andes"/>
    <m/>
    <s v="Economía"/>
    <m/>
    <b v="0"/>
    <b v="0"/>
    <s v="Avanzado"/>
    <s v="Intermedio"/>
    <s v="Finanzas"/>
    <m/>
    <m/>
    <m/>
    <m/>
    <s v="Asuntos Corporativos"/>
    <m/>
    <s v="Finanzas Impuestos"/>
    <m/>
    <m/>
    <b v="0"/>
    <b v="0"/>
    <m/>
    <b v="0"/>
    <m/>
    <b v="0"/>
    <m/>
    <b v="0"/>
    <m/>
    <s v="LinkedIn"/>
    <s v="CREATÓN"/>
    <d v="2026-09-01T00:00:00"/>
    <d v="1899-12-30T11:01:25"/>
    <n v="0"/>
    <s v="Carrera 52A 57B-33, 111321 Bogota, D.C., Colombia"/>
    <s v="DP"/>
    <n v="89.6"/>
    <s v="Cata"/>
    <x v="1"/>
    <x v="0"/>
    <s v="OK"/>
    <x v="1"/>
    <x v="2"/>
    <x v="0"/>
    <x v="0"/>
    <x v="1"/>
  </r>
  <r>
    <x v="3"/>
    <x v="3"/>
    <s v="Cédula de ciudadanía"/>
    <x v="3"/>
    <s v="Hombre"/>
    <n v="20"/>
    <b v="1"/>
    <m/>
    <s v="Bogotá"/>
    <s v="Universidad del Bosque"/>
    <m/>
    <s v="Estadística"/>
    <m/>
    <b v="1"/>
    <b v="0"/>
    <s v="Intermedio"/>
    <s v="Avanzado"/>
    <s v="Tecnología"/>
    <m/>
    <m/>
    <s v="Compensación y Beneficios"/>
    <m/>
    <s v="Talento"/>
    <m/>
    <m/>
    <m/>
    <m/>
    <b v="0"/>
    <b v="0"/>
    <m/>
    <b v="0"/>
    <m/>
    <b v="0"/>
    <m/>
    <b v="0"/>
    <m/>
    <s v="Instagram"/>
    <s v="CREATÓN"/>
    <d v="2026-08-21T00:00:00"/>
    <d v="1899-12-30T10:48:04"/>
    <s v=" 324 4326262"/>
    <s v="Carrera 33A 56 S-14, 110611 Bogota, D.C., Colombia"/>
    <s v="DP"/>
    <n v="90.8"/>
    <s v="Santi"/>
    <x v="2"/>
    <x v="0"/>
    <s v="OK"/>
    <x v="0"/>
    <x v="3"/>
    <x v="0"/>
    <x v="0"/>
    <x v="0"/>
  </r>
  <r>
    <x v="4"/>
    <x v="4"/>
    <s v="Cédula de ciudadanía"/>
    <x v="4"/>
    <s v="Hombre"/>
    <n v="21"/>
    <b v="1"/>
    <m/>
    <s v="Bogotá"/>
    <s v="Universidad EAFIT"/>
    <m/>
    <s v="Finanzas"/>
    <m/>
    <b v="0"/>
    <b v="0"/>
    <s v="Intermedio"/>
    <s v="Avanzado"/>
    <s v="Finanzas"/>
    <m/>
    <m/>
    <m/>
    <m/>
    <s v="Compras"/>
    <m/>
    <s v="Finanzas Impuestos"/>
    <m/>
    <m/>
    <b v="0"/>
    <b v="0"/>
    <m/>
    <b v="0"/>
    <m/>
    <b v="0"/>
    <m/>
    <b v="0"/>
    <m/>
    <s v="LinkedIn"/>
    <s v="CREATÓN"/>
    <d v="2026-08-21T00:00:00"/>
    <d v="1899-12-30T09:57:09"/>
    <n v="0"/>
    <s v="Calle 33AA 78A-17, 050031 Medellin, Colombia"/>
    <s v="DP"/>
    <n v="93.3"/>
    <s v="Cata"/>
    <x v="3"/>
    <x v="0"/>
    <s v="OK"/>
    <x v="2"/>
    <x v="2"/>
    <x v="0"/>
    <x v="0"/>
    <x v="0"/>
  </r>
  <r>
    <x v="5"/>
    <x v="5"/>
    <s v="Cédula de ciudadanía"/>
    <x v="5"/>
    <s v="Hombre"/>
    <n v="21"/>
    <b v="1"/>
    <s v="Tabio"/>
    <s v="Bogotá"/>
    <s v="Universidad de La Sabana"/>
    <m/>
    <s v="Administración de Empresas"/>
    <m/>
    <b v="0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Instagram"/>
    <s v="CREATÓN"/>
    <d v="2026-08-24T00:00:00"/>
    <d v="1899-12-30T09:33:05"/>
    <s v=" 318 8147439"/>
    <s v="Tabio Cundinamarca, 250237 Tabio, Colombia"/>
    <s v="DP"/>
    <n v="84.3"/>
    <s v="Santi"/>
    <x v="4"/>
    <x v="0"/>
    <s v="OK"/>
    <x v="3"/>
    <x v="4"/>
    <x v="0"/>
    <x v="0"/>
    <x v="1"/>
  </r>
  <r>
    <x v="6"/>
    <x v="6"/>
    <s v="Cédula de ciudadanía"/>
    <x v="6"/>
    <s v="Mujer"/>
    <n v="18"/>
    <b v="1"/>
    <s v="VALLEDUPAR"/>
    <s v="Bogotá"/>
    <s v="Universidad del Bosque"/>
    <m/>
    <s v="Marketing / Mercadeo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9-12T00:00:00"/>
    <d v="1899-12-30T19:08:31"/>
    <s v=" 313 6263013"/>
    <s v="Valledupar, Colombia"/>
    <s v="DP"/>
    <n v="73.2"/>
    <s v="Cata"/>
    <x v="4"/>
    <x v="0"/>
    <s v="OK"/>
    <x v="4"/>
    <x v="5"/>
    <x v="0"/>
    <x v="0"/>
    <x v="1"/>
  </r>
  <r>
    <x v="7"/>
    <x v="7"/>
    <s v="Cédula de ciudadanía"/>
    <x v="7"/>
    <s v="Mujer"/>
    <n v="20"/>
    <b v="1"/>
    <s v="BOGOTA"/>
    <s v="Bogotá"/>
    <s v="Otra"/>
    <s v="Universidad EAN"/>
    <s v="Negocios Internacionales"/>
    <m/>
    <b v="0"/>
    <b v="0"/>
    <s v="Intermedio"/>
    <s v="Intermedio"/>
    <s v="Logística"/>
    <m/>
    <m/>
    <m/>
    <m/>
    <s v="Marketing"/>
    <m/>
    <m/>
    <m/>
    <m/>
    <b v="0"/>
    <b v="0"/>
    <m/>
    <b v="0"/>
    <m/>
    <b v="0"/>
    <m/>
    <b v="0"/>
    <m/>
    <s v="LinkedIn"/>
    <s v="CREATÓN"/>
    <d v="2026-09-12T00:00:00"/>
    <d v="1899-12-30T23:18:41"/>
    <n v="3106091858"/>
    <s v="Calle 70D Sur 79-45, 110741 Bogota, D.C., Colombia"/>
    <s v="DP"/>
    <n v="75.2"/>
    <s v="Cata"/>
    <x v="5"/>
    <x v="0"/>
    <s v="OK"/>
    <x v="5"/>
    <x v="6"/>
    <x v="0"/>
    <x v="0"/>
    <x v="0"/>
  </r>
  <r>
    <x v="8"/>
    <x v="8"/>
    <s v="Cédula de ciudadanía"/>
    <x v="8"/>
    <s v="Mujer"/>
    <n v="18"/>
    <b v="1"/>
    <s v="BOGOTA"/>
    <s v="Bogotá"/>
    <s v="Pontificia Universidad Javeriana"/>
    <m/>
    <s v="Administración de Empresas"/>
    <m/>
    <b v="0"/>
    <b v="0"/>
    <s v="Avanzado"/>
    <s v="Avanzado"/>
    <s v="Talento"/>
    <m/>
    <m/>
    <s v="Atracción de Talento y Marca Empleadora"/>
    <m/>
    <s v="Talento"/>
    <m/>
    <m/>
    <s v="Support"/>
    <m/>
    <b v="0"/>
    <b v="0"/>
    <m/>
    <b v="0"/>
    <m/>
    <b v="0"/>
    <m/>
    <b v="0"/>
    <m/>
    <s v="Página Web Oficial"/>
    <s v="CREATÓN"/>
    <d v="2026-09-03T00:00:00"/>
    <d v="1899-12-30T12:36:06"/>
    <s v=" 305 3700517"/>
    <s v="Calle 83A 118-29, 111011 Bogota, D.C., Colombia"/>
    <s v="DP"/>
    <n v="82.2"/>
    <s v="Cata"/>
    <x v="6"/>
    <x v="0"/>
    <s v="OK"/>
    <x v="3"/>
    <x v="7"/>
    <x v="0"/>
    <x v="0"/>
    <x v="1"/>
  </r>
  <r>
    <x v="9"/>
    <x v="9"/>
    <s v="Cédula de ciudadanía"/>
    <x v="9"/>
    <s v="Hombre"/>
    <n v="21"/>
    <b v="1"/>
    <s v="BOGOTA"/>
    <s v="Bogotá"/>
    <s v="Universidad de los Andes"/>
    <m/>
    <s v="Economía"/>
    <m/>
    <b v="0"/>
    <b v="0"/>
    <s v="Avanzado"/>
    <s v="Intermedio"/>
    <s v="Tecnología"/>
    <m/>
    <s v="Finanzas Impuestos"/>
    <m/>
    <m/>
    <s v="Finanzas"/>
    <m/>
    <m/>
    <m/>
    <m/>
    <b v="0"/>
    <b v="0"/>
    <m/>
    <b v="0"/>
    <m/>
    <b v="0"/>
    <m/>
    <b v="0"/>
    <m/>
    <s v="LinkedIn"/>
    <s v="CREATÓN"/>
    <d v="2026-08-31T00:00:00"/>
    <d v="1899-12-30T13:31:05"/>
    <s v=" 310 8888133"/>
    <s v="Calle 146A 58B-22, 111156 Bogota, D.C., Colombia"/>
    <s v="DP"/>
    <n v="88.9"/>
    <s v="Cata"/>
    <x v="7"/>
    <x v="0"/>
    <s v="OK "/>
    <x v="1"/>
    <x v="8"/>
    <x v="0"/>
    <x v="0"/>
    <x v="0"/>
  </r>
  <r>
    <x v="10"/>
    <x v="10"/>
    <s v="Cédula de ciudadanía"/>
    <x v="10"/>
    <s v="Mujer"/>
    <n v="23"/>
    <b v="1"/>
    <m/>
    <s v="Bogotá"/>
    <s v="Universidad del Rosario"/>
    <m/>
    <s v="Marketing / Mercadeo"/>
    <m/>
    <b v="1"/>
    <b v="0"/>
    <s v="Avanzado"/>
    <s v="Intermedio"/>
    <s v="Marketing"/>
    <m/>
    <m/>
    <m/>
    <m/>
    <s v="Ventas"/>
    <m/>
    <m/>
    <m/>
    <s v="BEES"/>
    <b v="0"/>
    <b v="0"/>
    <m/>
    <b v="0"/>
    <m/>
    <b v="0"/>
    <m/>
    <b v="0"/>
    <m/>
    <s v="LinkedIn"/>
    <s v="CREATÓN"/>
    <d v="2026-08-23T00:00:00"/>
    <d v="1899-12-30T18:39:03"/>
    <s v=" 316 2325718"/>
    <s v="Edificio Roger VI, 111321 Bogota, D.C., Colombia"/>
    <s v="DP"/>
    <n v="93.6"/>
    <s v="Cata"/>
    <x v="8"/>
    <x v="0"/>
    <s v="OK"/>
    <x v="4"/>
    <x v="9"/>
    <x v="0"/>
    <x v="0"/>
    <x v="1"/>
  </r>
  <r>
    <x v="11"/>
    <x v="11"/>
    <s v="Cédula de ciudadanía"/>
    <x v="11"/>
    <s v="Hombre"/>
    <n v="21"/>
    <b v="1"/>
    <s v="BUCARAMANGA"/>
    <s v="Bogotá"/>
    <s v="Otra"/>
    <s v="Universidad de Santander"/>
    <s v="Otra"/>
    <s v="Administración de Negocios Internacionales"/>
    <b v="1"/>
    <b v="0"/>
    <s v="Intermedio"/>
    <s v="Intermedio"/>
    <s v="Logística"/>
    <m/>
    <m/>
    <m/>
    <m/>
    <s v="Compras"/>
    <m/>
    <m/>
    <m/>
    <m/>
    <b v="0"/>
    <b v="0"/>
    <m/>
    <b v="0"/>
    <m/>
    <b v="0"/>
    <m/>
    <b v="0"/>
    <m/>
    <s v="LinkedIn"/>
    <s v="CREATÓN"/>
    <d v="2026-08-27T00:00:00"/>
    <d v="1899-12-30T14:52:17"/>
    <s v=" 305 4120170"/>
    <s v="Torres de Monterrey, 680004 Bucaramanga, Colombia"/>
    <s v="DP"/>
    <n v="88.6"/>
    <s v="Cata"/>
    <x v="3"/>
    <x v="0"/>
    <s v="OK"/>
    <x v="6"/>
    <x v="10"/>
    <x v="0"/>
    <x v="0"/>
    <x v="0"/>
  </r>
  <r>
    <x v="12"/>
    <x v="12"/>
    <s v="Cédula de ciudadanía"/>
    <x v="12"/>
    <s v="Hombre"/>
    <n v="20"/>
    <b v="1"/>
    <s v="BOGOTA"/>
    <s v="Bogotá"/>
    <s v="Pontificia Universidad Javeriana"/>
    <m/>
    <s v="Finanzas"/>
    <m/>
    <b v="0"/>
    <b v="0"/>
    <s v="Avanzado"/>
    <s v="Avanzado"/>
    <s v="Finanzas"/>
    <m/>
    <m/>
    <s v="Área financiera"/>
    <m/>
    <s v="Talento"/>
    <m/>
    <s v="Finanzas Impuestos"/>
    <m/>
    <m/>
    <b v="0"/>
    <b v="0"/>
    <m/>
    <b v="0"/>
    <m/>
    <b v="0"/>
    <m/>
    <b v="0"/>
    <m/>
    <s v="Página Web Oficial"/>
    <s v="CREATÓN"/>
    <d v="2026-08-24T00:00:00"/>
    <d v="1899-12-30T18:19:03"/>
    <s v=" 321 8574669"/>
    <s v="Calle 117D 57-96, 111111 Bogota, D.C., Colombia"/>
    <s v="DP"/>
    <n v="89.9"/>
    <s v="Cata"/>
    <x v="0"/>
    <x v="1"/>
    <s v="OK"/>
    <x v="2"/>
    <x v="11"/>
    <x v="0"/>
    <x v="0"/>
    <x v="0"/>
  </r>
  <r>
    <x v="13"/>
    <x v="13"/>
    <s v="Cédula de ciudadanía"/>
    <x v="13"/>
    <s v="Hombre"/>
    <n v="20"/>
    <b v="1"/>
    <s v="BOGOTÁ"/>
    <s v="Bogotá"/>
    <s v="Pontificia Universidad Javeriana"/>
    <m/>
    <s v="Finanzas"/>
    <m/>
    <b v="1"/>
    <b v="0"/>
    <s v="Intermedio"/>
    <s v="Intermedio"/>
    <s v="Finanzas"/>
    <m/>
    <m/>
    <s v="Área financiera"/>
    <m/>
    <s v="Talento"/>
    <m/>
    <s v="Finanzas Impuestos"/>
    <m/>
    <m/>
    <b v="0"/>
    <b v="0"/>
    <m/>
    <b v="0"/>
    <m/>
    <b v="0"/>
    <m/>
    <b v="0"/>
    <m/>
    <s v="Otros"/>
    <s v="CREATÓN"/>
    <d v="2026-09-02T00:00:00"/>
    <d v="1899-12-30T06:28:09"/>
    <s v=" 319 5528847"/>
    <s v="Carrera 69K 68-59, 111061 Bogota, D.C., Colombia"/>
    <s v="DP"/>
    <n v="86.4"/>
    <s v="Cata"/>
    <x v="0"/>
    <x v="1"/>
    <s v="OK"/>
    <x v="2"/>
    <x v="12"/>
    <x v="0"/>
    <x v="0"/>
    <x v="0"/>
  </r>
  <r>
    <x v="14"/>
    <x v="14"/>
    <s v="Cédula de ciudadanía"/>
    <x v="14"/>
    <s v="Hombre"/>
    <n v="21"/>
    <b v="1"/>
    <s v="BOGOTÁ"/>
    <s v="Bogotá"/>
    <s v="Universidad del Rosario"/>
    <m/>
    <s v="Analítica de Datos"/>
    <m/>
    <b v="0"/>
    <b v="0"/>
    <s v="Avanzado"/>
    <s v="Avanzado"/>
    <s v="Finanzas"/>
    <m/>
    <m/>
    <m/>
    <m/>
    <s v="Compras"/>
    <m/>
    <s v="Finanzas Impuestos"/>
    <m/>
    <m/>
    <b v="0"/>
    <b v="0"/>
    <m/>
    <b v="0"/>
    <m/>
    <b v="0"/>
    <m/>
    <b v="0"/>
    <m/>
    <s v="Página Web Oficial"/>
    <s v="CREATÓN"/>
    <d v="2026-09-13T00:00:00"/>
    <d v="1899-12-30T16:17:17"/>
    <s v=" 315 6652203"/>
    <s v="Calle 191A 11A-25, 110141 Bogota, D.C., Colombia"/>
    <s v="DP"/>
    <n v="74.5"/>
    <s v="Cata"/>
    <x v="0"/>
    <x v="1"/>
    <s v="OK"/>
    <x v="7"/>
    <x v="13"/>
    <x v="0"/>
    <x v="0"/>
    <x v="0"/>
  </r>
  <r>
    <x v="15"/>
    <x v="15"/>
    <s v="Cédula de ciudadanía"/>
    <x v="15"/>
    <s v="Mujer"/>
    <n v="21"/>
    <b v="1"/>
    <s v="BOGOTA D.C."/>
    <s v="Bogotá"/>
    <s v="Universidad Nacional de Colombia"/>
    <m/>
    <s v="Economía"/>
    <m/>
    <b v="0"/>
    <b v="0"/>
    <s v="Avanzado"/>
    <s v="Avanzado"/>
    <s v="Finanzas"/>
    <m/>
    <s v="Finanzas Impuestos"/>
    <m/>
    <m/>
    <s v="Finanzas"/>
    <m/>
    <s v="Finanzas Impuestos"/>
    <m/>
    <m/>
    <b v="0"/>
    <b v="0"/>
    <m/>
    <b v="0"/>
    <m/>
    <b v="0"/>
    <m/>
    <b v="0"/>
    <m/>
    <s v="Otros"/>
    <s v="CREATÓN"/>
    <d v="2026-08-24T00:00:00"/>
    <d v="1899-12-30T21:51:06"/>
    <n v="3026715667"/>
    <s v="Calle 69B Sur 64, Bogota, D.C., Colombia"/>
    <s v="DP"/>
    <n v="83.7"/>
    <s v="Cata"/>
    <x v="0"/>
    <x v="1"/>
    <s v="OK"/>
    <x v="1"/>
    <x v="14"/>
    <x v="0"/>
    <x v="0"/>
    <x v="0"/>
  </r>
  <r>
    <x v="16"/>
    <x v="16"/>
    <s v="Cédula de ciudadanía"/>
    <x v="16"/>
    <s v="Hombre"/>
    <n v="25"/>
    <b v="1"/>
    <s v="BOGOTA"/>
    <s v="Bogotá"/>
    <s v="Otra"/>
    <s v="Universidad colegio mayor de cundinamarca"/>
    <s v="Economía"/>
    <m/>
    <b v="0"/>
    <b v="0"/>
    <s v="Intermedio"/>
    <s v="Avanzado"/>
    <s v="Finanzas"/>
    <m/>
    <s v="Finanzas Impuestos"/>
    <m/>
    <m/>
    <s v="Finanzas"/>
    <m/>
    <s v="Finanzas Impuestos"/>
    <m/>
    <m/>
    <b v="0"/>
    <b v="0"/>
    <m/>
    <b v="0"/>
    <m/>
    <b v="0"/>
    <m/>
    <b v="0"/>
    <m/>
    <s v="Página Web Oficial"/>
    <s v="CREATÓN"/>
    <d v="2026-09-04T00:00:00"/>
    <d v="1899-12-30T05:59:13"/>
    <n v="3143611237"/>
    <s v="Carrera 95A 56H S-52, 110711 Bogota, D.C., Colombia"/>
    <s v="DP"/>
    <n v="82.1"/>
    <s v="Cata"/>
    <x v="0"/>
    <x v="1"/>
    <s v="OK"/>
    <x v="1"/>
    <x v="15"/>
    <x v="0"/>
    <x v="0"/>
    <x v="0"/>
  </r>
  <r>
    <x v="17"/>
    <x v="17"/>
    <s v="Cédula de ciudadanía"/>
    <x v="17"/>
    <s v="Mujer"/>
    <n v="21"/>
    <b v="1"/>
    <s v="BOGOTA"/>
    <s v="Bogotá"/>
    <s v="Universidad Externado de Colombia"/>
    <m/>
    <s v="Derecho"/>
    <m/>
    <b v="0"/>
    <b v="0"/>
    <s v="Avanzado"/>
    <s v="Básico"/>
    <s v="Asuntos corporativos"/>
    <m/>
    <m/>
    <m/>
    <m/>
    <s v="Tecnología"/>
    <m/>
    <m/>
    <m/>
    <m/>
    <b v="0"/>
    <b v="0"/>
    <m/>
    <b v="0"/>
    <m/>
    <b v="0"/>
    <m/>
    <b v="0"/>
    <m/>
    <s v="Otros"/>
    <s v="CREATÓN"/>
    <d v="2026-09-01T00:00:00"/>
    <d v="1899-12-30T16:20:24"/>
    <n v="3197010253"/>
    <s v="Calle 159 54-35, 111156 Bogota, D.C., Colombia"/>
    <s v="DP"/>
    <n v="95.5"/>
    <s v="Santi"/>
    <x v="1"/>
    <x v="1"/>
    <s v="OK"/>
    <x v="8"/>
    <x v="16"/>
    <x v="0"/>
    <x v="0"/>
    <x v="1"/>
  </r>
  <r>
    <x v="18"/>
    <x v="18"/>
    <s v="Cédula de ciudadanía"/>
    <x v="18"/>
    <s v="Mujer"/>
    <n v="20"/>
    <b v="1"/>
    <s v="BOGOTÁ"/>
    <s v="Bogotá"/>
    <s v="Otra"/>
    <s v="Universidad EAN"/>
    <s v="Negocios Internacionales"/>
    <m/>
    <b v="0"/>
    <b v="0"/>
    <s v="Intermedio"/>
    <s v="Intermedio"/>
    <s v="Asuntos corporativos"/>
    <m/>
    <m/>
    <s v="Atracción de Talento y Marca Empleadora"/>
    <m/>
    <s v="Talento"/>
    <m/>
    <m/>
    <m/>
    <m/>
    <b v="0"/>
    <b v="0"/>
    <m/>
    <b v="0"/>
    <m/>
    <b v="0"/>
    <m/>
    <b v="0"/>
    <m/>
    <s v="Medios Tradicionales"/>
    <s v="CREATÓN"/>
    <d v="2026-09-01T00:00:00"/>
    <d v="1899-12-30T15:50:33"/>
    <n v="0"/>
    <s v="Diagonal 23C BIS Transversal 88C-88b, 110911 Bogota, D.C., Colombia"/>
    <s v="DP"/>
    <n v="90.5"/>
    <s v="Cata"/>
    <x v="1"/>
    <x v="1"/>
    <s v="OK"/>
    <x v="5"/>
    <x v="2"/>
    <x v="0"/>
    <x v="0"/>
    <x v="1"/>
  </r>
  <r>
    <x v="19"/>
    <x v="19"/>
    <s v="Cédula de ciudadanía"/>
    <x v="19"/>
    <s v="Hombre"/>
    <n v="23"/>
    <b v="1"/>
    <s v="BOGOTA"/>
    <s v="Bogotá"/>
    <s v="Universidad del Rosario"/>
    <m/>
    <s v="Economía"/>
    <m/>
    <b v="1"/>
    <b v="0"/>
    <s v="Avanzado"/>
    <s v="Intermedio"/>
    <s v="Asuntos corporativos"/>
    <m/>
    <m/>
    <m/>
    <m/>
    <s v="Compras"/>
    <m/>
    <m/>
    <m/>
    <m/>
    <b v="0"/>
    <b v="0"/>
    <m/>
    <b v="0"/>
    <m/>
    <b v="0"/>
    <m/>
    <b v="0"/>
    <m/>
    <s v="Otros"/>
    <s v="CREATÓN"/>
    <d v="2026-08-28T00:00:00"/>
    <d v="1899-12-30T08:37:32"/>
    <s v=" 302 2508910"/>
    <s v="Carrera 7B 127C-58, 110121 Bogota, D.C., Colombia"/>
    <s v="DP"/>
    <n v="70.099999999999994"/>
    <s v="Cata"/>
    <x v="1"/>
    <x v="1"/>
    <s v="OK"/>
    <x v="1"/>
    <x v="17"/>
    <x v="0"/>
    <x v="0"/>
    <x v="1"/>
  </r>
  <r>
    <x v="20"/>
    <x v="20"/>
    <s v="Cédula de ciudadanía"/>
    <x v="20"/>
    <s v="Hombre"/>
    <n v="19"/>
    <b v="1"/>
    <s v="BOGOTA"/>
    <s v="Bogotá"/>
    <s v="Pontificia Universidad Javeriana"/>
    <m/>
    <s v="Derecho"/>
    <m/>
    <b v="1"/>
    <b v="0"/>
    <s v="Avanzado"/>
    <s v="Intermedio"/>
    <s v="Asuntos corporativos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9-12T00:00:00"/>
    <d v="1899-12-30T14:49:09"/>
    <n v="3058170290"/>
    <s v="Carrera 89 147B-79, 111156 Bogota, D.C., Colombia"/>
    <s v="DP"/>
    <n v="74.099999999999994"/>
    <s v="Cata"/>
    <x v="1"/>
    <x v="1"/>
    <s v="OK"/>
    <x v="8"/>
    <x v="18"/>
    <x v="0"/>
    <x v="0"/>
    <x v="1"/>
  </r>
  <r>
    <x v="21"/>
    <x v="21"/>
    <s v="Cédula de ciudadanía"/>
    <x v="21"/>
    <s v="Mujer"/>
    <n v="21"/>
    <b v="1"/>
    <s v="CHIA CUNDINAMARCA"/>
    <s v="Bogotá"/>
    <s v="Universidad de los Andes"/>
    <m/>
    <s v="Administración de Empresas"/>
    <m/>
    <b v="0"/>
    <b v="0"/>
    <s v="Intermedi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LinkedIn"/>
    <s v="CREATÓN"/>
    <d v="2026-09-03T00:00:00"/>
    <d v="1899-12-30T00:02:37"/>
    <s v=" 305 3136665"/>
    <s v="Calle 7 1-84, 250001 Chía, Colombia"/>
    <s v="DP"/>
    <n v="83.8"/>
    <s v="Cata"/>
    <x v="9"/>
    <x v="1"/>
    <s v="OK"/>
    <x v="3"/>
    <x v="19"/>
    <x v="0"/>
    <x v="0"/>
    <x v="0"/>
  </r>
  <r>
    <x v="22"/>
    <x v="22"/>
    <s v="Cédula de ciudadanía"/>
    <x v="22"/>
    <s v="Mujer"/>
    <n v="21"/>
    <b v="1"/>
    <m/>
    <s v="Bogotá"/>
    <s v="Universidad Externado de Colombia"/>
    <m/>
    <s v="Administración de Empresas"/>
    <m/>
    <b v="0"/>
    <b v="0"/>
    <s v="Avanzado"/>
    <s v="Avanzad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Otros"/>
    <s v="CREATÓN"/>
    <d v="2026-08-22T00:00:00"/>
    <d v="1899-12-30T10:13:10"/>
    <s v=" 319 4972788"/>
    <s v="Carrera 73B 146F-25, 111156 Bogota, D.C., Colombia"/>
    <s v="DP"/>
    <n v="85.2"/>
    <s v="Cata"/>
    <x v="9"/>
    <x v="1"/>
    <s v="OK"/>
    <x v="3"/>
    <x v="20"/>
    <x v="0"/>
    <x v="0"/>
    <x v="0"/>
  </r>
  <r>
    <x v="23"/>
    <x v="23"/>
    <s v="Cédula de ciudadanía"/>
    <x v="23"/>
    <s v="Hombre"/>
    <n v="23"/>
    <b v="1"/>
    <m/>
    <s v="Bogotá"/>
    <s v="Universidad del Rosario"/>
    <m/>
    <s v="Negocios Internacionales"/>
    <m/>
    <b v="0"/>
    <b v="0"/>
    <s v="Avanzado"/>
    <s v="Intermedio"/>
    <s v="Logística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8-21T00:00:00"/>
    <d v="1899-12-30T09:57:09"/>
    <s v=" 318 2479065"/>
    <s v="Calle 53 4A-69, 110231 Bogota, D.C., Colombia"/>
    <s v="DP"/>
    <n v="81.900000000000006"/>
    <s v="Cata"/>
    <x v="9"/>
    <x v="1"/>
    <s v="OK"/>
    <x v="5"/>
    <x v="21"/>
    <x v="0"/>
    <x v="0"/>
    <x v="0"/>
  </r>
  <r>
    <x v="24"/>
    <x v="24"/>
    <s v="Cédula de ciudadanía"/>
    <x v="24"/>
    <s v="Mujer"/>
    <n v="22"/>
    <b v="1"/>
    <s v="BOGOTÁ"/>
    <s v="Bogotá"/>
    <s v="Universidad de La Sabana"/>
    <m/>
    <s v="Negocios Internacionales"/>
    <m/>
    <b v="0"/>
    <b v="0"/>
    <s v="Avanzado"/>
    <s v="Avanzado"/>
    <s v="Talento"/>
    <m/>
    <m/>
    <m/>
    <m/>
    <s v="Ventas"/>
    <m/>
    <m/>
    <s v="Atracción de Talento y Marca Empleadora"/>
    <s v="Gestión de Ejecución Premium"/>
    <b v="0"/>
    <b v="0"/>
    <m/>
    <b v="0"/>
    <m/>
    <b v="0"/>
    <m/>
    <b v="0"/>
    <m/>
    <s v="Instagram"/>
    <s v="CREATÓN"/>
    <d v="2026-08-25T00:00:00"/>
    <d v="1899-12-30T19:29:11"/>
    <s v=" 313 4649889"/>
    <s v="Carrera 62 165A-69, 111156 Bogota, D.C., Colombia"/>
    <s v="DP"/>
    <n v="80.5"/>
    <s v="Cata"/>
    <x v="9"/>
    <x v="1"/>
    <s v="OK"/>
    <x v="5"/>
    <x v="22"/>
    <x v="0"/>
    <x v="0"/>
    <x v="0"/>
  </r>
  <r>
    <x v="25"/>
    <x v="25"/>
    <s v="Cédula de ciudadanía"/>
    <x v="25"/>
    <s v="Mujer"/>
    <n v="20"/>
    <b v="1"/>
    <s v="BOGOTÁ"/>
    <s v="Bogotá"/>
    <s v="Universidad de La Sabana"/>
    <m/>
    <s v="Psicología"/>
    <m/>
    <b v="0"/>
    <b v="0"/>
    <s v="Avanzado"/>
    <s v="Intermedio"/>
    <s v="Talento"/>
    <m/>
    <m/>
    <m/>
    <m/>
    <s v="Comunicaciones"/>
    <m/>
    <m/>
    <s v="Atracción de Talento y Marca Empleadora"/>
    <m/>
    <b v="0"/>
    <b v="1"/>
    <m/>
    <b v="0"/>
    <m/>
    <b v="0"/>
    <s v="Padre - William Humberto Castro Riaño"/>
    <b v="0"/>
    <m/>
    <s v="Instagram"/>
    <s v="CREATÓN"/>
    <d v="2026-08-31T00:00:00"/>
    <d v="1899-12-30T10:56:15"/>
    <s v=" 322 4018881"/>
    <s v="Carrera 53 141-69, 111156 Bogota, D.C., Colombia"/>
    <s v="DP"/>
    <n v="88.2"/>
    <s v="Cata"/>
    <x v="9"/>
    <x v="1"/>
    <s v="OK"/>
    <x v="9"/>
    <x v="23"/>
    <x v="0"/>
    <x v="0"/>
    <x v="0"/>
  </r>
  <r>
    <x v="26"/>
    <x v="26"/>
    <s v="Cédula de ciudadanía"/>
    <x v="26"/>
    <s v="Mujer"/>
    <n v="22"/>
    <b v="1"/>
    <s v="BOGOTA"/>
    <s v="Bogotá"/>
    <s v="Universidad de los Andes"/>
    <m/>
    <s v="Administración de Empresas"/>
    <m/>
    <b v="0"/>
    <b v="0"/>
    <s v="Avanzado"/>
    <s v="Avanzado"/>
    <s v="Ventas"/>
    <m/>
    <m/>
    <m/>
    <s v="Talento Ventas"/>
    <s v="Marketing"/>
    <m/>
    <m/>
    <m/>
    <m/>
    <b v="0"/>
    <b v="0"/>
    <m/>
    <b v="0"/>
    <m/>
    <b v="0"/>
    <m/>
    <b v="0"/>
    <m/>
    <s v="LinkedIn"/>
    <s v="CREATÓN"/>
    <d v="2026-09-04T00:00:00"/>
    <d v="1899-12-30T05:59:11"/>
    <n v="3116257553"/>
    <s v="Calle 70A 7-36, 110231 Bogota, D.C., Colombia"/>
    <s v="DP"/>
    <n v="98.3"/>
    <s v="Cata"/>
    <x v="9"/>
    <x v="1"/>
    <s v="OK"/>
    <x v="3"/>
    <x v="24"/>
    <x v="0"/>
    <x v="0"/>
    <x v="0"/>
  </r>
  <r>
    <x v="27"/>
    <x v="27"/>
    <s v="Cédula de ciudadanía"/>
    <x v="27"/>
    <s v="Mujer"/>
    <n v="20"/>
    <b v="1"/>
    <s v="BOGOTÁ D.C"/>
    <s v="Bogotá"/>
    <s v="Universidad Piloto de Colombia"/>
    <m/>
    <s v="Psicología"/>
    <m/>
    <b v="1"/>
    <b v="0"/>
    <s v="Intermedio"/>
    <s v="Intermedi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LinkedIn"/>
    <s v="CREATÓN"/>
    <d v="2026-08-28T00:00:00"/>
    <d v="1899-12-30T05:48:08"/>
    <s v="305 7325384"/>
    <s v="Calle 56A Sur 72C-10, 110741 Bogota, D.C., Colombia"/>
    <s v="DP"/>
    <n v="86.2"/>
    <s v="Cata"/>
    <x v="9"/>
    <x v="1"/>
    <s v="OK"/>
    <x v="9"/>
    <x v="25"/>
    <x v="0"/>
    <x v="0"/>
    <x v="0"/>
  </r>
  <r>
    <x v="28"/>
    <x v="28"/>
    <s v="Cédula de ciudadanía"/>
    <x v="28"/>
    <s v="Mujer"/>
    <n v="22"/>
    <b v="1"/>
    <s v="Bogotá, D.C."/>
    <s v="Bogotá"/>
    <s v="Universidad de los Andes"/>
    <m/>
    <s v="Administración de Empresas"/>
    <m/>
    <b v="0"/>
    <b v="0"/>
    <s v="Avanzado"/>
    <s v="Avanzad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LinkedIn"/>
    <s v="CREATÓN"/>
    <d v="2026-09-01T00:00:00"/>
    <d v="1899-12-30T16:20:24"/>
    <n v="3107579299"/>
    <s v="Los Rosales, Bogota, D.C., Colombia"/>
    <s v="DP"/>
    <n v="93.4"/>
    <s v="Santi"/>
    <x v="9"/>
    <x v="1"/>
    <s v="OK"/>
    <x v="3"/>
    <x v="26"/>
    <x v="0"/>
    <x v="0"/>
    <x v="0"/>
  </r>
  <r>
    <x v="29"/>
    <x v="29"/>
    <s v="Cédula de ciudadanía"/>
    <x v="29"/>
    <s v="Mujer"/>
    <n v="20"/>
    <b v="1"/>
    <m/>
    <s v="Bogotá"/>
    <s v="Universidad Externado de Colombia"/>
    <m/>
    <s v="Finanzas"/>
    <m/>
    <b v="0"/>
    <b v="0"/>
    <s v="Intermedio"/>
    <s v="Intermedio"/>
    <s v="Ventas"/>
    <m/>
    <m/>
    <m/>
    <s v="Canal Moderno"/>
    <s v="Marketing"/>
    <m/>
    <m/>
    <m/>
    <m/>
    <b v="0"/>
    <b v="0"/>
    <m/>
    <b v="0"/>
    <m/>
    <b v="0"/>
    <m/>
    <b v="0"/>
    <m/>
    <s v="Instagram"/>
    <s v="CREATÓN"/>
    <d v="2026-09-08T00:00:00"/>
    <d v="1899-12-30T06:21:57"/>
    <s v=" 321 9095151"/>
    <s v="Calle 66C 61-1, 111221 Bogota, D.C., Colombia"/>
    <s v="DP"/>
    <n v="96.4"/>
    <s v="Cata"/>
    <x v="10"/>
    <x v="1"/>
    <s v="OK"/>
    <x v="2"/>
    <x v="27"/>
    <x v="0"/>
    <x v="0"/>
    <x v="1"/>
  </r>
  <r>
    <x v="30"/>
    <x v="30"/>
    <s v="Cédula de ciudadanía"/>
    <x v="30"/>
    <s v="Hombre"/>
    <n v="23"/>
    <b v="1"/>
    <s v="BOGOTÁ"/>
    <s v="Bogotá"/>
    <s v="Pontificia Universidad Javeriana"/>
    <m/>
    <s v="Ingeniería Industrial"/>
    <m/>
    <b v="0"/>
    <b v="0"/>
    <s v="Avanzado"/>
    <s v="Avanzado"/>
    <s v="Ventas"/>
    <m/>
    <m/>
    <m/>
    <s v="Ventas Comercial"/>
    <s v="Ventas"/>
    <m/>
    <m/>
    <m/>
    <s v="Canal Moderno"/>
    <b v="0"/>
    <b v="0"/>
    <m/>
    <b v="0"/>
    <m/>
    <b v="0"/>
    <m/>
    <b v="0"/>
    <m/>
    <s v="LinkedIn"/>
    <s v="CREATÓN"/>
    <d v="2026-08-25T00:00:00"/>
    <d v="1899-12-30T13:18:15"/>
    <s v=" 316 6197879"/>
    <s v="Edificio Palo Alto, 110221 Bogota, D.C., Colombia"/>
    <s v="DP"/>
    <n v="76.7"/>
    <s v="Cata"/>
    <x v="10"/>
    <x v="1"/>
    <s v="OK"/>
    <x v="10"/>
    <x v="28"/>
    <x v="0"/>
    <x v="0"/>
    <x v="1"/>
  </r>
  <r>
    <x v="31"/>
    <x v="31"/>
    <s v="Cédula de ciudadanía"/>
    <x v="31"/>
    <s v="Mujer"/>
    <n v="20"/>
    <b v="1"/>
    <m/>
    <s v="Bogotá"/>
    <s v="Otra"/>
    <s v="Universidad de Boyacá"/>
    <s v="Ingeniería Industrial"/>
    <m/>
    <b v="1"/>
    <b v="0"/>
    <s v="Intermedio"/>
    <s v="Intermedio"/>
    <s v="Logística"/>
    <m/>
    <m/>
    <m/>
    <m/>
    <s v="Ventas"/>
    <m/>
    <m/>
    <m/>
    <s v="Canal Moderno"/>
    <b v="0"/>
    <b v="0"/>
    <m/>
    <b v="0"/>
    <m/>
    <b v="0"/>
    <m/>
    <b v="0"/>
    <m/>
    <s v="Página Web Oficial"/>
    <s v="CREATÓN"/>
    <d v="2026-08-21T00:00:00"/>
    <d v="1899-12-30T09:57:08"/>
    <s v=" 322 9448422"/>
    <s v="Paipa, Colombia"/>
    <s v="DP"/>
    <n v="93.9"/>
    <s v="Cata"/>
    <x v="10"/>
    <x v="1"/>
    <s v="OK"/>
    <x v="10"/>
    <x v="29"/>
    <x v="0"/>
    <x v="0"/>
    <x v="1"/>
  </r>
  <r>
    <x v="32"/>
    <x v="32"/>
    <s v="Cédula de ciudadanía"/>
    <x v="32"/>
    <s v="Mujer"/>
    <n v="19"/>
    <b v="1"/>
    <s v="BOGOTÁ"/>
    <s v="Bogotá"/>
    <s v="Universidad del Bosque"/>
    <m/>
    <s v="Negocios Internacionales"/>
    <m/>
    <b v="0"/>
    <b v="0"/>
    <s v="Avanzado"/>
    <s v="Intermedio"/>
    <s v="Ventas"/>
    <m/>
    <m/>
    <m/>
    <s v="Talento Ventas"/>
    <s v="Marketing"/>
    <m/>
    <m/>
    <m/>
    <m/>
    <b v="0"/>
    <b v="0"/>
    <m/>
    <b v="0"/>
    <m/>
    <b v="0"/>
    <m/>
    <b v="0"/>
    <m/>
    <s v="LinkedIn"/>
    <s v="CREATÓN"/>
    <d v="2026-09-02T00:00:00"/>
    <d v="1899-12-30T13:13:03"/>
    <s v=" 322 2237039"/>
    <s v="Calle 151B 102B-90, 111161 Bogota, D.C., Colombia"/>
    <s v="DP"/>
    <n v="91.5"/>
    <s v="Santi"/>
    <x v="10"/>
    <x v="1"/>
    <s v="OK"/>
    <x v="5"/>
    <x v="30"/>
    <x v="0"/>
    <x v="0"/>
    <x v="1"/>
  </r>
  <r>
    <x v="33"/>
    <x v="33"/>
    <s v="Cédula de ciudadanía"/>
    <x v="33"/>
    <s v="Mujer"/>
    <n v="21"/>
    <b v="1"/>
    <s v="BOGOTA"/>
    <s v="Bogotá"/>
    <s v="Colegio de Estudios Superiores de Administración CESA"/>
    <m/>
    <s v="Administración de Empresas"/>
    <m/>
    <b v="1"/>
    <b v="0"/>
    <s v="Avanzado"/>
    <s v="Avanzado"/>
    <s v="Marketing"/>
    <m/>
    <m/>
    <m/>
    <m/>
    <s v="Ventas"/>
    <m/>
    <m/>
    <m/>
    <s v="Canal Moderno"/>
    <b v="0"/>
    <b v="0"/>
    <m/>
    <b v="0"/>
    <m/>
    <b v="0"/>
    <m/>
    <b v="0"/>
    <m/>
    <s v="Otros"/>
    <s v="CREATÓN"/>
    <d v="2026-09-12T00:00:00"/>
    <d v="1899-12-30T15:03:05"/>
    <s v=" 321 7794626"/>
    <s v="Calle 72A 0-54, 110221 Bogota, D.C., Colombia"/>
    <s v="DP"/>
    <n v="71.3"/>
    <s v="Cata"/>
    <x v="10"/>
    <x v="1"/>
    <s v="OK"/>
    <x v="3"/>
    <x v="31"/>
    <x v="0"/>
    <x v="0"/>
    <x v="1"/>
  </r>
  <r>
    <x v="34"/>
    <x v="34"/>
    <s v="Cédula de ciudadanía"/>
    <x v="34"/>
    <s v="Mujer"/>
    <n v="20"/>
    <b v="1"/>
    <m/>
    <s v="Bogotá"/>
    <s v="Escuela Colombiana de Ingeniería Julio Garavito"/>
    <m/>
    <s v="Ingeniería Industrial"/>
    <m/>
    <b v="1"/>
    <b v="0"/>
    <s v="Intermedio"/>
    <s v="Básico"/>
    <s v="Logística"/>
    <m/>
    <m/>
    <m/>
    <m/>
    <s v="Ventas"/>
    <m/>
    <m/>
    <m/>
    <s v="BEES"/>
    <b v="0"/>
    <b v="0"/>
    <m/>
    <b v="0"/>
    <m/>
    <b v="0"/>
    <m/>
    <b v="0"/>
    <m/>
    <s v="Instagram"/>
    <s v="CREATÓN"/>
    <d v="2026-08-23T00:00:00"/>
    <d v="1899-12-30T18:39:03"/>
    <n v="0"/>
    <s v="Calle 75A 76-58, 111051 Bogota, D.C., Colombia"/>
    <s v="DP"/>
    <n v="89.8"/>
    <s v="Santi"/>
    <x v="8"/>
    <x v="1"/>
    <s v="OK"/>
    <x v="10"/>
    <x v="2"/>
    <x v="0"/>
    <x v="0"/>
    <x v="1"/>
  </r>
  <r>
    <x v="35"/>
    <x v="35"/>
    <s v="Cédula de ciudadanía"/>
    <x v="35"/>
    <s v="Hombre"/>
    <n v="24"/>
    <b v="1"/>
    <m/>
    <s v="Bogotá"/>
    <s v="Universidad de los Andes"/>
    <m/>
    <s v="Economía"/>
    <m/>
    <b v="0"/>
    <b v="0"/>
    <s v="Avanzado"/>
    <s v="Avanzado"/>
    <s v="Ventas"/>
    <m/>
    <m/>
    <m/>
    <s v="Gestión de Ejecución Premium"/>
    <s v="Logística"/>
    <m/>
    <m/>
    <m/>
    <m/>
    <b v="0"/>
    <b v="0"/>
    <m/>
    <b v="0"/>
    <m/>
    <b v="0"/>
    <m/>
    <b v="0"/>
    <m/>
    <s v="Instagram"/>
    <s v="CREATÓN"/>
    <d v="2026-08-22T00:00:00"/>
    <d v="1899-12-30T15:44:05"/>
    <s v="310 4683903"/>
    <s v="Bogota, D.C., Colombia"/>
    <s v="DP"/>
    <n v="91"/>
    <s v="Cata"/>
    <x v="8"/>
    <x v="1"/>
    <s v="OK"/>
    <x v="1"/>
    <x v="32"/>
    <x v="0"/>
    <x v="0"/>
    <x v="1"/>
  </r>
  <r>
    <x v="36"/>
    <x v="36"/>
    <s v="Cédula de ciudadanía"/>
    <x v="36"/>
    <s v="Mujer"/>
    <n v="22"/>
    <b v="1"/>
    <s v="BOGOTA"/>
    <s v="Bogotá"/>
    <s v="Universidad del Rosario"/>
    <m/>
    <s v="Marketing / Mercadeo"/>
    <m/>
    <b v="0"/>
    <b v="0"/>
    <s v="Avanzado"/>
    <s v="Intermedio"/>
    <s v="Marketing"/>
    <m/>
    <m/>
    <m/>
    <m/>
    <s v="Ventas"/>
    <m/>
    <m/>
    <m/>
    <s v="BEES"/>
    <b v="0"/>
    <b v="0"/>
    <m/>
    <b v="0"/>
    <m/>
    <b v="0"/>
    <m/>
    <b v="0"/>
    <m/>
    <s v="Página Web Oficial"/>
    <s v="CREATÓN"/>
    <d v="2026-09-06T00:00:00"/>
    <d v="1899-12-30T17:17:08"/>
    <s v=" 304 4266492"/>
    <s v="Calle 114A 19A-67, 110111 Bogota, D.C., Colombia"/>
    <s v="DP"/>
    <n v="92.3"/>
    <s v="Cata"/>
    <x v="8"/>
    <x v="1"/>
    <s v="OK"/>
    <x v="4"/>
    <x v="33"/>
    <x v="0"/>
    <x v="0"/>
    <x v="1"/>
  </r>
  <r>
    <x v="37"/>
    <x v="37"/>
    <s v="Cédula de ciudadanía"/>
    <x v="37"/>
    <s v="Hombre"/>
    <n v="23"/>
    <b v="1"/>
    <s v="BOGOTA"/>
    <s v="Bogotá"/>
    <s v="Universidad Externado de Colombia"/>
    <m/>
    <s v="Administración de Empresas"/>
    <m/>
    <b v="0"/>
    <b v="0"/>
    <s v="Intermedio"/>
    <s v="Intermedio"/>
    <s v="Marketing"/>
    <m/>
    <m/>
    <m/>
    <m/>
    <s v="Ventas"/>
    <m/>
    <m/>
    <m/>
    <s v="BEES"/>
    <b v="0"/>
    <b v="0"/>
    <m/>
    <b v="0"/>
    <m/>
    <b v="0"/>
    <m/>
    <b v="0"/>
    <m/>
    <s v="Otros"/>
    <s v="CREATÓN"/>
    <d v="2026-09-01T00:00:00"/>
    <d v="1899-12-30T08:40:18"/>
    <n v="3175756956"/>
    <s v="Carrera 74A 168A-50, 111156 Bogota, D.C., Colombia"/>
    <s v="DP"/>
    <n v="75.2"/>
    <s v="Cata"/>
    <x v="8"/>
    <x v="1"/>
    <s v="OK"/>
    <x v="3"/>
    <x v="34"/>
    <x v="0"/>
    <x v="0"/>
    <x v="1"/>
  </r>
  <r>
    <x v="38"/>
    <x v="38"/>
    <s v="Cédula de ciudadanía"/>
    <x v="38"/>
    <s v="Mujer"/>
    <n v="21"/>
    <b v="1"/>
    <s v="BOGOTA"/>
    <s v="Bogotá"/>
    <s v="Universidad Externado de Colombia"/>
    <m/>
    <s v="Administración de Empresas"/>
    <m/>
    <b v="0"/>
    <b v="0"/>
    <s v="Intermedio"/>
    <s v="Avanzado"/>
    <s v="Ventas"/>
    <m/>
    <m/>
    <m/>
    <s v="BEES"/>
    <s v="Ventas"/>
    <m/>
    <m/>
    <m/>
    <s v="Talento Ventas"/>
    <b v="0"/>
    <b v="0"/>
    <m/>
    <b v="0"/>
    <m/>
    <b v="0"/>
    <m/>
    <b v="0"/>
    <m/>
    <s v="Otros"/>
    <s v="CREATÓN"/>
    <d v="2026-09-06T00:00:00"/>
    <d v="1899-12-30T17:17:07"/>
    <s v=" 322 2444642"/>
    <s v="Calle 45-16, 111321 Bogota, D.C., Colombia"/>
    <s v="DP"/>
    <n v="81.099999999999994"/>
    <s v="Cata"/>
    <x v="8"/>
    <x v="1"/>
    <s v="OK"/>
    <x v="3"/>
    <x v="35"/>
    <x v="0"/>
    <x v="0"/>
    <x v="1"/>
  </r>
  <r>
    <x v="39"/>
    <x v="39"/>
    <s v="Cédula de ciudadanía"/>
    <x v="39"/>
    <s v="Hombre"/>
    <n v="19"/>
    <b v="1"/>
    <s v="RICAURTE CUNDINAMARCA"/>
    <s v="Bogotá"/>
    <s v="Corporación Universitaria Minuto de Dios (UNIMINUTO)"/>
    <m/>
    <s v="Ingeniería Industrial"/>
    <m/>
    <b v="1"/>
    <b v="0"/>
    <s v="Intermedio"/>
    <s v="Intermedio"/>
    <s v="Talento"/>
    <m/>
    <m/>
    <m/>
    <m/>
    <s v="Compras"/>
    <m/>
    <m/>
    <s v="Compensación y Beneficios"/>
    <m/>
    <b v="0"/>
    <b v="0"/>
    <m/>
    <b v="0"/>
    <m/>
    <b v="0"/>
    <m/>
    <b v="0"/>
    <m/>
    <s v="Medios Tradicionales"/>
    <s v="CREATÓN"/>
    <d v="2026-08-30T00:00:00"/>
    <d v="1899-12-30T21:53:13"/>
    <n v="3136370565"/>
    <s v="Ricaurte, Colombia"/>
    <s v="DP"/>
    <n v="80.3"/>
    <s v="Cata"/>
    <x v="2"/>
    <x v="1"/>
    <s v="OK"/>
    <x v="10"/>
    <x v="36"/>
    <x v="0"/>
    <x v="0"/>
    <x v="0"/>
  </r>
  <r>
    <x v="40"/>
    <x v="40"/>
    <s v="Cédula de ciudadanía"/>
    <x v="40"/>
    <s v="Mujer"/>
    <n v="21"/>
    <b v="1"/>
    <s v="Bogotá D.C."/>
    <s v="Bogotá"/>
    <s v="Universidad Piloto de Colombia"/>
    <m/>
    <s v="Psicología"/>
    <m/>
    <b v="0"/>
    <b v="0"/>
    <s v="Intermedio"/>
    <s v="Intermedio"/>
    <s v="Talento"/>
    <m/>
    <m/>
    <m/>
    <m/>
    <s v="Logística"/>
    <m/>
    <m/>
    <s v="Compensación y Beneficios"/>
    <m/>
    <b v="0"/>
    <b v="0"/>
    <m/>
    <b v="0"/>
    <m/>
    <b v="0"/>
    <m/>
    <b v="0"/>
    <m/>
    <s v="Medios Tradicionales"/>
    <s v="CREATÓN"/>
    <d v="2026-08-28T00:00:00"/>
    <d v="1899-12-30T05:48:08"/>
    <n v="3108828777"/>
    <s v="Carrera 73J 58A S-24, 111921 Bogota, D.C., Colombia"/>
    <s v="DP"/>
    <n v="82.6"/>
    <s v="Cata"/>
    <x v="2"/>
    <x v="1"/>
    <s v="OK"/>
    <x v="9"/>
    <x v="37"/>
    <x v="0"/>
    <x v="0"/>
    <x v="0"/>
  </r>
  <r>
    <x v="41"/>
    <x v="41"/>
    <s v="Cédula de ciudadanía"/>
    <x v="41"/>
    <s v="Mujer"/>
    <n v="22"/>
    <b v="1"/>
    <m/>
    <s v="Bogotá"/>
    <s v="Universidad del Rosario"/>
    <m/>
    <s v="Psicología"/>
    <m/>
    <b v="1"/>
    <b v="0"/>
    <s v="Intermedio"/>
    <s v="Intermedio"/>
    <s v="Talento"/>
    <m/>
    <m/>
    <s v="Atracción de Talento y Marca Empleadora"/>
    <m/>
    <s v="Talento"/>
    <m/>
    <m/>
    <s v="Atracción de Talento y Marca Empleadora"/>
    <m/>
    <b v="0"/>
    <b v="0"/>
    <m/>
    <b v="0"/>
    <m/>
    <b v="0"/>
    <m/>
    <b v="0"/>
    <m/>
    <s v="Instagram"/>
    <s v="CREATÓN"/>
    <d v="2026-08-21T00:00:00"/>
    <d v="1899-12-30T09:57:07"/>
    <s v="301 6701913"/>
    <s v="Calle 74 BIS 82-61, 111051 Bogota, D.C., Colombia"/>
    <s v="DP"/>
    <n v="85.4"/>
    <s v="Cata"/>
    <x v="2"/>
    <x v="1"/>
    <s v="OK"/>
    <x v="9"/>
    <x v="38"/>
    <x v="0"/>
    <x v="0"/>
    <x v="0"/>
  </r>
  <r>
    <x v="42"/>
    <x v="42"/>
    <s v="Cédula de ciudadanía"/>
    <x v="42"/>
    <s v="Mujer"/>
    <n v="21"/>
    <b v="1"/>
    <s v="BOGOTÁ D.C"/>
    <s v="Bogotá"/>
    <s v="Universidad Santo Tomás"/>
    <m/>
    <s v="Administración de Empresas"/>
    <m/>
    <b v="1"/>
    <b v="0"/>
    <s v="Intermedio"/>
    <s v="Avanzad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LinkedIn"/>
    <s v="CREATÓN"/>
    <d v="2026-09-12T00:00:00"/>
    <d v="1899-12-30T11:42:06"/>
    <s v=" 318 3068387"/>
    <s v="Calle 56 57A-14, 111321 Bogota, D.C., Colombia"/>
    <s v="DP"/>
    <n v="86"/>
    <s v="Cata"/>
    <x v="2"/>
    <x v="1"/>
    <s v="OK"/>
    <x v="3"/>
    <x v="39"/>
    <x v="0"/>
    <x v="0"/>
    <x v="0"/>
  </r>
  <r>
    <x v="43"/>
    <x v="43"/>
    <s v="Cédula de ciudadanía"/>
    <x v="43"/>
    <s v="Mujer"/>
    <n v="23"/>
    <b v="1"/>
    <m/>
    <s v="Bogotá"/>
    <s v="Otra"/>
    <s v="Universidad de La Guajira"/>
    <s v="Ingeniería Industrial"/>
    <m/>
    <b v="0"/>
    <b v="0"/>
    <s v="Básico"/>
    <s v="Intermedio"/>
    <s v="Compras"/>
    <m/>
    <m/>
    <s v="Compensación y Beneficios"/>
    <m/>
    <s v="Talento"/>
    <m/>
    <m/>
    <m/>
    <m/>
    <b v="0"/>
    <b v="0"/>
    <m/>
    <b v="0"/>
    <m/>
    <b v="0"/>
    <m/>
    <b v="0"/>
    <m/>
    <s v="Página Web Oficial"/>
    <s v="CREATÓN"/>
    <d v="2026-09-13T00:00:00"/>
    <d v="1899-12-30T14:37:18"/>
    <n v="3005253020"/>
    <s v="Calle 14 6-50, 440001 Riohacha, Colombia"/>
    <s v="DP"/>
    <n v="74.900000000000006"/>
    <s v="Cata"/>
    <x v="2"/>
    <x v="1"/>
    <s v="OK"/>
    <x v="10"/>
    <x v="40"/>
    <x v="0"/>
    <x v="0"/>
    <x v="0"/>
  </r>
  <r>
    <x v="44"/>
    <x v="44"/>
    <s v="Cédula de ciudadanía"/>
    <x v="44"/>
    <s v="Mujer"/>
    <n v="22"/>
    <b v="1"/>
    <m/>
    <s v="Bogotá"/>
    <s v="Universidad Externado de Colombia"/>
    <m/>
    <s v="Administración de Empresas"/>
    <m/>
    <b v="0"/>
    <b v="0"/>
    <s v="Intermedio"/>
    <s v="Intermedio"/>
    <s v="Ventas"/>
    <m/>
    <m/>
    <s v="Compensación y Beneficios"/>
    <s v="Ventas Comercial"/>
    <s v="Talento"/>
    <m/>
    <m/>
    <m/>
    <m/>
    <b v="0"/>
    <b v="0"/>
    <m/>
    <b v="0"/>
    <m/>
    <b v="0"/>
    <m/>
    <b v="0"/>
    <m/>
    <s v="Otros"/>
    <s v="CREATÓN"/>
    <d v="2026-08-21T00:00:00"/>
    <d v="1899-12-30T16:42:05"/>
    <s v=" 321 4013423"/>
    <s v="Avenida Calle 26 70-46, 111071 Bogota, D.C., Colombia"/>
    <s v="DP"/>
    <n v="75.5"/>
    <s v="Cata"/>
    <x v="2"/>
    <x v="1"/>
    <s v="OK"/>
    <x v="3"/>
    <x v="41"/>
    <x v="0"/>
    <x v="0"/>
    <x v="0"/>
  </r>
  <r>
    <x v="45"/>
    <x v="45"/>
    <s v="Cédula de ciudadanía"/>
    <x v="45"/>
    <s v="Mujer"/>
    <n v="21"/>
    <b v="1"/>
    <s v="BOGOTA"/>
    <s v="Bogotá"/>
    <s v="Colegio de Estudios Superiores de Administración CESA"/>
    <m/>
    <s v="Administración de Empresas"/>
    <m/>
    <b v="1"/>
    <b v="0"/>
    <s v="Avanzad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LinkedIn"/>
    <s v="CREATÓN"/>
    <d v="2026-09-10T00:00:00"/>
    <d v="1899-12-30T20:06:57"/>
    <s v=" 310 7078253"/>
    <s v="Carrera 10B 134A-53, 110121 Bogota, D.C., Colombia"/>
    <s v="DP"/>
    <n v="94.1"/>
    <s v="Cata"/>
    <x v="2"/>
    <x v="1"/>
    <s v="OK"/>
    <x v="3"/>
    <x v="42"/>
    <x v="0"/>
    <x v="0"/>
    <x v="0"/>
  </r>
  <r>
    <x v="46"/>
    <x v="46"/>
    <s v="Cédula de ciudadanía"/>
    <x v="46"/>
    <s v="Hombre"/>
    <n v="20"/>
    <b v="1"/>
    <s v="BOGOTÁ"/>
    <s v="Bogotá"/>
    <s v="Universidad Piloto de Colombia"/>
    <m/>
    <s v="Economía"/>
    <m/>
    <b v="0"/>
    <b v="0"/>
    <s v="Básico"/>
    <s v="Intermedio"/>
    <s v="Finanzas"/>
    <m/>
    <m/>
    <m/>
    <m/>
    <s v="Compras"/>
    <m/>
    <s v="Finanzas Impuestos"/>
    <m/>
    <m/>
    <b v="0"/>
    <b v="0"/>
    <m/>
    <b v="0"/>
    <m/>
    <b v="0"/>
    <m/>
    <b v="0"/>
    <m/>
    <s v="Página Web Oficial"/>
    <s v="CREATÓN"/>
    <d v="2026-09-01T00:00:00"/>
    <d v="1899-12-30T06:10:06"/>
    <s v=" 300 1653749"/>
    <s v="Calle 71A Sur 81-20, 110731 Bogota, D.C., Colombia"/>
    <s v="DP"/>
    <n v="92"/>
    <s v="Cata"/>
    <x v="3"/>
    <x v="1"/>
    <s v="OK"/>
    <x v="1"/>
    <x v="43"/>
    <x v="0"/>
    <x v="0"/>
    <x v="0"/>
  </r>
  <r>
    <x v="47"/>
    <x v="47"/>
    <s v="Cédula de ciudadanía"/>
    <x v="47"/>
    <s v="Mujer"/>
    <n v="23"/>
    <b v="1"/>
    <s v="BOGOTÁ"/>
    <s v="Bogotá"/>
    <s v="Universidad de los Andes"/>
    <m/>
    <s v="Otra"/>
    <s v="Narrativas Digitales y Ciencia Politica"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Medios Tradicionales"/>
    <s v="CREATÓN"/>
    <d v="2026-08-30T00:00:00"/>
    <d v="1899-12-30T10:20:04"/>
    <s v=" 301 4372540"/>
    <s v="Carrera 71, Bogota, D.C., Colombia"/>
    <s v="DP"/>
    <n v="91.8"/>
    <s v="Cata"/>
    <x v="4"/>
    <x v="1"/>
    <s v="OK"/>
    <x v="11"/>
    <x v="44"/>
    <x v="0"/>
    <x v="0"/>
    <x v="1"/>
  </r>
  <r>
    <x v="48"/>
    <x v="48"/>
    <s v="Cédula de ciudadanía"/>
    <x v="48"/>
    <s v="Mujer"/>
    <n v="21"/>
    <b v="1"/>
    <s v="BOGOTÁ"/>
    <s v="Bogotá"/>
    <s v="Universidad Externado de Colombia"/>
    <m/>
    <s v="Comunicación social"/>
    <m/>
    <b v="0"/>
    <b v="0"/>
    <s v="Intermedio"/>
    <s v="Intermedio"/>
    <s v="Comunicaciones"/>
    <m/>
    <m/>
    <m/>
    <m/>
    <s v="Marketing"/>
    <m/>
    <m/>
    <m/>
    <m/>
    <b v="0"/>
    <b v="0"/>
    <m/>
    <b v="0"/>
    <m/>
    <b v="0"/>
    <m/>
    <b v="0"/>
    <m/>
    <s v="LinkedIn"/>
    <s v="CREATÓN"/>
    <d v="2026-08-31T00:00:00"/>
    <d v="1899-12-30T22:09:06"/>
    <s v=" 322 2350694"/>
    <s v="Carrera 55 152B-68, 111156 Bogota, D.C., Colombia"/>
    <s v="DP"/>
    <n v="97.3"/>
    <s v="Santi"/>
    <x v="4"/>
    <x v="1"/>
    <s v="OK "/>
    <x v="12"/>
    <x v="45"/>
    <x v="0"/>
    <x v="0"/>
    <x v="1"/>
  </r>
  <r>
    <x v="49"/>
    <x v="49"/>
    <s v="Cédula de ciudadanía"/>
    <x v="49"/>
    <s v="Mujer"/>
    <n v="25"/>
    <b v="1"/>
    <s v="Bogotá D.C."/>
    <s v="Bogotá"/>
    <s v="Universidad Sergio Arboleda"/>
    <m/>
    <s v="Publicidad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31T00:00:00"/>
    <d v="1899-12-30T22:09:06"/>
    <n v="3508455279"/>
    <s v="Carrera 10D 27A S-41, 111821 Bogota, D.C., Colombia"/>
    <s v="DP"/>
    <n v="86.2"/>
    <s v="Cata"/>
    <x v="4"/>
    <x v="1"/>
    <s v="OK"/>
    <x v="13"/>
    <x v="46"/>
    <x v="0"/>
    <x v="0"/>
    <x v="1"/>
  </r>
  <r>
    <x v="50"/>
    <x v="50"/>
    <s v="Cédula de ciudadanía"/>
    <x v="50"/>
    <s v="Mujer"/>
    <n v="21"/>
    <b v="1"/>
    <m/>
    <s v="Bogotá"/>
    <s v="Pontificia Universidad Javeriana"/>
    <m/>
    <s v="Comunicación social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TikTok"/>
    <s v="CREATÓN"/>
    <d v="2026-08-22T00:00:00"/>
    <d v="1899-12-30T12:52:08"/>
    <n v="3166210415"/>
    <s v="Bogota, D.C., Colombia"/>
    <s v="DP"/>
    <n v="80"/>
    <s v="Cata"/>
    <x v="4"/>
    <x v="1"/>
    <s v="OK"/>
    <x v="12"/>
    <x v="47"/>
    <x v="0"/>
    <x v="0"/>
    <x v="1"/>
  </r>
  <r>
    <x v="51"/>
    <x v="51"/>
    <s v="Cédula de ciudadanía"/>
    <x v="51"/>
    <s v="Mujer"/>
    <n v="22"/>
    <b v="1"/>
    <s v="BOGOTA"/>
    <s v="Bogotá"/>
    <s v="Politécnico Grancolombiano"/>
    <m/>
    <s v="Marketing / Mercadeo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9-12T00:00:00"/>
    <d v="1899-12-30T14:30:04"/>
    <s v=" 311 2686111"/>
    <s v="Calle 64A 57-23, 111221 Bogota, D.C., Colombia"/>
    <s v="DP"/>
    <n v="73.900000000000006"/>
    <s v="Cata"/>
    <x v="4"/>
    <x v="1"/>
    <s v="OK"/>
    <x v="4"/>
    <x v="48"/>
    <x v="0"/>
    <x v="0"/>
    <x v="1"/>
  </r>
  <r>
    <x v="52"/>
    <x v="52"/>
    <s v="Cédula de ciudadanía"/>
    <x v="52"/>
    <s v="Hombre"/>
    <n v="24"/>
    <b v="1"/>
    <s v="BOGOTÁ DC"/>
    <s v="Bogotá"/>
    <s v="Otra"/>
    <s v="Universidad EAN"/>
    <s v="Administración de Empresas"/>
    <m/>
    <b v="1"/>
    <b v="0"/>
    <s v="Avanzado"/>
    <s v="Avanzado"/>
    <s v="Logística"/>
    <m/>
    <s v="Finanzas Impuestos"/>
    <m/>
    <m/>
    <s v="Finanzas"/>
    <m/>
    <m/>
    <m/>
    <m/>
    <b v="0"/>
    <b v="0"/>
    <m/>
    <b v="0"/>
    <m/>
    <b v="0"/>
    <m/>
    <b v="0"/>
    <m/>
    <s v="LinkedIn"/>
    <s v="CREATÓN"/>
    <d v="2026-08-25T00:00:00"/>
    <d v="1899-12-30T21:42:06"/>
    <n v="3014451602"/>
    <s v="Calle 23C, Bogota, D.C., Colombia"/>
    <s v="DP"/>
    <n v="89.4"/>
    <s v="Cata"/>
    <x v="5"/>
    <x v="1"/>
    <s v="OK"/>
    <x v="3"/>
    <x v="49"/>
    <x v="0"/>
    <x v="0"/>
    <x v="0"/>
  </r>
  <r>
    <x v="53"/>
    <x v="53"/>
    <s v="Cédula de ciudadanía"/>
    <x v="53"/>
    <s v="Mujer"/>
    <n v="20"/>
    <b v="1"/>
    <s v="BOGOTÁ"/>
    <s v="Bogotá"/>
    <s v="Universidad Jorge Tadeo Lozano"/>
    <m/>
    <s v="Comercio Internacional"/>
    <m/>
    <b v="1"/>
    <b v="0"/>
    <s v="Avanzado"/>
    <s v="Intermedio"/>
    <s v="Logística"/>
    <m/>
    <s v="Finanzas Impuestos"/>
    <m/>
    <m/>
    <s v="Finanzas"/>
    <m/>
    <m/>
    <m/>
    <m/>
    <b v="0"/>
    <b v="0"/>
    <m/>
    <b v="0"/>
    <m/>
    <b v="0"/>
    <m/>
    <b v="0"/>
    <m/>
    <s v="LinkedIn"/>
    <s v="CREATÓN"/>
    <d v="2026-09-06T00:00:00"/>
    <d v="1899-12-30T17:17:08"/>
    <s v=" 313 3998174"/>
    <s v="Calle 147C 99-80, 111161 Bogota, D.C., Colombia"/>
    <s v="DP"/>
    <n v="91.9"/>
    <s v="Santi"/>
    <x v="5"/>
    <x v="1"/>
    <s v="OK"/>
    <x v="14"/>
    <x v="50"/>
    <x v="0"/>
    <x v="0"/>
    <x v="0"/>
  </r>
  <r>
    <x v="54"/>
    <x v="54"/>
    <s v="Cédula de ciudadanía"/>
    <x v="54"/>
    <s v="Hombre"/>
    <n v="20"/>
    <b v="1"/>
    <s v="BOGOTA"/>
    <s v="Bogotá"/>
    <s v="Universidad de La Sabana"/>
    <m/>
    <s v="Ingeniería Industrial"/>
    <m/>
    <b v="0"/>
    <b v="0"/>
    <s v="Avanzado"/>
    <s v="Intermedio"/>
    <s v="Logística"/>
    <m/>
    <m/>
    <m/>
    <m/>
    <s v="Producción (Operaciones)"/>
    <s v="Elaboración"/>
    <m/>
    <m/>
    <m/>
    <b v="0"/>
    <b v="0"/>
    <m/>
    <b v="0"/>
    <m/>
    <b v="0"/>
    <m/>
    <b v="0"/>
    <m/>
    <s v="LinkedIn"/>
    <s v="CREATÓN"/>
    <d v="2026-09-08T00:00:00"/>
    <d v="1899-12-30T22:27:02"/>
    <s v=" 315 6071565"/>
    <s v="110141 Bogota, D.C., Colombia"/>
    <s v="DP"/>
    <n v="95.3"/>
    <s v="Cata"/>
    <x v="5"/>
    <x v="1"/>
    <s v="OK"/>
    <x v="10"/>
    <x v="51"/>
    <x v="0"/>
    <x v="0"/>
    <x v="0"/>
  </r>
  <r>
    <x v="55"/>
    <x v="55"/>
    <s v="Cédula de ciudadanía"/>
    <x v="55"/>
    <s v="Hombre"/>
    <n v="23"/>
    <b v="1"/>
    <s v="BOGOTA"/>
    <s v="Bogotá"/>
    <s v="Universidad de La Sabana"/>
    <m/>
    <s v="Administración de Empresas"/>
    <m/>
    <b v="1"/>
    <b v="0"/>
    <s v="Avanzado"/>
    <s v="Intermedio"/>
    <s v="Logística"/>
    <m/>
    <m/>
    <m/>
    <m/>
    <s v="Producción (Operaciones)"/>
    <s v="Calidad"/>
    <m/>
    <m/>
    <m/>
    <b v="0"/>
    <b v="0"/>
    <m/>
    <b v="0"/>
    <m/>
    <b v="0"/>
    <m/>
    <b v="0"/>
    <m/>
    <s v="Otros"/>
    <s v="CREATÓN"/>
    <d v="2026-08-27T00:00:00"/>
    <d v="1899-12-30T20:28:03"/>
    <s v=" 311 2459346"/>
    <s v="Calle 128A 57C-4, 111111 Bogota, D.C., Colombia"/>
    <s v="DP"/>
    <n v="87.8"/>
    <s v="Cata"/>
    <x v="5"/>
    <x v="1"/>
    <s v="OK"/>
    <x v="3"/>
    <x v="52"/>
    <x v="0"/>
    <x v="0"/>
    <x v="0"/>
  </r>
  <r>
    <x v="56"/>
    <x v="56"/>
    <s v="Cédula de ciudadanía"/>
    <x v="56"/>
    <s v="Hombre"/>
    <n v="21"/>
    <b v="1"/>
    <m/>
    <s v="Bogotá"/>
    <s v="Universidad de La Sabana"/>
    <m/>
    <s v="Logística"/>
    <m/>
    <b v="1"/>
    <b v="0"/>
    <s v="Avanzado"/>
    <s v="Intermedio"/>
    <s v="Logística"/>
    <m/>
    <m/>
    <m/>
    <m/>
    <s v="Marketing"/>
    <m/>
    <m/>
    <m/>
    <m/>
    <b v="0"/>
    <b v="0"/>
    <m/>
    <b v="0"/>
    <m/>
    <b v="0"/>
    <m/>
    <b v="0"/>
    <m/>
    <s v="LinkedIn"/>
    <s v="CREATÓN"/>
    <d v="2026-09-13T00:00:00"/>
    <d v="1899-12-30T09:32:16"/>
    <n v="0"/>
    <s v="Carrera 48 150A-31, 111156 Bogota, D.C., Colombia"/>
    <s v="DP"/>
    <n v="74.400000000000006"/>
    <s v="Cata"/>
    <x v="5"/>
    <x v="1"/>
    <s v="OK"/>
    <x v="15"/>
    <x v="2"/>
    <x v="0"/>
    <x v="0"/>
    <x v="0"/>
  </r>
  <r>
    <x v="57"/>
    <x v="57"/>
    <s v="Cédula de ciudadanía"/>
    <x v="57"/>
    <s v="Mujer"/>
    <n v="21"/>
    <b v="1"/>
    <s v="BOGOTÁ"/>
    <s v="Bogotá"/>
    <s v="Universidad Santo Tomás"/>
    <m/>
    <s v="Ingeniería Industrial"/>
    <m/>
    <b v="0"/>
    <b v="0"/>
    <s v="Intermedio"/>
    <s v="Avanzado"/>
    <s v="Logística"/>
    <m/>
    <m/>
    <m/>
    <m/>
    <s v="Producción (Operaciones)"/>
    <s v="Calidad"/>
    <m/>
    <m/>
    <m/>
    <b v="0"/>
    <b v="0"/>
    <m/>
    <b v="0"/>
    <m/>
    <b v="0"/>
    <m/>
    <b v="0"/>
    <m/>
    <s v="Medios Tradicionales"/>
    <s v="CREATÓN"/>
    <d v="2026-09-04T00:00:00"/>
    <d v="1899-12-30T05:59:03"/>
    <s v="313 8429527"/>
    <s v="Calle 133 151A-84, 111151 Bogota, D.C., Colombia"/>
    <s v="DP"/>
    <n v="93.8"/>
    <s v="Santi"/>
    <x v="5"/>
    <x v="1"/>
    <s v="OK"/>
    <x v="10"/>
    <x v="53"/>
    <x v="0"/>
    <x v="0"/>
    <x v="0"/>
  </r>
  <r>
    <x v="58"/>
    <x v="58"/>
    <s v="Cédula de ciudadanía"/>
    <x v="58"/>
    <s v="Mujer"/>
    <n v="22"/>
    <b v="1"/>
    <s v="BOGOTA"/>
    <s v="Bogotá"/>
    <s v="Otra"/>
    <s v="Universidad EAN"/>
    <s v="Negocios Internacionales"/>
    <m/>
    <b v="0"/>
    <b v="0"/>
    <s v="Avanzado"/>
    <s v="Intermedio"/>
    <s v="Logística"/>
    <m/>
    <m/>
    <m/>
    <m/>
    <s v="Comunicaciones"/>
    <m/>
    <m/>
    <m/>
    <m/>
    <b v="0"/>
    <b v="0"/>
    <m/>
    <b v="0"/>
    <m/>
    <b v="0"/>
    <m/>
    <b v="0"/>
    <m/>
    <s v="Medios Tradicionales"/>
    <s v="CREATÓN"/>
    <d v="2026-08-30T00:00:00"/>
    <d v="1899-12-30T18:49:09"/>
    <n v="3016201098"/>
    <s v="Calle 163 72-61, 111156 Bogota, D.C., Colombia"/>
    <s v="DP"/>
    <n v="87.1"/>
    <s v="Cata"/>
    <x v="5"/>
    <x v="1"/>
    <s v="OK"/>
    <x v="5"/>
    <x v="54"/>
    <x v="0"/>
    <x v="0"/>
    <x v="0"/>
  </r>
  <r>
    <x v="59"/>
    <x v="59"/>
    <s v="Cédula de ciudadanía"/>
    <x v="59"/>
    <s v="Mujer"/>
    <n v="22"/>
    <b v="1"/>
    <s v="CHÍA"/>
    <s v="Bogotá"/>
    <s v="Universidad Militar Nueva Granada"/>
    <m/>
    <s v="Relaciones Internacionales"/>
    <m/>
    <b v="0"/>
    <b v="0"/>
    <s v="Básico"/>
    <s v="Intermedio"/>
    <s v="Asuntos corporativos"/>
    <m/>
    <m/>
    <m/>
    <m/>
    <s v="Logística"/>
    <m/>
    <m/>
    <m/>
    <m/>
    <b v="0"/>
    <b v="0"/>
    <m/>
    <b v="0"/>
    <m/>
    <b v="0"/>
    <m/>
    <b v="0"/>
    <m/>
    <s v="LinkedIn"/>
    <s v="CREATÓN"/>
    <d v="2026-08-27T00:00:00"/>
    <d v="1899-12-30T13:19:03"/>
    <s v=" 310 3765539"/>
    <s v="Calle 4 11-06, 250001 Chía, Colombia"/>
    <s v="DP"/>
    <n v="89.1"/>
    <s v="Cata"/>
    <x v="11"/>
    <x v="1"/>
    <s v="OK"/>
    <x v="16"/>
    <x v="55"/>
    <x v="0"/>
    <x v="0"/>
    <x v="0"/>
  </r>
  <r>
    <x v="60"/>
    <x v="60"/>
    <s v="Cédula de ciudadanía"/>
    <x v="60"/>
    <s v="Mujer"/>
    <n v="21"/>
    <b v="1"/>
    <m/>
    <s v="Bogotá"/>
    <s v="Universidad Santo Tomás"/>
    <m/>
    <s v="Psicología"/>
    <m/>
    <b v="0"/>
    <b v="0"/>
    <s v="Intermedio"/>
    <s v="Básic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Otros"/>
    <s v="CREATÓN"/>
    <d v="2026-08-23T00:00:00"/>
    <d v="1899-12-30T20:13:04"/>
    <s v=" 322 8756281"/>
    <s v="Carrera 54 167-56, 111156 Bogota, D.C., Colombia"/>
    <s v="DP"/>
    <n v="90.9"/>
    <s v="Cata"/>
    <x v="11"/>
    <x v="1"/>
    <s v="OK"/>
    <x v="9"/>
    <x v="56"/>
    <x v="0"/>
    <x v="0"/>
    <x v="0"/>
  </r>
  <r>
    <x v="61"/>
    <x v="61"/>
    <s v="Cédula de ciudadanía"/>
    <x v="61"/>
    <s v="Mujer"/>
    <n v="22"/>
    <b v="1"/>
    <s v="SOGAMOSO"/>
    <s v="Bogotá"/>
    <s v="Universidad Pedagógica y Tecnológica de Colombia"/>
    <m/>
    <s v="Ingeniería Industrial"/>
    <m/>
    <b v="0"/>
    <b v="0"/>
    <s v="Intermedio"/>
    <s v="Intermedio"/>
    <s v="Talento"/>
    <m/>
    <m/>
    <m/>
    <m/>
    <s v="Comunicaciones"/>
    <m/>
    <m/>
    <s v="Support"/>
    <m/>
    <b v="0"/>
    <b v="0"/>
    <m/>
    <b v="0"/>
    <m/>
    <b v="0"/>
    <m/>
    <b v="0"/>
    <m/>
    <s v="Instagram"/>
    <s v="CREATÓN"/>
    <d v="2026-09-04T00:00:00"/>
    <d v="1899-12-30T05:59:11"/>
    <s v=" 313 8737070"/>
    <s v="Calle 23 10-14, 152210 Sogamoso, Colombia"/>
    <s v="DP"/>
    <n v="83.2"/>
    <s v="Cata"/>
    <x v="11"/>
    <x v="1"/>
    <s v="OK"/>
    <x v="10"/>
    <x v="57"/>
    <x v="0"/>
    <x v="0"/>
    <x v="0"/>
  </r>
  <r>
    <x v="62"/>
    <x v="62"/>
    <s v="Cédula de ciudadanía"/>
    <x v="62"/>
    <s v="Mujer"/>
    <n v="22"/>
    <b v="1"/>
    <s v="BOGOTÁ"/>
    <s v="Bogotá"/>
    <s v="Universidad Externado de Colombia"/>
    <m/>
    <s v="Comunicación social"/>
    <m/>
    <b v="0"/>
    <b v="0"/>
    <s v="Avanzado"/>
    <s v="Básic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LinkedIn"/>
    <s v="CREATÓN"/>
    <d v="2026-09-11T00:00:00"/>
    <d v="1899-12-30T14:18:42"/>
    <s v=" 315 0190006"/>
    <s v="Calle 148 99-38, 111161 Bogota, D.C., Colombia"/>
    <s v="DP"/>
    <n v="76.900000000000006"/>
    <s v="Santi"/>
    <x v="11"/>
    <x v="1"/>
    <s v="OK"/>
    <x v="12"/>
    <x v="58"/>
    <x v="0"/>
    <x v="0"/>
    <x v="0"/>
  </r>
  <r>
    <x v="63"/>
    <x v="63"/>
    <s v="Cédula de ciudadanía"/>
    <x v="63"/>
    <s v="Mujer"/>
    <n v="20"/>
    <b v="1"/>
    <m/>
    <s v="Bogotá"/>
    <s v="Universidad de los Andes"/>
    <m/>
    <s v="Psicología"/>
    <m/>
    <b v="1"/>
    <b v="0"/>
    <s v="Intermedio"/>
    <s v="Básico"/>
    <s v="Talento"/>
    <m/>
    <m/>
    <s v="Support"/>
    <m/>
    <s v="Talento"/>
    <m/>
    <m/>
    <s v="Atracción de Talento y Marca Empleadora"/>
    <m/>
    <b v="0"/>
    <b v="0"/>
    <m/>
    <b v="0"/>
    <m/>
    <b v="0"/>
    <m/>
    <b v="0"/>
    <m/>
    <s v="LinkedIn"/>
    <s v="CREATÓN"/>
    <d v="2026-09-12T00:00:00"/>
    <d v="1899-12-30T11:56:10"/>
    <n v="3197399170"/>
    <s v="Carrera 55A 188-41, 111166 Bogota, D.C., Colombia"/>
    <s v="DP"/>
    <n v="96.7"/>
    <s v="Cata"/>
    <x v="11"/>
    <x v="1"/>
    <s v="OK"/>
    <x v="9"/>
    <x v="59"/>
    <x v="0"/>
    <x v="0"/>
    <x v="0"/>
  </r>
  <r>
    <x v="64"/>
    <x v="64"/>
    <s v="Cédula de ciudadanía"/>
    <x v="64"/>
    <s v="Mujer"/>
    <n v="22"/>
    <b v="1"/>
    <s v="BOGOTA"/>
    <s v="Bogotá"/>
    <s v="Universidad de La Sabana"/>
    <m/>
    <s v="Administración de Empresas"/>
    <m/>
    <b v="0"/>
    <b v="0"/>
    <s v="Avanzado"/>
    <s v="Básico"/>
    <s v="Marketing"/>
    <m/>
    <m/>
    <s v="Support"/>
    <m/>
    <s v="Talento"/>
    <m/>
    <m/>
    <m/>
    <m/>
    <b v="0"/>
    <b v="0"/>
    <m/>
    <b v="0"/>
    <m/>
    <b v="0"/>
    <m/>
    <b v="0"/>
    <m/>
    <s v="LinkedIn"/>
    <s v="CREATÓN"/>
    <d v="2026-08-27T00:00:00"/>
    <d v="1899-12-30T21:26:04"/>
    <n v="3123483364"/>
    <s v="Calle 146 17-88, 110121 Bogota, D.C., Colombia"/>
    <s v="DP"/>
    <n v="78.400000000000006"/>
    <s v="Cata"/>
    <x v="11"/>
    <x v="1"/>
    <s v="OK"/>
    <x v="3"/>
    <x v="60"/>
    <x v="0"/>
    <x v="0"/>
    <x v="0"/>
  </r>
  <r>
    <x v="65"/>
    <x v="65"/>
    <s v="Cédula de ciudadanía"/>
    <x v="65"/>
    <s v="Hombre"/>
    <n v="26"/>
    <b v="1"/>
    <s v="BOGOTA"/>
    <s v="Bogotá"/>
    <s v="Universidad Nacional de Colombia"/>
    <m/>
    <s v="Administración de Empresas"/>
    <m/>
    <b v="0"/>
    <b v="0"/>
    <s v="Intermedio"/>
    <s v="Intermedi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Instagram"/>
    <s v="CREATÓN"/>
    <d v="2026-08-31T00:00:00"/>
    <d v="1899-12-30T13:31:06"/>
    <s v=" 302 2352387"/>
    <s v="Carrera 136A Diagonal 151B-52, 111161 Bogota, D.C., Colombia"/>
    <s v="DP"/>
    <n v="82.6"/>
    <s v="Cata"/>
    <x v="11"/>
    <x v="1"/>
    <s v="OK"/>
    <x v="3"/>
    <x v="61"/>
    <x v="0"/>
    <x v="0"/>
    <x v="0"/>
  </r>
  <r>
    <x v="66"/>
    <x v="66"/>
    <s v="Cédula de ciudadanía"/>
    <x v="66"/>
    <s v="Hombre"/>
    <n v="21"/>
    <b v="1"/>
    <s v="BOGOTA"/>
    <s v="Bogotá"/>
    <s v="Universidad de los Andes"/>
    <m/>
    <s v="Psicología"/>
    <m/>
    <b v="0"/>
    <b v="0"/>
    <s v="Intermedio"/>
    <s v="Intermedi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Instagram"/>
    <s v="CREATÓN"/>
    <d v="2026-09-13T00:00:00"/>
    <d v="1899-12-30T12:15:49"/>
    <s v=" 323 2300003"/>
    <s v="Carrera 4A 24-37, 110311 Bogota, D.C., Colombia"/>
    <s v="DP"/>
    <n v="78.8"/>
    <s v="Cata"/>
    <x v="11"/>
    <x v="1"/>
    <s v="OK"/>
    <x v="9"/>
    <x v="62"/>
    <x v="0"/>
    <x v="0"/>
    <x v="0"/>
  </r>
  <r>
    <x v="67"/>
    <x v="67"/>
    <s v="Cédula de ciudadanía"/>
    <x v="67"/>
    <s v="Hombre"/>
    <n v="21"/>
    <b v="1"/>
    <s v="BOGOTA"/>
    <s v="Bogotá"/>
    <s v="Otra"/>
    <s v="Universidad colegio mayor de cundinamarca"/>
    <s v="Administración de Empresas"/>
    <m/>
    <b v="1"/>
    <b v="0"/>
    <s v="Intermedio"/>
    <s v="Avanzad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TikTok"/>
    <s v="CREATÓN"/>
    <d v="2026-09-12T00:00:00"/>
    <d v="1899-12-30T17:57:25"/>
    <s v=" 313 3567458"/>
    <s v="Calle 38 1, Soacha, Colombia"/>
    <s v="DP"/>
    <n v="73.099999999999994"/>
    <s v="Cata"/>
    <x v="11"/>
    <x v="1"/>
    <s v="OK"/>
    <x v="3"/>
    <x v="63"/>
    <x v="0"/>
    <x v="0"/>
    <x v="0"/>
  </r>
  <r>
    <x v="68"/>
    <x v="68"/>
    <s v="Cédula de ciudadanía"/>
    <x v="68"/>
    <s v="Mujer"/>
    <n v="26"/>
    <b v="1"/>
    <s v="BOGOTÁ"/>
    <s v="Bogotá"/>
    <s v="Universidad de La Sabana"/>
    <m/>
    <s v="Psicología"/>
    <m/>
    <b v="0"/>
    <b v="0"/>
    <s v="Intermedio"/>
    <s v="Intermedio"/>
    <s v="Talento"/>
    <m/>
    <m/>
    <s v="Atracción de Talento y Marca Empleadora"/>
    <m/>
    <s v="Talento"/>
    <m/>
    <m/>
    <s v="Compensación y Beneficios"/>
    <m/>
    <b v="0"/>
    <b v="0"/>
    <m/>
    <b v="0"/>
    <m/>
    <b v="0"/>
    <m/>
    <b v="0"/>
    <m/>
    <s v="LinkedIn"/>
    <s v="CREATÓN"/>
    <d v="2026-09-12T00:00:00"/>
    <d v="1899-12-30T12:54:08"/>
    <n v="3183529601"/>
    <s v="Conjunto Residencial Caminos de la Esperanza, 111151 Bogota, D.C., Colombia"/>
    <s v="DP"/>
    <n v="70.7"/>
    <s v="Cata"/>
    <x v="11"/>
    <x v="1"/>
    <s v="OK"/>
    <x v="9"/>
    <x v="64"/>
    <x v="0"/>
    <x v="0"/>
    <x v="0"/>
  </r>
  <r>
    <x v="69"/>
    <x v="69"/>
    <s v="Cédula de ciudadanía"/>
    <x v="69"/>
    <s v="Mujer"/>
    <n v="20"/>
    <b v="1"/>
    <s v="BOGOTÁ"/>
    <s v="Bogotá"/>
    <s v="Universidad Piloto de Colombia"/>
    <m/>
    <s v="Psicología"/>
    <m/>
    <b v="1"/>
    <b v="0"/>
    <s v="Intermedio"/>
    <s v="Intermedio"/>
    <s v="Talento"/>
    <m/>
    <m/>
    <m/>
    <m/>
    <s v="Asuntos Corporativos"/>
    <m/>
    <m/>
    <s v="Atracción de Talento y Marca Empleadora"/>
    <m/>
    <b v="0"/>
    <b v="0"/>
    <m/>
    <b v="0"/>
    <m/>
    <b v="0"/>
    <m/>
    <b v="0"/>
    <m/>
    <s v="Otros"/>
    <s v="CREATÓN"/>
    <d v="2026-08-30T00:00:00"/>
    <d v="1899-12-30T10:20:04"/>
    <s v=" 318 7876579"/>
    <s v="Calle 6A 18-33, 111411 Bogota, D.C., Colombia"/>
    <s v="DP"/>
    <n v="87.5"/>
    <s v="Cata"/>
    <x v="6"/>
    <x v="1"/>
    <s v="OK"/>
    <x v="9"/>
    <x v="65"/>
    <x v="0"/>
    <x v="0"/>
    <x v="1"/>
  </r>
  <r>
    <x v="70"/>
    <x v="70"/>
    <s v="Cédula de ciudadanía"/>
    <x v="70"/>
    <s v="Mujer"/>
    <n v="22"/>
    <b v="1"/>
    <s v="BOGOTA"/>
    <s v="Bogotá"/>
    <s v="Universidad del Rosario"/>
    <m/>
    <s v="Psicología"/>
    <m/>
    <b v="0"/>
    <b v="0"/>
    <s v="Avanzado"/>
    <s v="Intermedio"/>
    <s v="Talento"/>
    <m/>
    <m/>
    <m/>
    <m/>
    <s v="Comunicaciones"/>
    <m/>
    <m/>
    <s v="Atracción de Talento y Marca Empleadora"/>
    <m/>
    <b v="0"/>
    <b v="0"/>
    <m/>
    <b v="0"/>
    <m/>
    <b v="0"/>
    <m/>
    <b v="0"/>
    <m/>
    <s v="LinkedIn"/>
    <s v="CREATÓN"/>
    <d v="2026-09-08T00:00:00"/>
    <d v="1899-12-30T14:49:55"/>
    <s v=" 300 8890118"/>
    <s v="Calle 134A 22-6, 110121 Bogota, D.C., Colombia"/>
    <s v="DP"/>
    <n v="88.2"/>
    <s v="Cata"/>
    <x v="6"/>
    <x v="1"/>
    <s v="OK"/>
    <x v="9"/>
    <x v="66"/>
    <x v="0"/>
    <x v="0"/>
    <x v="1"/>
  </r>
  <r>
    <x v="71"/>
    <x v="71"/>
    <s v="Cédula de ciudadanía"/>
    <x v="71"/>
    <s v="Mujer"/>
    <n v="21"/>
    <b v="1"/>
    <s v="BOGOTA DC"/>
    <s v="Bogotá"/>
    <s v="Universidad Nacional de Colombia"/>
    <m/>
    <s v="Administración de Empresas"/>
    <m/>
    <b v="1"/>
    <b v="0"/>
    <s v="Intermedio"/>
    <s v="Intermedio"/>
    <s v="Talento"/>
    <m/>
    <m/>
    <m/>
    <m/>
    <s v="Logística"/>
    <m/>
    <m/>
    <s v="Atracción de Talento y Marca Empleadora"/>
    <m/>
    <b v="0"/>
    <b v="0"/>
    <m/>
    <b v="0"/>
    <m/>
    <b v="0"/>
    <m/>
    <b v="0"/>
    <m/>
    <s v="Otros"/>
    <s v="CREATÓN"/>
    <d v="2026-08-31T00:00:00"/>
    <d v="1899-12-30T16:40:07"/>
    <s v=" 305 3502374"/>
    <s v="Calle 102A, Bogota, D.C., Colombia"/>
    <s v="DP"/>
    <n v="81.099999999999994"/>
    <s v="Cata"/>
    <x v="6"/>
    <x v="1"/>
    <s v="OK"/>
    <x v="3"/>
    <x v="67"/>
    <x v="0"/>
    <x v="0"/>
    <x v="1"/>
  </r>
  <r>
    <x v="72"/>
    <x v="72"/>
    <s v="Cédula de ciudadanía"/>
    <x v="72"/>
    <s v="Mujer"/>
    <n v="22"/>
    <b v="1"/>
    <s v="BOGOTÁ"/>
    <s v="Bogotá"/>
    <s v="Universidad del Bosque"/>
    <m/>
    <s v="Psicología"/>
    <m/>
    <b v="1"/>
    <b v="0"/>
    <s v="Intermedi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9-12T00:00:00"/>
    <d v="1899-12-30T09:25:05"/>
    <s v=" 323 8265677"/>
    <s v="Calle 7-90, 110811 Bogota, D.C., Colombia"/>
    <s v="DP"/>
    <n v="93.4"/>
    <s v="Cata"/>
    <x v="6"/>
    <x v="1"/>
    <s v="OK"/>
    <x v="9"/>
    <x v="68"/>
    <x v="0"/>
    <x v="0"/>
    <x v="1"/>
  </r>
  <r>
    <x v="73"/>
    <x v="73"/>
    <s v="Cédula de ciudadanía"/>
    <x v="73"/>
    <s v="Mujer"/>
    <n v="20"/>
    <b v="1"/>
    <s v="CALI"/>
    <s v="Bogotá"/>
    <s v="Pontificia Universidad Javeriana| Cali"/>
    <m/>
    <s v="Psicología"/>
    <m/>
    <b v="0"/>
    <b v="0"/>
    <s v="Avanzado"/>
    <s v="Intermedio"/>
    <s v="Talento"/>
    <m/>
    <m/>
    <s v="Compensación y Beneficios"/>
    <m/>
    <s v="Talento"/>
    <m/>
    <m/>
    <s v="Atracción de Talento y Marca Empleadora"/>
    <m/>
    <b v="0"/>
    <b v="1"/>
    <m/>
    <b v="0"/>
    <m/>
    <b v="0"/>
    <s v="Hermano - Nicolas Cano Villegas"/>
    <b v="0"/>
    <m/>
    <s v="Instagram"/>
    <s v="CREATÓN"/>
    <d v="2026-08-31T00:00:00"/>
    <d v="1899-12-30T22:09:06"/>
    <s v=" 318 5936496"/>
    <s v="Carrera 115, Cali, Colombia"/>
    <s v="DP"/>
    <n v="80.8"/>
    <s v="Santi"/>
    <x v="6"/>
    <x v="1"/>
    <s v="OK"/>
    <x v="9"/>
    <x v="69"/>
    <x v="0"/>
    <x v="0"/>
    <x v="1"/>
  </r>
  <r>
    <x v="74"/>
    <x v="74"/>
    <s v="Cédula de ciudadanía"/>
    <x v="74"/>
    <s v="Mujer"/>
    <n v="21"/>
    <b v="1"/>
    <m/>
    <s v="Bogotá"/>
    <s v="Universidad del Rosario"/>
    <m/>
    <s v="Comunicación social"/>
    <m/>
    <b v="1"/>
    <b v="0"/>
    <s v="Avanzado"/>
    <s v="Intermedio"/>
    <s v="Comunicaciones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8-21T00:00:00"/>
    <d v="1899-12-30T09:57:07"/>
    <s v=" 310 5545269"/>
    <s v="Calle 159 54-35, 111156 Bogota, D.C., Colombia"/>
    <s v="DP"/>
    <n v="81.7"/>
    <s v="Cata"/>
    <x v="6"/>
    <x v="1"/>
    <s v="OK "/>
    <x v="12"/>
    <x v="70"/>
    <x v="0"/>
    <x v="0"/>
    <x v="1"/>
  </r>
  <r>
    <x v="75"/>
    <x v="75"/>
    <s v="Cédula de ciudadanía"/>
    <x v="75"/>
    <s v="Mujer"/>
    <n v="23"/>
    <b v="1"/>
    <s v="BOGOTA"/>
    <s v="Bogotá"/>
    <s v="Otra"/>
    <s v="Universidad EAN"/>
    <s v="Comunicación social"/>
    <m/>
    <b v="0"/>
    <b v="0"/>
    <s v="Intermedio"/>
    <s v="Intermedio"/>
    <s v="Comunicaciones"/>
    <m/>
    <m/>
    <m/>
    <m/>
    <s v="Marketing"/>
    <m/>
    <m/>
    <m/>
    <m/>
    <b v="0"/>
    <b v="0"/>
    <m/>
    <b v="0"/>
    <m/>
    <b v="0"/>
    <m/>
    <b v="0"/>
    <m/>
    <s v="Instagram"/>
    <s v="CREATÓN"/>
    <d v="2026-09-10T00:00:00"/>
    <d v="1899-12-30T12:36:07"/>
    <s v="313 2713653"/>
    <s v="Calle 128A 54B-56, 111111 Bogota, D.C., Colombia"/>
    <s v="DP"/>
    <n v="89.2"/>
    <s v="Cata"/>
    <x v="12"/>
    <x v="1"/>
    <s v="OK"/>
    <x v="12"/>
    <x v="71"/>
    <x v="1"/>
    <x v="0"/>
    <x v="2"/>
  </r>
  <r>
    <x v="76"/>
    <x v="76"/>
    <s v="Cédula de ciudadanía"/>
    <x v="76"/>
    <s v="Mujer"/>
    <n v="20"/>
    <b v="1"/>
    <s v="BOGOTÁ"/>
    <s v="Bogotá"/>
    <s v="Pontificia Universidad Javeriana"/>
    <m/>
    <s v="Administración de Empresas"/>
    <m/>
    <b v="0"/>
    <b v="0"/>
    <s v="Avanzado"/>
    <s v="Avanzado"/>
    <s v="Marketing"/>
    <m/>
    <m/>
    <m/>
    <m/>
    <s v="Asuntos Corporativos"/>
    <m/>
    <m/>
    <m/>
    <m/>
    <b v="0"/>
    <b v="0"/>
    <m/>
    <b v="0"/>
    <m/>
    <b v="0"/>
    <m/>
    <b v="0"/>
    <m/>
    <s v="LinkedIn"/>
    <s v="CREATÓN"/>
    <d v="2026-08-29T00:00:00"/>
    <d v="1899-12-30T12:01:47"/>
    <s v=" 304 6772464"/>
    <s v="Calle 86A 69T-81, 111021 Bogota, D.C., Colombia"/>
    <s v="DP"/>
    <n v="91.1"/>
    <s v="Cata"/>
    <x v="12"/>
    <x v="1"/>
    <s v="OK"/>
    <x v="3"/>
    <x v="72"/>
    <x v="1"/>
    <x v="0"/>
    <x v="2"/>
  </r>
  <r>
    <x v="77"/>
    <x v="77"/>
    <s v="Cédula de ciudadanía"/>
    <x v="77"/>
    <s v="Mujer"/>
    <n v="22"/>
    <b v="1"/>
    <s v="BOGOTÁ"/>
    <s v="Bogotá"/>
    <s v="Universidad del Rosario"/>
    <m/>
    <s v="Diseño Gráfico"/>
    <m/>
    <b v="0"/>
    <b v="0"/>
    <s v="Avanzado"/>
    <s v="Intermedio"/>
    <s v="Comunicaciones"/>
    <m/>
    <m/>
    <m/>
    <m/>
    <s v="Marketing"/>
    <m/>
    <m/>
    <m/>
    <m/>
    <b v="0"/>
    <b v="0"/>
    <m/>
    <b v="0"/>
    <m/>
    <b v="0"/>
    <m/>
    <b v="0"/>
    <m/>
    <s v="Instagram"/>
    <s v="CREATÓN"/>
    <d v="2026-09-13T00:00:00"/>
    <d v="1899-12-30T17:31:47"/>
    <s v=" 300 3424911"/>
    <s v="Torreladera Bosque Reservado, 110131 Bogota, D.C., Colombia"/>
    <s v="DP"/>
    <n v="73.2"/>
    <s v="Cata"/>
    <x v="12"/>
    <x v="1"/>
    <s v="OK"/>
    <x v="17"/>
    <x v="73"/>
    <x v="1"/>
    <x v="0"/>
    <x v="2"/>
  </r>
  <r>
    <x v="78"/>
    <x v="78"/>
    <s v="Cédula de ciudadanía"/>
    <x v="78"/>
    <s v="Hombre"/>
    <n v="25"/>
    <b v="1"/>
    <s v="BOGOTÁ"/>
    <s v="Bogotá"/>
    <s v="Universidad Distrital Francisco José de Caldas"/>
    <m/>
    <s v="Comunicación social"/>
    <m/>
    <b v="0"/>
    <b v="0"/>
    <s v="Básico"/>
    <s v="Intermedio"/>
    <s v="Comunicaciones"/>
    <m/>
    <m/>
    <m/>
    <m/>
    <s v="Marketing"/>
    <m/>
    <m/>
    <m/>
    <m/>
    <b v="0"/>
    <b v="0"/>
    <m/>
    <b v="0"/>
    <m/>
    <b v="0"/>
    <m/>
    <b v="0"/>
    <m/>
    <s v="Otros"/>
    <s v="CREATÓN"/>
    <d v="2026-08-27T00:00:00"/>
    <d v="1899-12-30T09:23:13"/>
    <s v=" 322 9603522"/>
    <s v="Carrera 78B 65J S-50, 110741 Bogota, D.C., Colombia"/>
    <s v="DP"/>
    <n v="88.3"/>
    <s v="Cata"/>
    <x v="12"/>
    <x v="1"/>
    <s v="OK"/>
    <x v="12"/>
    <x v="74"/>
    <x v="1"/>
    <x v="0"/>
    <x v="2"/>
  </r>
  <r>
    <x v="79"/>
    <x v="79"/>
    <s v="Cédula de ciudadanía"/>
    <x v="79"/>
    <s v="Mujer"/>
    <n v="23"/>
    <b v="1"/>
    <s v="BOGOTA"/>
    <s v="Bogotá"/>
    <s v="Universidad de La Sabana"/>
    <m/>
    <s v="Comunicación social"/>
    <m/>
    <b v="0"/>
    <b v="0"/>
    <s v="Intermedio"/>
    <s v="Intermedio"/>
    <s v="Comunicaciones"/>
    <m/>
    <m/>
    <m/>
    <m/>
    <s v="Marketing"/>
    <m/>
    <m/>
    <m/>
    <m/>
    <b v="0"/>
    <b v="0"/>
    <m/>
    <b v="0"/>
    <m/>
    <b v="0"/>
    <m/>
    <b v="0"/>
    <m/>
    <s v="LinkedIn"/>
    <s v="CREATÓN"/>
    <d v="2026-09-12T00:00:00"/>
    <d v="1899-12-30T15:30:59"/>
    <n v="3163285338"/>
    <s v="Cedritos, Bogota, D.C., Colombia"/>
    <s v="DP"/>
    <n v="75.900000000000006"/>
    <s v="Cata"/>
    <x v="12"/>
    <x v="1"/>
    <s v="OK"/>
    <x v="12"/>
    <x v="75"/>
    <x v="1"/>
    <x v="0"/>
    <x v="2"/>
  </r>
  <r>
    <x v="80"/>
    <x v="80"/>
    <s v="Cédula de ciudadanía"/>
    <x v="80"/>
    <s v="Mujer"/>
    <n v="21"/>
    <b v="1"/>
    <s v="BOGOTA"/>
    <s v="Bogotá"/>
    <s v="Universidad de los Andes"/>
    <m/>
    <s v="Administración de Empresas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9-13T00:00:00"/>
    <d v="1899-12-30T15:17:09"/>
    <s v=" 301 5595946"/>
    <s v="Calle 137 12B-70, 110121 Bogota, D.C., Colombia"/>
    <s v="DP"/>
    <n v="72.599999999999994"/>
    <s v="Cata"/>
    <x v="12"/>
    <x v="1"/>
    <s v="OK"/>
    <x v="3"/>
    <x v="76"/>
    <x v="1"/>
    <x v="0"/>
    <x v="2"/>
  </r>
  <r>
    <x v="81"/>
    <x v="81"/>
    <s v="Cédula de ciudadanía"/>
    <x v="81"/>
    <s v="Hombre"/>
    <n v="20"/>
    <b v="1"/>
    <m/>
    <s v="Bogotá"/>
    <s v="Escuela Colombiana de Ingeniería Julio Garavito"/>
    <m/>
    <s v="Ingeniería de Sistemas"/>
    <m/>
    <b v="1"/>
    <b v="0"/>
    <s v="Avanzado"/>
    <s v="Básico"/>
    <s v="Tecnología"/>
    <m/>
    <m/>
    <m/>
    <m/>
    <s v="Asuntos Corporativos"/>
    <m/>
    <m/>
    <m/>
    <m/>
    <b v="0"/>
    <b v="0"/>
    <m/>
    <b v="0"/>
    <m/>
    <b v="0"/>
    <m/>
    <b v="0"/>
    <m/>
    <s v="Otros"/>
    <s v="CREATÓN"/>
    <d v="2026-08-22T00:00:00"/>
    <d v="1899-12-30T10:13:10"/>
    <s v="311 5244990"/>
    <s v="Carrera 74 163-33, 111156 Bogota, D.C., Colombia"/>
    <s v="DP"/>
    <n v="97.4"/>
    <s v="Cata"/>
    <x v="7"/>
    <x v="1"/>
    <s v="OK "/>
    <x v="18"/>
    <x v="77"/>
    <x v="0"/>
    <x v="0"/>
    <x v="0"/>
  </r>
  <r>
    <x v="82"/>
    <x v="82"/>
    <s v="Cédula de ciudadanía"/>
    <x v="82"/>
    <s v="Mujer"/>
    <n v="22"/>
    <b v="1"/>
    <s v="Bogotá, D.C."/>
    <s v="Bogotá"/>
    <s v="Escuela Colombiana de Ingeniería Julio Garavito"/>
    <m/>
    <s v="Ingeniería de Sistemas"/>
    <m/>
    <b v="1"/>
    <b v="0"/>
    <s v="Intermedio"/>
    <s v="Intermedio"/>
    <s v="Tecnología"/>
    <m/>
    <m/>
    <m/>
    <m/>
    <s v="Tecnología"/>
    <m/>
    <m/>
    <m/>
    <m/>
    <b v="0"/>
    <b v="0"/>
    <m/>
    <b v="0"/>
    <m/>
    <b v="0"/>
    <m/>
    <b v="0"/>
    <m/>
    <s v="Otros"/>
    <s v="CREATÓN"/>
    <d v="2026-09-01T00:00:00"/>
    <d v="1899-12-30T18:13:04"/>
    <s v=" 311 2494264"/>
    <s v="Carrera 74A 66A-80, 111051 Bogota, D.C., Colombia"/>
    <s v="DP"/>
    <n v="98"/>
    <s v="Cata"/>
    <x v="7"/>
    <x v="1"/>
    <s v="OK "/>
    <x v="18"/>
    <x v="78"/>
    <x v="0"/>
    <x v="0"/>
    <x v="0"/>
  </r>
  <r>
    <x v="83"/>
    <x v="83"/>
    <s v="Cédula de ciudadanía"/>
    <x v="83"/>
    <s v="Mujer"/>
    <n v="22"/>
    <b v="1"/>
    <m/>
    <s v="Bogotá"/>
    <s v="Otra"/>
    <s v="Universidad Manuela Beltran"/>
    <s v="Ingeniería de Software"/>
    <m/>
    <b v="0"/>
    <b v="0"/>
    <s v="Avanzado"/>
    <s v="Intermedio"/>
    <s v="Tecnología"/>
    <m/>
    <m/>
    <m/>
    <m/>
    <m/>
    <m/>
    <m/>
    <m/>
    <m/>
    <b v="0"/>
    <b v="0"/>
    <m/>
    <b v="0"/>
    <m/>
    <b v="0"/>
    <m/>
    <b v="0"/>
    <m/>
    <s v="Instagram"/>
    <s v="CREATÓN"/>
    <d v="2026-08-21T00:00:00"/>
    <d v="1899-12-30T09:57:10"/>
    <s v=" 314 4277940"/>
    <s v="Calle 95A 71A-18, 111121 Bogota, D.C., Colombia"/>
    <s v="DP"/>
    <n v="82.6"/>
    <s v="Cata"/>
    <x v="7"/>
    <x v="1"/>
    <s v="OK "/>
    <x v="19"/>
    <x v="79"/>
    <x v="0"/>
    <x v="0"/>
    <x v="0"/>
  </r>
  <r>
    <x v="84"/>
    <x v="84"/>
    <s v="Cédula de ciudadanía"/>
    <x v="84"/>
    <s v="Hombre"/>
    <n v="26"/>
    <b v="1"/>
    <s v="BOGOTA"/>
    <s v="Bogotá"/>
    <s v="Universidad del Rosario"/>
    <m/>
    <s v="Administración de Empresas"/>
    <m/>
    <b v="0"/>
    <b v="0"/>
    <s v="Avanzado"/>
    <s v="Intermedio"/>
    <s v="Marketing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9-13T00:00:00"/>
    <d v="1899-12-30T16:56:57"/>
    <s v=" 321 3877492"/>
    <s v="Avenida Calle 85 7A-45, 110221 Bogota, D.C., Colombia"/>
    <s v="DP"/>
    <n v="86.1"/>
    <s v="Cata"/>
    <x v="13"/>
    <x v="1"/>
    <s v="OK"/>
    <x v="3"/>
    <x v="80"/>
    <x v="1"/>
    <x v="0"/>
    <x v="2"/>
  </r>
  <r>
    <x v="85"/>
    <x v="85"/>
    <s v="Cédula de ciudadanía"/>
    <x v="85"/>
    <s v="Hombre"/>
    <n v="20"/>
    <b v="1"/>
    <s v="BOGOTA"/>
    <s v="Bogotá"/>
    <s v="Universidad de los Andes"/>
    <m/>
    <s v="Economía"/>
    <m/>
    <b v="0"/>
    <b v="0"/>
    <s v="Avanzado"/>
    <s v="Intermedio"/>
    <s v="Marketing"/>
    <m/>
    <m/>
    <m/>
    <m/>
    <s v="Ventas"/>
    <m/>
    <m/>
    <m/>
    <s v="Ventas Comercial"/>
    <b v="0"/>
    <b v="0"/>
    <m/>
    <b v="0"/>
    <m/>
    <b v="0"/>
    <m/>
    <b v="0"/>
    <m/>
    <s v="Otros"/>
    <s v="CREATÓN"/>
    <d v="2026-09-02T00:00:00"/>
    <d v="1899-12-30T18:32:07"/>
    <n v="3208971335"/>
    <s v="Calle 24C 84-85, 110931 Bogota, D.C., Colombia"/>
    <s v="DP"/>
    <n v="85.7"/>
    <s v="Santi"/>
    <x v="13"/>
    <x v="1"/>
    <s v="OK"/>
    <x v="1"/>
    <x v="81"/>
    <x v="1"/>
    <x v="0"/>
    <x v="2"/>
  </r>
  <r>
    <x v="86"/>
    <x v="86"/>
    <s v="Cédula de ciudadanía"/>
    <x v="86"/>
    <s v="Hombre"/>
    <n v="22"/>
    <b v="1"/>
    <s v="BOGOTÁ"/>
    <s v="Bogotá"/>
    <s v="Universidad de La Sabana"/>
    <m/>
    <s v="Administración de Empresas"/>
    <m/>
    <b v="0"/>
    <b v="0"/>
    <s v="Avanzado"/>
    <s v="Avanzado"/>
    <s v="Ventas"/>
    <m/>
    <m/>
    <m/>
    <s v="Talento Ventas"/>
    <s v="Ventas"/>
    <m/>
    <m/>
    <m/>
    <s v="Gestión de Ejecución Premium"/>
    <b v="0"/>
    <b v="0"/>
    <m/>
    <b v="0"/>
    <m/>
    <b v="0"/>
    <m/>
    <b v="0"/>
    <m/>
    <s v="LinkedIn"/>
    <s v="CREATÓN"/>
    <d v="2026-09-13T00:00:00"/>
    <d v="1899-12-30T12:52:44"/>
    <s v=" 301 6040200"/>
    <s v="Vereda Canelon, Cajicá, Colombia"/>
    <s v="DP"/>
    <n v="75.8"/>
    <s v="Cata"/>
    <x v="13"/>
    <x v="1"/>
    <s v="OK"/>
    <x v="3"/>
    <x v="82"/>
    <x v="1"/>
    <x v="0"/>
    <x v="2"/>
  </r>
  <r>
    <x v="87"/>
    <x v="87"/>
    <s v="Cédula de ciudadanía"/>
    <x v="87"/>
    <s v="Mujer"/>
    <n v="22"/>
    <b v="1"/>
    <s v="BOGOTA"/>
    <s v="Bogotá"/>
    <s v="Universidad de los Andes"/>
    <m/>
    <s v="Administración de Empresas"/>
    <m/>
    <b v="0"/>
    <b v="0"/>
    <s v="Avanzado"/>
    <s v="Intermedio"/>
    <s v="Marketing"/>
    <m/>
    <m/>
    <m/>
    <m/>
    <s v="Ventas"/>
    <m/>
    <m/>
    <m/>
    <s v="Ventas Comercial"/>
    <b v="0"/>
    <b v="0"/>
    <m/>
    <b v="0"/>
    <m/>
    <b v="0"/>
    <m/>
    <b v="0"/>
    <m/>
    <s v="LinkedIn"/>
    <s v="CREATÓN"/>
    <d v="2026-09-06T00:00:00"/>
    <d v="1899-12-30T17:17:08"/>
    <n v="3142249659"/>
    <s v="Carrera 7C 138-60, 110121 Bogota, D.C., Colombia"/>
    <s v="DP"/>
    <n v="79.599999999999994"/>
    <s v="Cata"/>
    <x v="13"/>
    <x v="1"/>
    <s v="OK"/>
    <x v="3"/>
    <x v="83"/>
    <x v="1"/>
    <x v="0"/>
    <x v="2"/>
  </r>
  <r>
    <x v="88"/>
    <x v="88"/>
    <s v="Cédula de ciudadanía"/>
    <x v="88"/>
    <s v="Mujer"/>
    <n v="23"/>
    <b v="1"/>
    <m/>
    <s v="Bogotá"/>
    <s v="Otra"/>
    <s v="Universidad ICESI"/>
    <s v="Marketing / Mercadeo"/>
    <m/>
    <b v="0"/>
    <b v="0"/>
    <s v="Intermedio"/>
    <s v="Intermedio"/>
    <s v="Marketing"/>
    <m/>
    <m/>
    <m/>
    <m/>
    <s v="Ventas"/>
    <m/>
    <m/>
    <m/>
    <s v="Canal Moderno"/>
    <b v="0"/>
    <b v="0"/>
    <m/>
    <b v="0"/>
    <m/>
    <b v="0"/>
    <m/>
    <b v="0"/>
    <m/>
    <s v="Instagram"/>
    <s v="CREATÓN"/>
    <d v="2026-08-21T00:00:00"/>
    <d v="1899-12-30T09:57:09"/>
    <s v=" 313 7808424"/>
    <s v="Calle 76 16-156, 760033 Cali, Colombia"/>
    <s v="DP"/>
    <n v="88.3"/>
    <s v="Cata"/>
    <x v="13"/>
    <x v="1"/>
    <s v="OK"/>
    <x v="4"/>
    <x v="84"/>
    <x v="1"/>
    <x v="0"/>
    <x v="2"/>
  </r>
  <r>
    <x v="89"/>
    <x v="89"/>
    <s v="Cédula de ciudadanía"/>
    <x v="89"/>
    <s v="Mujer"/>
    <n v="20"/>
    <b v="1"/>
    <s v="CALI"/>
    <s v="Bogotá"/>
    <s v="Pontificia Universidad Javeriana| Cali"/>
    <m/>
    <s v="Economía"/>
    <m/>
    <b v="0"/>
    <b v="0"/>
    <s v="Avanzado"/>
    <s v="Avanzado"/>
    <s v="Ventas"/>
    <m/>
    <m/>
    <m/>
    <s v="Ventas Comercial"/>
    <s v="Compras"/>
    <m/>
    <m/>
    <m/>
    <m/>
    <b v="0"/>
    <b v="0"/>
    <m/>
    <b v="0"/>
    <m/>
    <b v="0"/>
    <m/>
    <b v="0"/>
    <m/>
    <s v="Otros"/>
    <s v="CREATÓN"/>
    <d v="2026-09-11T00:00:00"/>
    <d v="1899-12-30T15:38:09"/>
    <s v=" 314 4065467"/>
    <s v="Carrera 72 11-30, 760033 Cali, Colombia"/>
    <s v="DP"/>
    <n v="87.2"/>
    <s v="Cata"/>
    <x v="13"/>
    <x v="1"/>
    <s v="OK "/>
    <x v="1"/>
    <x v="85"/>
    <x v="1"/>
    <x v="0"/>
    <x v="2"/>
  </r>
  <r>
    <x v="90"/>
    <x v="90"/>
    <s v="Cédula de ciudadanía"/>
    <x v="90"/>
    <s v="Hombre"/>
    <n v="21"/>
    <b v="1"/>
    <s v="BOGOTA"/>
    <s v="Bogotá"/>
    <s v="Universidad de los Andes"/>
    <m/>
    <s v="Ingeniería Industrial"/>
    <m/>
    <b v="0"/>
    <b v="0"/>
    <s v="Avanzado"/>
    <s v="Avanzado"/>
    <s v="Marketing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9-06T00:00:00"/>
    <d v="1899-12-30T22:46:07"/>
    <s v=" 321 2966629"/>
    <s v="Diagonal 72 1-16, 110221 Bogota, D.C., Colombia"/>
    <s v="DP"/>
    <n v="95"/>
    <s v="Cata"/>
    <x v="13"/>
    <x v="1"/>
    <s v="OK "/>
    <x v="10"/>
    <x v="86"/>
    <x v="1"/>
    <x v="0"/>
    <x v="2"/>
  </r>
  <r>
    <x v="91"/>
    <x v="91"/>
    <s v="Cédula de ciudadanía"/>
    <x v="91"/>
    <s v="Mujer"/>
    <n v="21"/>
    <b v="1"/>
    <m/>
    <s v="Bogotá"/>
    <s v="Colegio de Estudios Superiores de Administración CESA"/>
    <m/>
    <s v="Administración de Empresas"/>
    <m/>
    <b v="1"/>
    <b v="0"/>
    <s v="Avanzado"/>
    <s v="Avanzado"/>
    <s v="Marketing"/>
    <m/>
    <m/>
    <m/>
    <m/>
    <s v="Ventas"/>
    <m/>
    <m/>
    <m/>
    <s v="Canal Moderno"/>
    <b v="0"/>
    <b v="0"/>
    <m/>
    <b v="0"/>
    <m/>
    <b v="0"/>
    <m/>
    <b v="0"/>
    <m/>
    <s v="LinkedIn"/>
    <s v="CREATÓN"/>
    <d v="2026-08-22T00:00:00"/>
    <d v="1899-12-30T10:13:10"/>
    <s v="302 3029042"/>
    <s v="Calle 77, Bogota, D.C., Colombia"/>
    <s v="DP"/>
    <n v="87.2"/>
    <s v="Santi"/>
    <x v="10"/>
    <x v="1"/>
    <s v="OK"/>
    <x v="3"/>
    <x v="87"/>
    <x v="0"/>
    <x v="0"/>
    <x v="1"/>
  </r>
  <r>
    <x v="92"/>
    <x v="92"/>
    <s v="Cédula de ciudadanía"/>
    <x v="92"/>
    <s v="Hombre"/>
    <n v="22"/>
    <b v="1"/>
    <m/>
    <s v="Bogotá"/>
    <s v="Universidad de los Andes"/>
    <m/>
    <s v="Economía"/>
    <m/>
    <b v="0"/>
    <b v="0"/>
    <s v="Avanzado"/>
    <s v="Intermedio"/>
    <s v="Asuntos corporativos"/>
    <m/>
    <m/>
    <m/>
    <m/>
    <s v="Compras"/>
    <m/>
    <m/>
    <m/>
    <m/>
    <b v="0"/>
    <b v="0"/>
    <m/>
    <b v="0"/>
    <m/>
    <b v="0"/>
    <m/>
    <b v="0"/>
    <m/>
    <s v="Medios Tradicionales"/>
    <s v="CREATÓN"/>
    <d v="2026-08-22T00:00:00"/>
    <d v="1899-12-30T12:52:08"/>
    <s v=" 312 2329005"/>
    <s v="Happa Hub - Apartamentos en El Centro de la Ciudad, 110311 Bogota, D.C., Colombia"/>
    <s v="DP"/>
    <n v="92.2"/>
    <s v="Cata"/>
    <x v="1"/>
    <x v="1"/>
    <s v="OK"/>
    <x v="1"/>
    <x v="88"/>
    <x v="0"/>
    <x v="0"/>
    <x v="1"/>
  </r>
  <r>
    <x v="93"/>
    <x v="93"/>
    <s v="Cédula de ciudadanía"/>
    <x v="93"/>
    <s v="Hombre"/>
    <n v="24"/>
    <b v="1"/>
    <s v="BOGOTÁ"/>
    <s v="Bogotá"/>
    <s v="Universidad del Rosario"/>
    <m/>
    <s v="Derecho"/>
    <m/>
    <b v="0"/>
    <b v="0"/>
    <s v="Avanzado"/>
    <s v="Intermedio"/>
    <s v="Asuntos corporativos"/>
    <m/>
    <s v="Finanzas Impuestos"/>
    <m/>
    <m/>
    <s v="Finanzas"/>
    <m/>
    <m/>
    <m/>
    <m/>
    <b v="0"/>
    <b v="0"/>
    <m/>
    <b v="0"/>
    <m/>
    <b v="0"/>
    <m/>
    <b v="0"/>
    <m/>
    <s v="Otros"/>
    <s v="CREATÓN"/>
    <d v="2026-09-13T00:00:00"/>
    <d v="1899-12-30T08:37:55"/>
    <s v=" 310 3456622"/>
    <s v="Calle 137 55-42, 111111 Bogota, D.C., Colombia"/>
    <s v="DP"/>
    <n v="76.599999999999994"/>
    <s v="Cata"/>
    <x v="1"/>
    <x v="1"/>
    <s v="OK"/>
    <x v="8"/>
    <x v="89"/>
    <x v="0"/>
    <x v="0"/>
    <x v="1"/>
  </r>
  <r>
    <x v="94"/>
    <x v="94"/>
    <s v="Cédula de ciudadanía"/>
    <x v="94"/>
    <s v="Mujer"/>
    <n v="20"/>
    <b v="1"/>
    <s v="BOGOTA"/>
    <s v="Bogotá"/>
    <s v="Colegio de Estudios Superiores de Administración CESA"/>
    <m/>
    <s v="Administración de Empresas"/>
    <m/>
    <b v="1"/>
    <b v="0"/>
    <s v="Intermedio"/>
    <s v="Intermedio"/>
    <s v="Marketing"/>
    <m/>
    <m/>
    <m/>
    <m/>
    <s v="Ventas"/>
    <m/>
    <m/>
    <m/>
    <s v="Canal Moderno"/>
    <b v="0"/>
    <b v="0"/>
    <m/>
    <b v="0"/>
    <m/>
    <b v="0"/>
    <m/>
    <b v="0"/>
    <m/>
    <s v="LinkedIn"/>
    <s v="CREATÓN"/>
    <d v="2026-08-24T00:00:00"/>
    <d v="1899-12-30T16:02:23"/>
    <n v="3002356621"/>
    <s v="Calle 93A, Bogota, D.C., Colombia"/>
    <s v="DP"/>
    <n v="84.8"/>
    <s v="Cata"/>
    <x v="10"/>
    <x v="1"/>
    <s v="OK"/>
    <x v="3"/>
    <x v="90"/>
    <x v="0"/>
    <x v="0"/>
    <x v="1"/>
  </r>
  <r>
    <x v="95"/>
    <x v="95"/>
    <s v="Cédula de ciudadanía"/>
    <x v="95"/>
    <s v="Mujer"/>
    <n v="24"/>
    <b v="1"/>
    <s v="Boyacá"/>
    <s v="Bogotá"/>
    <s v="Universidad Santo Tomás"/>
    <m/>
    <s v="Administración de Empresas"/>
    <m/>
    <b v="0"/>
    <b v="0"/>
    <s v="Intermedio"/>
    <s v="Intermedio"/>
    <s v="Talento"/>
    <m/>
    <m/>
    <m/>
    <m/>
    <s v="Asuntos Corporativos"/>
    <m/>
    <m/>
    <s v="Atracción de Talento y Marca Empleadora"/>
    <m/>
    <b v="0"/>
    <b v="0"/>
    <m/>
    <b v="0"/>
    <m/>
    <b v="0"/>
    <m/>
    <b v="0"/>
    <m/>
    <s v="Instagram"/>
    <s v="CREATÓN"/>
    <d v="2026-08-25T00:00:00"/>
    <d v="1899-12-30T13:18:14"/>
    <s v=" 313 3019024"/>
    <s v="Carrera 4 3-4, 154240 Santa Sofía, Colombia"/>
    <s v="DP"/>
    <n v="80"/>
    <s v="Cata"/>
    <x v="2"/>
    <x v="1"/>
    <s v="OK"/>
    <x v="3"/>
    <x v="91"/>
    <x v="0"/>
    <x v="0"/>
    <x v="0"/>
  </r>
  <r>
    <x v="96"/>
    <x v="96"/>
    <s v="Cédula de ciudadanía"/>
    <x v="96"/>
    <s v="Mujer"/>
    <n v="22"/>
    <b v="1"/>
    <s v="TUTA"/>
    <s v="Bogotá"/>
    <s v="Universidad Pedagógica y Tecnológica de Colombia"/>
    <m/>
    <s v="Finanzas"/>
    <m/>
    <b v="0"/>
    <b v="0"/>
    <s v="Intermedio"/>
    <s v="Intermedio"/>
    <s v="Finanzas"/>
    <m/>
    <m/>
    <m/>
    <m/>
    <s v="Compras"/>
    <m/>
    <s v="Finanzas Impuestos"/>
    <m/>
    <m/>
    <b v="0"/>
    <b v="0"/>
    <m/>
    <b v="0"/>
    <m/>
    <b v="0"/>
    <m/>
    <b v="0"/>
    <m/>
    <s v="Instagram"/>
    <s v="CREATÓN"/>
    <d v="2026-08-30T00:00:00"/>
    <d v="1899-12-30T10:20:05"/>
    <s v=" 310 7613100"/>
    <s v="Tuta, Colombia"/>
    <s v="DP"/>
    <n v="86.4"/>
    <s v="Cata"/>
    <x v="3"/>
    <x v="1"/>
    <s v="OK"/>
    <x v="2"/>
    <x v="92"/>
    <x v="0"/>
    <x v="0"/>
    <x v="0"/>
  </r>
  <r>
    <x v="97"/>
    <x v="97"/>
    <s v="Cédula de ciudadanía"/>
    <x v="97"/>
    <s v="Mujer"/>
    <n v="22"/>
    <b v="1"/>
    <m/>
    <s v="Bogotá"/>
    <s v="Universidad del Rosario"/>
    <m/>
    <s v="Logística"/>
    <m/>
    <b v="1"/>
    <b v="0"/>
    <s v="Avanzado"/>
    <s v="Avanzado"/>
    <s v="Logística"/>
    <m/>
    <m/>
    <m/>
    <m/>
    <s v="Marketing"/>
    <m/>
    <m/>
    <m/>
    <m/>
    <b v="0"/>
    <b v="0"/>
    <m/>
    <b v="0"/>
    <m/>
    <b v="0"/>
    <m/>
    <b v="0"/>
    <m/>
    <s v="LinkedIn"/>
    <s v="CREATÓN"/>
    <d v="2026-09-13T00:00:00"/>
    <d v="1899-12-30T10:33:08"/>
    <s v=" 320 4915165"/>
    <s v="Calle 146 13-22, 110121 Bogota, D.C., Colombia"/>
    <s v="DP"/>
    <n v="86.2"/>
    <s v="Cata"/>
    <x v="5"/>
    <x v="1"/>
    <s v="OK"/>
    <x v="15"/>
    <x v="93"/>
    <x v="0"/>
    <x v="0"/>
    <x v="0"/>
  </r>
  <r>
    <x v="98"/>
    <x v="98"/>
    <s v="Cédula de ciudadanía"/>
    <x v="98"/>
    <s v="Hombre"/>
    <n v="23"/>
    <b v="1"/>
    <s v="SANTA MARTA"/>
    <s v="Bogotá"/>
    <s v="Universidad del Magdalena"/>
    <m/>
    <s v="Negocios Internacionales"/>
    <m/>
    <b v="0"/>
    <b v="0"/>
    <s v="Intermedio"/>
    <s v="Intermedio"/>
    <s v="Talento"/>
    <m/>
    <m/>
    <m/>
    <m/>
    <s v="Logística"/>
    <m/>
    <m/>
    <s v="Support"/>
    <m/>
    <b v="0"/>
    <b v="0"/>
    <m/>
    <b v="0"/>
    <m/>
    <b v="0"/>
    <m/>
    <b v="0"/>
    <m/>
    <s v="Otros"/>
    <s v="CREATÓN"/>
    <d v="2026-09-12T00:00:00"/>
    <d v="1899-12-30T21:53:36"/>
    <s v=" 304 3749681"/>
    <s v="Vía Santa Marta Taganga 18-207, 470001 Santa Marta, Colombia"/>
    <s v="DP"/>
    <n v="79.8"/>
    <s v="Cata"/>
    <x v="11"/>
    <x v="1"/>
    <s v="OK"/>
    <x v="5"/>
    <x v="94"/>
    <x v="0"/>
    <x v="0"/>
    <x v="0"/>
  </r>
  <r>
    <x v="99"/>
    <x v="99"/>
    <s v="Cédula de ciudadanía"/>
    <x v="99"/>
    <s v="Mujer"/>
    <n v="20"/>
    <b v="1"/>
    <s v="BOGOTÁ"/>
    <s v="Bogotá"/>
    <s v="Universidad Nacional de Colombia"/>
    <m/>
    <s v="Ingeniería Industrial"/>
    <m/>
    <b v="1"/>
    <b v="0"/>
    <s v="Intermedio"/>
    <s v="Avanzado"/>
    <s v="Talento"/>
    <m/>
    <m/>
    <m/>
    <m/>
    <s v="Logística"/>
    <m/>
    <m/>
    <s v="Atracción de Talento y Marca Empleadora"/>
    <m/>
    <b v="0"/>
    <b v="0"/>
    <m/>
    <b v="0"/>
    <m/>
    <b v="0"/>
    <m/>
    <b v="0"/>
    <m/>
    <s v="LinkedIn"/>
    <s v="CREATÓN"/>
    <d v="2026-08-30T00:00:00"/>
    <d v="1899-12-30T10:20:04"/>
    <s v="315 6775560"/>
    <s v="Calle 65A 106A-57, 111041 Bogota, D.C., Colombia"/>
    <s v="DP"/>
    <n v="95.1"/>
    <s v="Cata"/>
    <x v="6"/>
    <x v="1"/>
    <s v="OK"/>
    <x v="10"/>
    <x v="95"/>
    <x v="0"/>
    <x v="0"/>
    <x v="1"/>
  </r>
  <r>
    <x v="100"/>
    <x v="100"/>
    <s v="Cédula de ciudadanía"/>
    <x v="100"/>
    <s v="Hombre"/>
    <n v="22"/>
    <b v="1"/>
    <s v="BOGOTÁ"/>
    <s v="Bogotá"/>
    <s v="Universidad Santo Tomás"/>
    <m/>
    <s v="Comunicación social"/>
    <m/>
    <b v="0"/>
    <b v="0"/>
    <s v="Intermedio"/>
    <s v="Intermedio"/>
    <s v="Comunicaciones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9-04T00:00:00"/>
    <d v="1899-12-30T05:59:03"/>
    <n v="3182840338"/>
    <s v="Carrera 15B 184-40, 110141 Bogota, D.C., Colombia"/>
    <s v="DP"/>
    <n v="90.7"/>
    <s v="Cata"/>
    <x v="6"/>
    <x v="1"/>
    <s v="OK"/>
    <x v="12"/>
    <x v="96"/>
    <x v="0"/>
    <x v="0"/>
    <x v="1"/>
  </r>
  <r>
    <x v="101"/>
    <x v="101"/>
    <s v="Cédula de ciudadanía"/>
    <x v="101"/>
    <s v="Mujer"/>
    <n v="20"/>
    <b v="1"/>
    <m/>
    <s v="Bogotá"/>
    <s v="Universidad Externado de Colombia"/>
    <m/>
    <s v="Administración de Empresas"/>
    <m/>
    <b v="0"/>
    <b v="0"/>
    <s v="Intermedio"/>
    <s v="Intermedio"/>
    <s v="Logística"/>
    <m/>
    <m/>
    <s v="Support"/>
    <m/>
    <s v="Talento"/>
    <m/>
    <m/>
    <m/>
    <m/>
    <b v="0"/>
    <b v="0"/>
    <m/>
    <b v="0"/>
    <m/>
    <b v="0"/>
    <m/>
    <b v="0"/>
    <m/>
    <s v="Otros"/>
    <s v="CREATÓN"/>
    <d v="2026-08-23T00:00:00"/>
    <d v="1899-12-30T18:39:03"/>
    <s v=" 304 6848832"/>
    <s v="Calle 81 114-50, 111011 Bogota, D.C., Colombia"/>
    <s v="DP"/>
    <n v="87.3"/>
    <s v="Cata"/>
    <x v="6"/>
    <x v="1"/>
    <s v="OK "/>
    <x v="3"/>
    <x v="97"/>
    <x v="0"/>
    <x v="0"/>
    <x v="1"/>
  </r>
  <r>
    <x v="102"/>
    <x v="102"/>
    <s v="Cédula de ciudadanía"/>
    <x v="102"/>
    <s v="Hombre"/>
    <n v="19"/>
    <b v="1"/>
    <m/>
    <s v="Bogotá"/>
    <s v="Universidad Externado de Colombia"/>
    <m/>
    <s v="Otra"/>
    <s v="Ciencia De Datos"/>
    <b v="0"/>
    <b v="0"/>
    <s v="Intermedio"/>
    <s v="Intermedio"/>
    <s v="Tecnología"/>
    <m/>
    <s v="Finanzas Impuestos"/>
    <m/>
    <m/>
    <s v="Finanzas"/>
    <m/>
    <m/>
    <m/>
    <m/>
    <b v="0"/>
    <b v="0"/>
    <m/>
    <b v="0"/>
    <m/>
    <b v="0"/>
    <m/>
    <b v="0"/>
    <m/>
    <s v="Instagram"/>
    <s v="CREATÓN"/>
    <d v="2026-08-22T00:00:00"/>
    <d v="1899-12-30T15:44:05"/>
    <n v="3003382233"/>
    <s v="Avenida de las Américas 68, Bogota, D.C., Colombia"/>
    <s v="DP"/>
    <n v="98.5"/>
    <s v="Santi"/>
    <x v="7"/>
    <x v="1"/>
    <s v="OK "/>
    <x v="20"/>
    <x v="98"/>
    <x v="0"/>
    <x v="0"/>
    <x v="0"/>
  </r>
  <r>
    <x v="103"/>
    <x v="103"/>
    <s v="Cédula de ciudadanía"/>
    <x v="103"/>
    <s v="Mujer"/>
    <n v="20"/>
    <b v="1"/>
    <m/>
    <s v="Bogotá"/>
    <s v="Universidad Nacional de Colombia"/>
    <m/>
    <s v="Contaduría Pública"/>
    <m/>
    <b v="1"/>
    <b v="0"/>
    <s v="Intermedio"/>
    <s v="Intermedio"/>
    <s v="Finanzas"/>
    <m/>
    <m/>
    <m/>
    <m/>
    <s v="Compras"/>
    <m/>
    <s v="Finanzas Impuestos"/>
    <m/>
    <m/>
    <b v="0"/>
    <b v="0"/>
    <m/>
    <b v="0"/>
    <m/>
    <b v="0"/>
    <m/>
    <b v="0"/>
    <m/>
    <s v="Página Web Oficial"/>
    <s v="CREATÓN"/>
    <d v="2026-08-23T00:00:00"/>
    <d v="1899-12-30T18:39:09"/>
    <s v=" 305 3525708"/>
    <s v="Guasca Parque, 251210 Guasca, Colombia"/>
    <s v="DP"/>
    <n v="81.2"/>
    <s v="Cata"/>
    <x v="0"/>
    <x v="1"/>
    <s v="OK"/>
    <x v="21"/>
    <x v="99"/>
    <x v="0"/>
    <x v="0"/>
    <x v="0"/>
  </r>
  <r>
    <x v="104"/>
    <x v="104"/>
    <s v="Cédula de ciudadanía"/>
    <x v="104"/>
    <s v="Mujer"/>
    <n v="24"/>
    <b v="1"/>
    <s v="BOGOTA"/>
    <s v="Bogotá"/>
    <s v="Universidad de los Andes"/>
    <m/>
    <s v="Administración de Empresas"/>
    <m/>
    <b v="0"/>
    <b v="0"/>
    <s v="Avanzado"/>
    <s v="Avanzado"/>
    <s v="Finanzas"/>
    <m/>
    <m/>
    <m/>
    <m/>
    <s v="Compras"/>
    <m/>
    <s v="Finanzas Impuestos"/>
    <m/>
    <m/>
    <b v="0"/>
    <b v="0"/>
    <m/>
    <b v="0"/>
    <m/>
    <b v="0"/>
    <m/>
    <b v="0"/>
    <m/>
    <s v="LinkedIn"/>
    <s v="CREATÓN"/>
    <d v="2026-08-27T00:00:00"/>
    <d v="1899-12-30T09:22:08"/>
    <s v=" 315 5444444"/>
    <s v="Carrera 14 151-60, 110131 Bogota, D.C., Colombia"/>
    <s v="DP"/>
    <n v="84.9"/>
    <s v="Cata"/>
    <x v="0"/>
    <x v="2"/>
    <s v="OK"/>
    <x v="3"/>
    <x v="100"/>
    <x v="0"/>
    <x v="0"/>
    <x v="0"/>
  </r>
  <r>
    <x v="105"/>
    <x v="105"/>
    <s v="Cédula de ciudadanía"/>
    <x v="105"/>
    <s v="Hombre"/>
    <n v="21"/>
    <b v="1"/>
    <m/>
    <s v="Bogotá"/>
    <s v="Colegio de Estudios Superiores de Administración CESA"/>
    <m/>
    <s v="Administración de Empresas"/>
    <m/>
    <b v="1"/>
    <b v="0"/>
    <s v="Avanzado"/>
    <s v="Intermedio"/>
    <s v="Finanzas"/>
    <m/>
    <m/>
    <m/>
    <m/>
    <s v="Asuntos Corporativos"/>
    <m/>
    <s v="Finanzas Impuestos"/>
    <m/>
    <m/>
    <b v="0"/>
    <b v="0"/>
    <m/>
    <b v="0"/>
    <m/>
    <b v="0"/>
    <m/>
    <b v="0"/>
    <m/>
    <s v="Otros"/>
    <s v="CREATÓN"/>
    <d v="2026-09-10T00:00:00"/>
    <d v="1899-12-30T09:09:50"/>
    <s v=" 322 3704429"/>
    <s v="Calle 74 3-36, 110221 Bogota, D.C., Colombia"/>
    <s v="DP"/>
    <n v="88.6"/>
    <s v="Cata"/>
    <x v="0"/>
    <x v="0"/>
    <s v="OK"/>
    <x v="3"/>
    <x v="101"/>
    <x v="0"/>
    <x v="0"/>
    <x v="0"/>
  </r>
  <r>
    <x v="106"/>
    <x v="106"/>
    <s v="Cédula de ciudadanía"/>
    <x v="106"/>
    <s v="Mujer"/>
    <n v="21"/>
    <b v="1"/>
    <m/>
    <s v="Bogotá"/>
    <s v="Universidad Pedagógica y Tecnológica de Colombia"/>
    <m/>
    <s v="Economía"/>
    <m/>
    <b v="0"/>
    <b v="0"/>
    <s v="Intermedio"/>
    <s v="Avanzado"/>
    <s v="Finanzas"/>
    <m/>
    <m/>
    <s v="Área financiera"/>
    <m/>
    <s v="Talento"/>
    <m/>
    <s v="Finanzas Impuestos"/>
    <m/>
    <m/>
    <b v="0"/>
    <b v="0"/>
    <m/>
    <b v="0"/>
    <m/>
    <b v="0"/>
    <m/>
    <b v="0"/>
    <m/>
    <s v="Instagram"/>
    <s v="CREATÓN"/>
    <d v="2026-08-21T00:00:00"/>
    <d v="1899-12-30T09:57:09"/>
    <s v=" 315 6756238"/>
    <s v="Carrera 3 21-46, 111711 Bogota, D.C., Colombia"/>
    <s v="DP"/>
    <n v="88.3"/>
    <s v="Cata"/>
    <x v="0"/>
    <x v="2"/>
    <s v="OK"/>
    <x v="1"/>
    <x v="102"/>
    <x v="0"/>
    <x v="0"/>
    <x v="0"/>
  </r>
  <r>
    <x v="107"/>
    <x v="107"/>
    <s v="Cédula de ciudadanía"/>
    <x v="107"/>
    <s v="Mujer"/>
    <n v="20"/>
    <b v="1"/>
    <m/>
    <s v="Bogotá"/>
    <s v="Universidad de La Sabana"/>
    <m/>
    <s v="Economía"/>
    <m/>
    <b v="0"/>
    <b v="0"/>
    <s v="Avanzado"/>
    <s v="Intermedio"/>
    <s v="Finanzas"/>
    <m/>
    <m/>
    <m/>
    <m/>
    <s v="Asuntos Corporativos"/>
    <m/>
    <s v="Finanzas Impuestos"/>
    <m/>
    <m/>
    <b v="0"/>
    <b v="0"/>
    <m/>
    <b v="0"/>
    <m/>
    <b v="0"/>
    <m/>
    <b v="0"/>
    <m/>
    <s v="Instagram"/>
    <s v="CREATÓN"/>
    <d v="2026-08-21T00:00:00"/>
    <d v="1899-12-30T13:10:12"/>
    <s v=" 310 6748268"/>
    <s v="Carrera 54 64A, Bogota, D.C., Colombia"/>
    <s v="DP"/>
    <n v="80.400000000000006"/>
    <s v="Cata"/>
    <x v="0"/>
    <x v="2"/>
    <s v="OK"/>
    <x v="1"/>
    <x v="103"/>
    <x v="0"/>
    <x v="0"/>
    <x v="0"/>
  </r>
  <r>
    <x v="108"/>
    <x v="108"/>
    <s v="Cédula de ciudadanía"/>
    <x v="108"/>
    <s v="Hombre"/>
    <n v="21"/>
    <b v="1"/>
    <s v="JAMUNDI VALLE"/>
    <s v="Bogotá"/>
    <s v="Otra"/>
    <s v="Universidad ICESI"/>
    <s v="Administración de Empresas"/>
    <m/>
    <b v="0"/>
    <b v="0"/>
    <s v="Intermedio"/>
    <s v="Intermedio"/>
    <s v="Finanzas"/>
    <m/>
    <m/>
    <m/>
    <m/>
    <s v="Logística"/>
    <m/>
    <s v="Finanzas Impuestos"/>
    <m/>
    <m/>
    <b v="0"/>
    <b v="0"/>
    <m/>
    <b v="0"/>
    <m/>
    <b v="0"/>
    <m/>
    <b v="0"/>
    <m/>
    <s v="Otros"/>
    <s v="CREATÓN"/>
    <d v="2026-09-13T00:00:00"/>
    <d v="1899-12-30T20:36:05"/>
    <s v="321 8367707"/>
    <s v="Carrera 5A Sur 10C-67, 764001 Jamundí, Colombia"/>
    <s v="DP"/>
    <n v="75.599999999999994"/>
    <s v="Cata"/>
    <x v="0"/>
    <x v="1"/>
    <s v="OK"/>
    <x v="3"/>
    <x v="104"/>
    <x v="0"/>
    <x v="0"/>
    <x v="0"/>
  </r>
  <r>
    <x v="109"/>
    <x v="109"/>
    <s v="Cédula de ciudadanía"/>
    <x v="109"/>
    <s v="Mujer"/>
    <n v="20"/>
    <b v="1"/>
    <s v="BOGOTÁ D.C"/>
    <s v="Bogotá"/>
    <s v="Universidad de los Andes"/>
    <m/>
    <s v="Economía"/>
    <m/>
    <b v="0"/>
    <b v="0"/>
    <s v="Avanzado"/>
    <s v="Básico"/>
    <s v="Asuntos corporativos"/>
    <m/>
    <m/>
    <m/>
    <m/>
    <s v="Logística"/>
    <m/>
    <m/>
    <m/>
    <m/>
    <b v="0"/>
    <b v="0"/>
    <m/>
    <b v="0"/>
    <m/>
    <b v="0"/>
    <m/>
    <b v="0"/>
    <m/>
    <s v="LinkedIn"/>
    <s v="CREATÓN"/>
    <d v="2026-09-12T00:00:00"/>
    <d v="1899-12-30T11:39:06"/>
    <s v=" 301 5337662"/>
    <s v="Calle 124 57-45, 111111 Bogota, D.C., Colombia"/>
    <s v="DP"/>
    <n v="89.4"/>
    <s v="Cata"/>
    <x v="0"/>
    <x v="1"/>
    <s v="OK"/>
    <x v="1"/>
    <x v="105"/>
    <x v="0"/>
    <x v="0"/>
    <x v="0"/>
  </r>
  <r>
    <x v="110"/>
    <x v="110"/>
    <s v="Cédula de ciudadanía"/>
    <x v="110"/>
    <s v="Hombre"/>
    <n v="22"/>
    <b v="1"/>
    <s v="BOGOTA DC"/>
    <s v="Bogotá"/>
    <s v="Universidad de los Andes"/>
    <m/>
    <s v="Ingeniería Industrial"/>
    <m/>
    <b v="0"/>
    <b v="0"/>
    <s v="Avanzado"/>
    <s v="Avanzado"/>
    <s v="Finanzas"/>
    <m/>
    <m/>
    <m/>
    <m/>
    <s v="Logística"/>
    <m/>
    <s v="Finanzas Impuestos"/>
    <m/>
    <m/>
    <b v="0"/>
    <b v="0"/>
    <m/>
    <b v="0"/>
    <m/>
    <b v="0"/>
    <m/>
    <b v="0"/>
    <m/>
    <s v="Instagram"/>
    <s v="CREATÓN"/>
    <d v="2026-08-26T00:00:00"/>
    <d v="1899-12-30T05:28:05"/>
    <n v="3143988803"/>
    <s v="Avenida Carrera 15 118-42, 110111 Bogota, D.C., Colombia"/>
    <s v="DP"/>
    <n v="80.3"/>
    <s v="Cata"/>
    <x v="0"/>
    <x v="1"/>
    <s v="OK"/>
    <x v="10"/>
    <x v="106"/>
    <x v="0"/>
    <x v="0"/>
    <x v="0"/>
  </r>
  <r>
    <x v="111"/>
    <x v="111"/>
    <s v="Cédula de ciudadanía"/>
    <x v="111"/>
    <s v="Mujer"/>
    <n v="21"/>
    <b v="1"/>
    <s v="BOGOTÁ"/>
    <s v="Bogotá"/>
    <s v="Pontificia Universidad Javeriana"/>
    <m/>
    <s v="Relaciones Internacionales"/>
    <m/>
    <b v="0"/>
    <b v="0"/>
    <s v="Avanzado"/>
    <s v="Básico"/>
    <s v="Asuntos corporativos"/>
    <m/>
    <m/>
    <m/>
    <m/>
    <s v="Logística"/>
    <m/>
    <m/>
    <m/>
    <m/>
    <b v="0"/>
    <b v="0"/>
    <m/>
    <b v="0"/>
    <m/>
    <b v="0"/>
    <m/>
    <b v="0"/>
    <m/>
    <s v="LinkedIn"/>
    <s v="CREATÓN"/>
    <d v="2026-08-30T00:00:00"/>
    <d v="1899-12-30T18:49:09"/>
    <n v="3013632349"/>
    <s v="Calle 55 4A, Bogota, D.C., Colombia"/>
    <s v="DP"/>
    <n v="80.8"/>
    <s v="Cata"/>
    <x v="1"/>
    <x v="1"/>
    <s v="OK"/>
    <x v="16"/>
    <x v="107"/>
    <x v="0"/>
    <x v="0"/>
    <x v="1"/>
  </r>
  <r>
    <x v="112"/>
    <x v="112"/>
    <s v="Cédula de ciudadanía"/>
    <x v="112"/>
    <s v="Hombre"/>
    <n v="21"/>
    <b v="1"/>
    <s v="BOGOTÁ"/>
    <s v="Bogotá"/>
    <s v="Universidad de los Andes"/>
    <m/>
    <s v="Administración de Empresas"/>
    <m/>
    <b v="0"/>
    <b v="0"/>
    <s v="Avanzado"/>
    <s v="Avanzado"/>
    <s v="Asuntos corporativos"/>
    <m/>
    <m/>
    <m/>
    <m/>
    <s v="Ventas"/>
    <m/>
    <m/>
    <m/>
    <s v="BEES"/>
    <b v="0"/>
    <b v="0"/>
    <m/>
    <b v="0"/>
    <m/>
    <b v="0"/>
    <m/>
    <b v="0"/>
    <m/>
    <s v="LinkedIn"/>
    <s v="CREATÓN"/>
    <d v="2026-09-13T00:00:00"/>
    <d v="1899-12-30T00:27:31"/>
    <s v=" 314 3392961"/>
    <s v="Carrera 68B 24A-64, 110931 Bogota, D.C., Colombia"/>
    <s v="DP"/>
    <n v="77"/>
    <s v="Cata"/>
    <x v="1"/>
    <x v="1"/>
    <s v="OK"/>
    <x v="3"/>
    <x v="108"/>
    <x v="0"/>
    <x v="0"/>
    <x v="1"/>
  </r>
  <r>
    <x v="113"/>
    <x v="113"/>
    <s v="Cédula de ciudadanía"/>
    <x v="113"/>
    <s v="Mujer"/>
    <n v="21"/>
    <b v="1"/>
    <s v="BOGOTA"/>
    <s v="Bogotá"/>
    <s v="Pontificia Universidad Javeriana"/>
    <m/>
    <s v="Economía"/>
    <m/>
    <b v="0"/>
    <b v="0"/>
    <s v="Avanzado"/>
    <s v="Avanzado"/>
    <s v="Asuntos corporativos"/>
    <m/>
    <s v="Finanzas Impuestos"/>
    <m/>
    <m/>
    <s v="Finanzas"/>
    <m/>
    <m/>
    <m/>
    <m/>
    <b v="0"/>
    <b v="0"/>
    <m/>
    <b v="0"/>
    <m/>
    <b v="0"/>
    <m/>
    <b v="0"/>
    <m/>
    <s v="LinkedIn"/>
    <s v="CREATÓN"/>
    <d v="2026-09-12T00:00:00"/>
    <d v="1899-12-30T12:05:07"/>
    <s v=" 310 6711911"/>
    <s v="Carrera 8 46-34, 110231 Bogota, D.C., Colombia"/>
    <s v="DP"/>
    <n v="92.3"/>
    <s v="Cata"/>
    <x v="1"/>
    <x v="2"/>
    <s v="OK"/>
    <x v="1"/>
    <x v="109"/>
    <x v="0"/>
    <x v="0"/>
    <x v="1"/>
  </r>
  <r>
    <x v="114"/>
    <x v="114"/>
    <s v="Cédula de ciudadanía"/>
    <x v="114"/>
    <s v="Hombre"/>
    <n v="24"/>
    <b v="1"/>
    <s v="BOGOTA"/>
    <s v="Bogotá"/>
    <s v="Universidad de los Andes"/>
    <m/>
    <s v="Administración de Empresas"/>
    <m/>
    <b v="0"/>
    <b v="0"/>
    <s v="Intermedio"/>
    <s v="Avanzado"/>
    <s v="Asuntos corporativos"/>
    <m/>
    <m/>
    <m/>
    <m/>
    <s v="Ventas"/>
    <m/>
    <m/>
    <m/>
    <s v="Gestión de Ejecución Premium"/>
    <b v="0"/>
    <b v="1"/>
    <m/>
    <b v="0"/>
    <m/>
    <b v="0"/>
    <s v="Tio-Jorge Orlando Borja Leal"/>
    <b v="0"/>
    <m/>
    <s v="Instagram"/>
    <s v="CREATÓN"/>
    <d v="2026-09-02T00:00:00"/>
    <d v="1899-12-30T18:32:07"/>
    <s v=" 321 2247261"/>
    <s v="Calle 97 19A-33, 110221 Bogota, D.C., Colombia"/>
    <s v="DP"/>
    <n v="93.9"/>
    <s v="Cata"/>
    <x v="1"/>
    <x v="1"/>
    <s v="OK"/>
    <x v="3"/>
    <x v="110"/>
    <x v="0"/>
    <x v="0"/>
    <x v="1"/>
  </r>
  <r>
    <x v="115"/>
    <x v="115"/>
    <s v="Cédula de ciudadanía"/>
    <x v="115"/>
    <s v="Mujer"/>
    <n v="22"/>
    <b v="1"/>
    <s v="BOGOTA"/>
    <s v="Bogotá"/>
    <s v="Universidad Distrital Francisco José de Caldas"/>
    <m/>
    <s v="Ingeniería Industrial"/>
    <m/>
    <b v="0"/>
    <b v="0"/>
    <s v="Intermedio"/>
    <s v="Intermedio"/>
    <s v="Asuntos corporativos"/>
    <m/>
    <m/>
    <m/>
    <m/>
    <s v="Asuntos Corporativos"/>
    <m/>
    <m/>
    <m/>
    <m/>
    <b v="0"/>
    <b v="0"/>
    <m/>
    <b v="0"/>
    <m/>
    <b v="0"/>
    <m/>
    <b v="0"/>
    <m/>
    <s v="TikTok"/>
    <s v="CREATÓN"/>
    <d v="2026-09-13T00:00:00"/>
    <d v="1899-12-30T15:17:10"/>
    <n v="3054515758"/>
    <s v="Transversal 70G 63 S-52, 111921 Bogota, D.C., Colombia"/>
    <s v="DP"/>
    <n v="78.2"/>
    <s v="Cata"/>
    <x v="1"/>
    <x v="1"/>
    <s v="OK"/>
    <x v="10"/>
    <x v="111"/>
    <x v="0"/>
    <x v="0"/>
    <x v="1"/>
  </r>
  <r>
    <x v="116"/>
    <x v="116"/>
    <s v="Cédula de ciudadanía"/>
    <x v="116"/>
    <s v="Mujer"/>
    <n v="20"/>
    <b v="1"/>
    <m/>
    <s v="Bogotá"/>
    <s v="Universidad Nacional de Colombia"/>
    <m/>
    <s v="Administración de Empresas"/>
    <m/>
    <b v="1"/>
    <b v="0"/>
    <s v="Intermedio"/>
    <s v="Avanzad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Instagram"/>
    <s v="CREATÓN"/>
    <d v="2026-08-23T00:00:00"/>
    <d v="1899-12-30T18:39:03"/>
    <n v="3112753531"/>
    <s v="Calle 79 Sur 41, Bogota, D.C., Colombia"/>
    <s v="DP"/>
    <n v="93.8"/>
    <s v="Cata"/>
    <x v="9"/>
    <x v="2"/>
    <s v="OK"/>
    <x v="3"/>
    <x v="112"/>
    <x v="0"/>
    <x v="0"/>
    <x v="0"/>
  </r>
  <r>
    <x v="117"/>
    <x v="117"/>
    <s v="Cédula de ciudadanía"/>
    <x v="117"/>
    <s v="Hombre"/>
    <n v="22"/>
    <b v="1"/>
    <s v="CALI"/>
    <s v="Bogotá"/>
    <s v="Otra"/>
    <s v="Universidad ICESI-CALI"/>
    <s v="Psicología"/>
    <m/>
    <b v="1"/>
    <b v="0"/>
    <s v="Avanzado"/>
    <s v="Avanzad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Otros"/>
    <s v="CREATÓN"/>
    <d v="2026-09-13T00:00:00"/>
    <d v="1899-12-30T14:34:24"/>
    <s v=" 302 3135214"/>
    <s v="Carrera 121A, Cali, Colombia"/>
    <s v="DP"/>
    <n v="72.2"/>
    <s v="Cata"/>
    <x v="9"/>
    <x v="1"/>
    <s v="OK"/>
    <x v="9"/>
    <x v="113"/>
    <x v="0"/>
    <x v="0"/>
    <x v="0"/>
  </r>
  <r>
    <x v="118"/>
    <x v="118"/>
    <s v="Cédula de ciudadanía"/>
    <x v="118"/>
    <s v="Hombre"/>
    <n v="21"/>
    <b v="1"/>
    <s v="BOGOTÁ"/>
    <s v="Bogotá"/>
    <s v="Universidad de los Andes"/>
    <m/>
    <s v="Administración de Empresas"/>
    <m/>
    <b v="0"/>
    <b v="0"/>
    <s v="Avanzado"/>
    <s v="Avanzado"/>
    <s v="Ventas"/>
    <m/>
    <m/>
    <s v="Atracción de Talento y Marca Empleadora"/>
    <s v="Ventas Comercial"/>
    <s v="Talento"/>
    <m/>
    <m/>
    <m/>
    <m/>
    <b v="0"/>
    <b v="0"/>
    <m/>
    <b v="0"/>
    <m/>
    <b v="0"/>
    <m/>
    <b v="0"/>
    <m/>
    <s v="LinkedIn"/>
    <s v="CREATÓN"/>
    <d v="2026-09-12T00:00:00"/>
    <d v="1899-12-30T14:40:04"/>
    <s v=" 313 2476415"/>
    <s v="Calle 109 21-85, 110111 Bogota, D.C., Colombia"/>
    <s v="DP"/>
    <n v="72.400000000000006"/>
    <s v="Cata"/>
    <x v="9"/>
    <x v="1"/>
    <s v="OK"/>
    <x v="3"/>
    <x v="114"/>
    <x v="0"/>
    <x v="0"/>
    <x v="0"/>
  </r>
  <r>
    <x v="119"/>
    <x v="119"/>
    <s v="Cédula de ciudadanía"/>
    <x v="119"/>
    <s v="Mujer"/>
    <n v="24"/>
    <b v="1"/>
    <m/>
    <s v="Bogotá"/>
    <s v="Universidad EAFIT"/>
    <m/>
    <s v="Comunicación social"/>
    <m/>
    <b v="0"/>
    <b v="0"/>
    <s v="Intermedio"/>
    <s v="Intermedio"/>
    <s v="Comunicaciones"/>
    <m/>
    <m/>
    <s v="Atracción de Talento y Marca Empleadora"/>
    <m/>
    <s v="Talento"/>
    <m/>
    <m/>
    <m/>
    <m/>
    <b v="0"/>
    <b v="0"/>
    <m/>
    <b v="0"/>
    <m/>
    <b v="0"/>
    <m/>
    <b v="0"/>
    <m/>
    <s v="LinkedIn"/>
    <s v="CREATÓN"/>
    <d v="2026-08-21T00:00:00"/>
    <d v="1899-12-30T09:57:06"/>
    <s v=" 322 5048635"/>
    <s v="Calle 61 Sur 44-70, 055450 Sabaneta, Colombia"/>
    <s v="DP"/>
    <n v="92.6"/>
    <s v="Cata"/>
    <x v="9"/>
    <x v="2"/>
    <s v="OK"/>
    <x v="12"/>
    <x v="115"/>
    <x v="0"/>
    <x v="0"/>
    <x v="0"/>
  </r>
  <r>
    <x v="120"/>
    <x v="120"/>
    <s v="Cédula de ciudadanía"/>
    <x v="120"/>
    <s v="Hombre"/>
    <n v="25"/>
    <b v="1"/>
    <s v="BOGOTÁ"/>
    <s v="Bogotá"/>
    <s v="Universidad Nacional de Colombia"/>
    <m/>
    <s v="Ingeniería Industrial"/>
    <m/>
    <b v="1"/>
    <b v="0"/>
    <s v="Avanzado"/>
    <s v="Intermedio"/>
    <s v="Tecnología"/>
    <m/>
    <m/>
    <m/>
    <m/>
    <s v="Ventas"/>
    <m/>
    <m/>
    <m/>
    <s v="Canal Moderno"/>
    <b v="0"/>
    <b v="0"/>
    <m/>
    <b v="0"/>
    <m/>
    <b v="0"/>
    <m/>
    <b v="0"/>
    <m/>
    <s v="Instagram"/>
    <s v="CREATÓN"/>
    <d v="2026-08-24T00:00:00"/>
    <d v="1899-12-30T18:19:03"/>
    <s v=" 300 8829579"/>
    <s v="Calle 142A 113C-50, 111141 Bogota, D.C., Colombia"/>
    <s v="DP"/>
    <n v="96.4"/>
    <s v="Cata"/>
    <x v="10"/>
    <x v="1"/>
    <s v="OK"/>
    <x v="10"/>
    <x v="116"/>
    <x v="0"/>
    <x v="0"/>
    <x v="1"/>
  </r>
  <r>
    <x v="121"/>
    <x v="121"/>
    <s v="Cédula de ciudadanía"/>
    <x v="121"/>
    <s v="Mujer"/>
    <n v="20"/>
    <b v="1"/>
    <s v="Guadalajara de Buga"/>
    <s v="Bogotá"/>
    <s v="Universidad del Valle"/>
    <m/>
    <s v="Otra"/>
    <s v="Comercio Exterior"/>
    <b v="0"/>
    <b v="0"/>
    <s v="Intermedio"/>
    <s v="Intermedio"/>
    <s v="Ventas"/>
    <m/>
    <m/>
    <m/>
    <s v="Canal Moderno"/>
    <s v="Compras"/>
    <m/>
    <m/>
    <m/>
    <m/>
    <b v="0"/>
    <b v="0"/>
    <m/>
    <b v="0"/>
    <m/>
    <b v="0"/>
    <m/>
    <b v="0"/>
    <m/>
    <s v="Instagram"/>
    <s v="CREATÓN"/>
    <d v="2026-09-12T00:00:00"/>
    <d v="1899-12-30T15:48:10"/>
    <s v=" 316 7886666"/>
    <n v="0"/>
    <s v="DP"/>
    <n v="77.900000000000006"/>
    <s v="Cata"/>
    <x v="10"/>
    <x v="1"/>
    <s v="OK"/>
    <x v="22"/>
    <x v="117"/>
    <x v="0"/>
    <x v="0"/>
    <x v="1"/>
  </r>
  <r>
    <x v="122"/>
    <x v="122"/>
    <s v="Cédula de ciudadanía"/>
    <x v="122"/>
    <s v="Hombre"/>
    <n v="21"/>
    <b v="1"/>
    <s v="ZIPAQUIRA"/>
    <s v="Bogotá"/>
    <s v="Escuela Colombiana de Ingeniería Julio Garavito"/>
    <m/>
    <s v="Ingeniería Industrial"/>
    <m/>
    <b v="1"/>
    <b v="0"/>
    <s v="Intermedio"/>
    <s v="Intermedio"/>
    <s v="Ventas"/>
    <m/>
    <m/>
    <m/>
    <s v="Ventas Comercial"/>
    <s v="Compras"/>
    <m/>
    <m/>
    <m/>
    <m/>
    <b v="0"/>
    <b v="0"/>
    <m/>
    <b v="0"/>
    <m/>
    <b v="0"/>
    <m/>
    <b v="0"/>
    <m/>
    <s v="Medios Tradicionales"/>
    <s v="CREATÓN"/>
    <d v="2026-08-31T00:00:00"/>
    <d v="1899-12-30T18:31:04"/>
    <s v=" 321 3063282"/>
    <s v="Avenida Carrera 15 6-72, 250252 Zipaquirá, Colombia"/>
    <s v="DP"/>
    <n v="88.5"/>
    <s v="Cata"/>
    <x v="10"/>
    <x v="2"/>
    <s v="OK"/>
    <x v="10"/>
    <x v="118"/>
    <x v="0"/>
    <x v="0"/>
    <x v="1"/>
  </r>
  <r>
    <x v="123"/>
    <x v="123"/>
    <s v="Cédula de ciudadanía"/>
    <x v="123"/>
    <s v="Mujer"/>
    <n v="22"/>
    <b v="1"/>
    <s v="Bogotá D.C."/>
    <s v="Bogotá"/>
    <s v="Colegio de Estudios Superiores de Administración CESA"/>
    <m/>
    <s v="Administración de Empresas"/>
    <m/>
    <b v="1"/>
    <b v="0"/>
    <s v="Avanzado"/>
    <s v="Intermedio"/>
    <s v="Marketing"/>
    <m/>
    <m/>
    <m/>
    <m/>
    <s v="Ventas"/>
    <m/>
    <m/>
    <m/>
    <s v="Canal Moderno"/>
    <b v="0"/>
    <b v="0"/>
    <m/>
    <b v="0"/>
    <m/>
    <b v="0"/>
    <m/>
    <b v="0"/>
    <m/>
    <s v="Otros"/>
    <s v="CREATÓN"/>
    <d v="2026-08-29T00:00:00"/>
    <d v="1899-12-30T12:02:01"/>
    <n v="0"/>
    <s v="Carrera 76A 135-55, 111121 Bogota, D.C., Colombia"/>
    <s v="DP"/>
    <n v="81.3"/>
    <s v="Cata"/>
    <x v="10"/>
    <x v="2"/>
    <s v="OK"/>
    <x v="3"/>
    <x v="2"/>
    <x v="0"/>
    <x v="0"/>
    <x v="1"/>
  </r>
  <r>
    <x v="124"/>
    <x v="124"/>
    <s v="Cédula de ciudadanía"/>
    <x v="124"/>
    <s v="Mujer"/>
    <n v="22"/>
    <b v="1"/>
    <s v="BOGOTA"/>
    <s v="Bogotá"/>
    <s v="Universidad Santo Tomás"/>
    <m/>
    <s v="Negocios Internacionales"/>
    <m/>
    <b v="1"/>
    <b v="0"/>
    <s v="Intermedio"/>
    <s v="Intermedio"/>
    <s v="Ventas"/>
    <m/>
    <m/>
    <m/>
    <s v="Canal Moderno"/>
    <s v="Marketing"/>
    <m/>
    <m/>
    <m/>
    <m/>
    <b v="0"/>
    <b v="0"/>
    <m/>
    <b v="0"/>
    <m/>
    <b v="0"/>
    <m/>
    <b v="0"/>
    <m/>
    <s v="Página Web Oficial"/>
    <s v="CREATÓN"/>
    <d v="2026-09-12T00:00:00"/>
    <d v="1899-12-30T14:40:04"/>
    <n v="3115317009"/>
    <s v="Carrera 10A 28 S-16, 111821 Bogota, D.C., Colombia"/>
    <s v="DP"/>
    <n v="71.900000000000006"/>
    <s v="Cata"/>
    <x v="10"/>
    <x v="1"/>
    <s v="OK"/>
    <x v="5"/>
    <x v="119"/>
    <x v="0"/>
    <x v="0"/>
    <x v="1"/>
  </r>
  <r>
    <x v="125"/>
    <x v="125"/>
    <s v="Cédula de ciudadanía"/>
    <x v="125"/>
    <s v="Mujer"/>
    <n v="22"/>
    <b v="1"/>
    <s v="BOGOTA"/>
    <s v="Bogotá"/>
    <s v="Universidad de los Andes"/>
    <m/>
    <s v="Ingeniería Industrial"/>
    <m/>
    <b v="0"/>
    <b v="0"/>
    <s v="Avanzado"/>
    <s v="Avanzado"/>
    <s v="Ventas"/>
    <m/>
    <m/>
    <m/>
    <s v="BEES"/>
    <s v="Asuntos Corporativos"/>
    <m/>
    <m/>
    <m/>
    <m/>
    <b v="0"/>
    <b v="0"/>
    <m/>
    <b v="0"/>
    <m/>
    <b v="0"/>
    <m/>
    <b v="0"/>
    <m/>
    <s v="LinkedIn"/>
    <s v="CREATÓN"/>
    <d v="2026-09-04T00:00:00"/>
    <d v="1899-12-30T05:59:04"/>
    <s v=" 310 2914103"/>
    <s v="Carrera 2 76A, Bogota, D.C., Colombia"/>
    <s v="DP"/>
    <n v="97.4"/>
    <s v="Cata"/>
    <x v="8"/>
    <x v="2"/>
    <s v="OK"/>
    <x v="10"/>
    <x v="120"/>
    <x v="0"/>
    <x v="0"/>
    <x v="1"/>
  </r>
  <r>
    <x v="126"/>
    <x v="126"/>
    <s v="Cédula de ciudadanía"/>
    <x v="126"/>
    <s v="Mujer"/>
    <n v="22"/>
    <b v="1"/>
    <s v="BOGOTA"/>
    <s v="Bogotá"/>
    <s v="Universidad de los Andes"/>
    <m/>
    <s v="Ingeniería Industrial"/>
    <m/>
    <b v="0"/>
    <b v="0"/>
    <s v="Avanzado"/>
    <s v="Avanzado"/>
    <s v="Ventas"/>
    <m/>
    <m/>
    <m/>
    <s v="BEES"/>
    <s v="Ventas"/>
    <m/>
    <m/>
    <m/>
    <s v="Canal Moderno"/>
    <b v="0"/>
    <b v="0"/>
    <m/>
    <b v="0"/>
    <m/>
    <b v="0"/>
    <m/>
    <b v="0"/>
    <m/>
    <s v="Página Web Oficial"/>
    <s v="CREATÓN"/>
    <d v="2026-09-05T00:00:00"/>
    <d v="1899-12-30T08:41:07"/>
    <n v="3008056207"/>
    <s v="Calle 101 16-84, 110111 Bogota, D.C., Colombia"/>
    <s v="DP"/>
    <n v="88.2"/>
    <s v="Cata"/>
    <x v="8"/>
    <x v="2"/>
    <s v="OK"/>
    <x v="10"/>
    <x v="121"/>
    <x v="0"/>
    <x v="0"/>
    <x v="1"/>
  </r>
  <r>
    <x v="127"/>
    <x v="127"/>
    <s v="Cédula de ciudadanía"/>
    <x v="127"/>
    <s v="Hombre"/>
    <n v="23"/>
    <b v="1"/>
    <s v="BOGOTA"/>
    <s v="Bogotá"/>
    <s v="Pontificia Universidad Javeriana"/>
    <m/>
    <s v="Ingeniería Industrial"/>
    <m/>
    <b v="0"/>
    <b v="0"/>
    <s v="Avanzado"/>
    <s v="Avanzado"/>
    <s v="Marketing"/>
    <m/>
    <m/>
    <m/>
    <m/>
    <s v="Ventas"/>
    <m/>
    <m/>
    <m/>
    <s v="Ventas Comercial"/>
    <b v="0"/>
    <b v="0"/>
    <m/>
    <b v="0"/>
    <m/>
    <b v="0"/>
    <m/>
    <b v="0"/>
    <m/>
    <s v="Medios Tradicionales"/>
    <s v="CREATÓN"/>
    <d v="2026-09-13T00:00:00"/>
    <d v="1899-12-30T08:48:21"/>
    <s v=" 302 8361979"/>
    <s v="Bogota, D.C., Colombia"/>
    <s v="DP"/>
    <n v="82.8"/>
    <s v="Cata"/>
    <x v="8"/>
    <x v="2"/>
    <s v="OK"/>
    <x v="10"/>
    <x v="122"/>
    <x v="0"/>
    <x v="0"/>
    <x v="1"/>
  </r>
  <r>
    <x v="128"/>
    <x v="128"/>
    <s v="Cédula de ciudadanía"/>
    <x v="128"/>
    <s v="Mujer"/>
    <n v="22"/>
    <b v="1"/>
    <s v="BOGOTA"/>
    <s v="Bogotá"/>
    <s v="Colegio de Estudios Superiores de Administración CESA"/>
    <m/>
    <s v="Administración de Empresas"/>
    <m/>
    <b v="1"/>
    <b v="0"/>
    <s v="Avanzado"/>
    <s v="Intermedio"/>
    <s v="Ventas"/>
    <m/>
    <m/>
    <m/>
    <s v="BEES"/>
    <s v="Compras"/>
    <m/>
    <m/>
    <m/>
    <m/>
    <b v="0"/>
    <b v="0"/>
    <m/>
    <b v="0"/>
    <m/>
    <b v="0"/>
    <m/>
    <b v="0"/>
    <m/>
    <s v="Otros"/>
    <s v="CREATÓN"/>
    <d v="2026-08-30T00:00:00"/>
    <d v="1899-12-30T20:50:08"/>
    <s v=" 318 3239712"/>
    <s v="Carrera 9-86, 110221 Bogota, D.C., Colombia"/>
    <s v="DP"/>
    <n v="98.8"/>
    <s v="Santi"/>
    <x v="8"/>
    <x v="2"/>
    <s v="OK"/>
    <x v="3"/>
    <x v="123"/>
    <x v="0"/>
    <x v="0"/>
    <x v="1"/>
  </r>
  <r>
    <x v="129"/>
    <x v="129"/>
    <s v="Cédula de ciudadanía"/>
    <x v="129"/>
    <s v="Hombre"/>
    <n v="22"/>
    <b v="1"/>
    <s v="BOGOTA"/>
    <s v="Bogotá"/>
    <s v="Pontificia Universidad Javeriana"/>
    <m/>
    <s v="Economía"/>
    <m/>
    <b v="0"/>
    <b v="0"/>
    <s v="Avanzado"/>
    <s v="Avanzado"/>
    <s v="Ventas"/>
    <m/>
    <m/>
    <m/>
    <s v="BEES"/>
    <s v="Tecnología"/>
    <m/>
    <m/>
    <m/>
    <m/>
    <b v="0"/>
    <b v="0"/>
    <m/>
    <b v="0"/>
    <m/>
    <b v="0"/>
    <m/>
    <b v="0"/>
    <m/>
    <s v="Otros"/>
    <s v="CREATÓN"/>
    <d v="2026-09-11T00:00:00"/>
    <d v="1899-12-30T15:37:04"/>
    <s v=" 312 7048442"/>
    <s v="Edificio Sabana, 111111 Bogota, D.C., Colombia"/>
    <s v="DP"/>
    <n v="97.6"/>
    <s v="Cata"/>
    <x v="8"/>
    <x v="1"/>
    <s v="OK"/>
    <x v="1"/>
    <x v="124"/>
    <x v="0"/>
    <x v="0"/>
    <x v="1"/>
  </r>
  <r>
    <x v="130"/>
    <x v="130"/>
    <s v="Cédula de ciudadanía"/>
    <x v="130"/>
    <s v="Hombre"/>
    <n v="21"/>
    <b v="1"/>
    <s v="BOGOTA"/>
    <s v="Bogotá"/>
    <s v="Universidad de los Andes"/>
    <m/>
    <s v="Otra"/>
    <s v="Doble carrera: Administracion de empresas y economia"/>
    <b v="0"/>
    <b v="0"/>
    <s v="Avanzado"/>
    <s v="Avanzado"/>
    <s v="Marketing"/>
    <m/>
    <m/>
    <m/>
    <m/>
    <s v="Ventas"/>
    <m/>
    <m/>
    <m/>
    <s v="BEES"/>
    <b v="0"/>
    <b v="0"/>
    <m/>
    <b v="0"/>
    <m/>
    <b v="0"/>
    <m/>
    <b v="0"/>
    <m/>
    <s v="LinkedIn"/>
    <s v="CREATÓN"/>
    <d v="2026-09-13T00:00:00"/>
    <d v="1899-12-30T13:55:44"/>
    <s v=" 301 7846892"/>
    <s v="Calle 168 9-71, 110131 Bogota, D.C., Colombia"/>
    <s v="DP"/>
    <n v="94.4"/>
    <s v="Cata"/>
    <x v="8"/>
    <x v="0"/>
    <s v="OK"/>
    <x v="23"/>
    <x v="125"/>
    <x v="0"/>
    <x v="0"/>
    <x v="1"/>
  </r>
  <r>
    <x v="131"/>
    <x v="131"/>
    <s v="Cédula de ciudadanía"/>
    <x v="131"/>
    <s v="Hombre"/>
    <n v="21"/>
    <b v="1"/>
    <s v="BOGOTA"/>
    <s v="Bogotá"/>
    <s v="Universidad Nacional de Colombia"/>
    <m/>
    <s v="Administración de Empresas"/>
    <m/>
    <b v="1"/>
    <b v="0"/>
    <s v="Intermedio"/>
    <s v="Intermedi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LinkedIn"/>
    <s v="CREATÓN"/>
    <d v="2026-09-10T00:00:00"/>
    <d v="1899-12-30T12:31:09"/>
    <n v="3102656668"/>
    <s v="Carrera 49G 68D S-52, 111931 Bogota, D.C., Colombia"/>
    <s v="DP"/>
    <n v="80.900000000000006"/>
    <s v="Cata"/>
    <x v="2"/>
    <x v="1"/>
    <s v="OK"/>
    <x v="3"/>
    <x v="126"/>
    <x v="0"/>
    <x v="0"/>
    <x v="0"/>
  </r>
  <r>
    <x v="132"/>
    <x v="132"/>
    <s v="Cédula de ciudadanía"/>
    <x v="132"/>
    <s v="Mujer"/>
    <n v="24"/>
    <b v="1"/>
    <s v="BOGOTÁ"/>
    <s v="Bogotá"/>
    <s v="Escuela Colombiana de Ingeniería Julio Garavito"/>
    <m/>
    <s v="Ingeniería Industrial"/>
    <m/>
    <b v="1"/>
    <b v="0"/>
    <s v="Intermedio"/>
    <s v="Intermedio"/>
    <s v="Compras"/>
    <m/>
    <m/>
    <s v="Compensación y Beneficios"/>
    <m/>
    <s v="Talento"/>
    <m/>
    <m/>
    <m/>
    <m/>
    <b v="0"/>
    <b v="0"/>
    <m/>
    <b v="0"/>
    <m/>
    <b v="0"/>
    <m/>
    <b v="0"/>
    <m/>
    <s v="Instagram"/>
    <s v="CREATÓN"/>
    <d v="2026-09-01T00:00:00"/>
    <d v="1899-12-30T13:23:18"/>
    <n v="3115472685"/>
    <s v="Diagonal 89B 116A-10, 111011 Bogota, D.C., Colombia"/>
    <s v="DP"/>
    <n v="86.4"/>
    <s v="Cata"/>
    <x v="2"/>
    <x v="2"/>
    <s v="OK"/>
    <x v="10"/>
    <x v="127"/>
    <x v="0"/>
    <x v="0"/>
    <x v="0"/>
  </r>
  <r>
    <x v="133"/>
    <x v="133"/>
    <s v="Cédula de ciudadanía"/>
    <x v="133"/>
    <s v="Mujer"/>
    <n v="23"/>
    <b v="1"/>
    <s v="BOGOTÁ"/>
    <s v="Bogotá"/>
    <s v="Universidad Nacional de Colombia"/>
    <m/>
    <s v="Contaduría Pública"/>
    <m/>
    <b v="1"/>
    <b v="0"/>
    <s v="Intermedio"/>
    <s v="Intermedio"/>
    <s v="Finanzas"/>
    <m/>
    <m/>
    <m/>
    <m/>
    <s v="Compras"/>
    <m/>
    <s v="Finanzas Impuestos"/>
    <m/>
    <m/>
    <b v="0"/>
    <b v="0"/>
    <m/>
    <b v="0"/>
    <m/>
    <b v="0"/>
    <m/>
    <b v="0"/>
    <m/>
    <s v="LinkedIn"/>
    <s v="CREATÓN"/>
    <d v="2026-09-12T00:00:00"/>
    <d v="1899-12-30T12:24:10"/>
    <s v=" 322 2115510"/>
    <s v="Calle 64 112B-47, 111031 Bogota, D.C., Colombia"/>
    <s v="DP"/>
    <n v="83"/>
    <s v="Cata"/>
    <x v="3"/>
    <x v="1"/>
    <s v="OK"/>
    <x v="21"/>
    <x v="128"/>
    <x v="0"/>
    <x v="0"/>
    <x v="0"/>
  </r>
  <r>
    <x v="134"/>
    <x v="134"/>
    <s v="Cédula de ciudadanía"/>
    <x v="134"/>
    <s v="Hombre"/>
    <n v="22"/>
    <b v="1"/>
    <s v="BOGOTÁ"/>
    <s v="Bogotá"/>
    <s v="Universidad de La Sabana"/>
    <m/>
    <s v="Negocios Internacionales"/>
    <m/>
    <b v="0"/>
    <b v="0"/>
    <s v="Avanzado"/>
    <s v="Avanzado"/>
    <s v="Compras"/>
    <m/>
    <m/>
    <m/>
    <m/>
    <s v="Ventas"/>
    <m/>
    <m/>
    <m/>
    <s v="Ventas Comercial"/>
    <b v="0"/>
    <b v="0"/>
    <m/>
    <b v="0"/>
    <m/>
    <b v="0"/>
    <m/>
    <b v="0"/>
    <m/>
    <s v="TikTok"/>
    <s v="CREATÓN"/>
    <d v="2026-09-07T00:00:00"/>
    <d v="1899-12-30T12:39:49"/>
    <s v=" 320 3014062"/>
    <s v="Calle 122 11D, Bogota, D.C., Colombia"/>
    <s v="DP"/>
    <n v="96.5"/>
    <s v="Cata"/>
    <x v="3"/>
    <x v="0"/>
    <s v="OK"/>
    <x v="5"/>
    <x v="129"/>
    <x v="0"/>
    <x v="0"/>
    <x v="0"/>
  </r>
  <r>
    <x v="135"/>
    <x v="135"/>
    <s v="Cédula de ciudadanía"/>
    <x v="135"/>
    <s v="Mujer"/>
    <n v="21"/>
    <b v="1"/>
    <s v="BOGOTÁ"/>
    <s v="Bogotá"/>
    <s v="Universidad Externado de Colombia"/>
    <m/>
    <s v="Finanzas"/>
    <m/>
    <b v="1"/>
    <b v="0"/>
    <s v="Intermedio"/>
    <s v="Avanzado"/>
    <s v="Finanzas"/>
    <m/>
    <m/>
    <m/>
    <m/>
    <s v="Compras"/>
    <m/>
    <s v="Finanzas Impuestos"/>
    <m/>
    <m/>
    <b v="0"/>
    <b v="0"/>
    <m/>
    <b v="0"/>
    <m/>
    <b v="0"/>
    <m/>
    <b v="0"/>
    <m/>
    <s v="Otros"/>
    <s v="CREATÓN"/>
    <d v="2026-08-25T00:00:00"/>
    <d v="1899-12-30T08:06:56"/>
    <s v=" 317 6543024"/>
    <s v="Calle 103A 19A-43, 110111 Bogota, D.C., Colombia"/>
    <s v="DP"/>
    <n v="86.6"/>
    <s v="Cata"/>
    <x v="3"/>
    <x v="2"/>
    <s v="OK"/>
    <x v="2"/>
    <x v="130"/>
    <x v="0"/>
    <x v="0"/>
    <x v="0"/>
  </r>
  <r>
    <x v="136"/>
    <x v="136"/>
    <s v="Cédula de ciudadanía"/>
    <x v="136"/>
    <s v="Hombre"/>
    <n v="20"/>
    <b v="1"/>
    <s v="Bogotá, D.C."/>
    <s v="Bogotá"/>
    <s v="Universidad Externado de Colombia"/>
    <m/>
    <s v="Economía"/>
    <m/>
    <b v="1"/>
    <b v="0"/>
    <s v="Intermedio"/>
    <s v="Intermedio"/>
    <s v="Finanzas"/>
    <m/>
    <m/>
    <m/>
    <m/>
    <s v="Compras"/>
    <m/>
    <s v="Finanzas Impuestos"/>
    <m/>
    <m/>
    <b v="0"/>
    <b v="0"/>
    <m/>
    <b v="0"/>
    <m/>
    <b v="0"/>
    <m/>
    <b v="0"/>
    <m/>
    <s v="Otros"/>
    <s v="CREATÓN"/>
    <d v="2026-08-30T00:00:00"/>
    <d v="1899-12-30T20:50:09"/>
    <s v=" 322 2463206"/>
    <s v="Carrera 84 41A S-57, 110851 Bogota, D.C., Colombia"/>
    <s v="DP"/>
    <n v="90.4"/>
    <s v="Santi"/>
    <x v="3"/>
    <x v="2"/>
    <s v="OK"/>
    <x v="1"/>
    <x v="131"/>
    <x v="0"/>
    <x v="0"/>
    <x v="0"/>
  </r>
  <r>
    <x v="137"/>
    <x v="137"/>
    <s v="Cédula de ciudadanía"/>
    <x v="137"/>
    <s v="Hombre"/>
    <n v="21"/>
    <b v="1"/>
    <s v="BUCARAMANGA"/>
    <s v="Bogotá"/>
    <s v="Universidad Santo Tomás"/>
    <m/>
    <s v="Negocios Internacionales"/>
    <m/>
    <b v="0"/>
    <b v="0"/>
    <s v="Avanzado"/>
    <s v="Avanzado"/>
    <s v="Logística"/>
    <m/>
    <m/>
    <m/>
    <m/>
    <s v="Compras"/>
    <m/>
    <m/>
    <m/>
    <m/>
    <b v="0"/>
    <b v="0"/>
    <m/>
    <b v="0"/>
    <m/>
    <b v="0"/>
    <m/>
    <b v="0"/>
    <m/>
    <s v="Página Web Oficial"/>
    <s v="CREATÓN"/>
    <d v="2026-08-26T00:00:00"/>
    <d v="1899-12-30T17:46:05"/>
    <n v="3188342981"/>
    <s v="Bucaramanga, Colombia"/>
    <s v="DP"/>
    <n v="85.2"/>
    <s v="Santi"/>
    <x v="3"/>
    <x v="2"/>
    <s v="OK"/>
    <x v="5"/>
    <x v="132"/>
    <x v="0"/>
    <x v="0"/>
    <x v="0"/>
  </r>
  <r>
    <x v="138"/>
    <x v="138"/>
    <s v="Cédula de ciudadanía"/>
    <x v="138"/>
    <s v="Mujer"/>
    <n v="20"/>
    <b v="1"/>
    <s v="Ibagué"/>
    <s v="Bogotá"/>
    <s v="Otra"/>
    <s v="Universidad del Tolima"/>
    <s v="Economía"/>
    <m/>
    <b v="0"/>
    <b v="0"/>
    <s v="Intermedio"/>
    <s v="Avanzado"/>
    <s v="Compras"/>
    <m/>
    <s v="Finanzas Impuestos"/>
    <m/>
    <m/>
    <s v="Finanzas"/>
    <m/>
    <m/>
    <m/>
    <m/>
    <b v="0"/>
    <b v="0"/>
    <m/>
    <b v="0"/>
    <m/>
    <b v="0"/>
    <m/>
    <b v="0"/>
    <m/>
    <s v="Otros"/>
    <s v="CREATÓN"/>
    <d v="2026-09-13T00:00:00"/>
    <d v="1899-12-30T15:22:07"/>
    <s v=" 313 2658972"/>
    <s v="Carrera 8 46-45, 730001 Ibague, Colombia"/>
    <s v="DP"/>
    <n v="95.4"/>
    <s v="Cata"/>
    <x v="3"/>
    <x v="2"/>
    <s v="OK"/>
    <x v="1"/>
    <x v="133"/>
    <x v="0"/>
    <x v="0"/>
    <x v="0"/>
  </r>
  <r>
    <x v="139"/>
    <x v="139"/>
    <s v="Cédula de ciudadanía"/>
    <x v="139"/>
    <s v="Hombre"/>
    <n v="20"/>
    <b v="1"/>
    <s v="BOGOTA"/>
    <s v="Bogotá"/>
    <s v="Universidad de La Sabana"/>
    <m/>
    <s v="Ingeniería Industrial"/>
    <m/>
    <b v="0"/>
    <b v="0"/>
    <s v="Avanzado"/>
    <s v="Avanzado"/>
    <s v="Compras"/>
    <m/>
    <m/>
    <m/>
    <m/>
    <s v="Producción (Operaciones)"/>
    <s v="Elaboración"/>
    <m/>
    <m/>
    <m/>
    <b v="0"/>
    <b v="0"/>
    <m/>
    <b v="0"/>
    <m/>
    <b v="0"/>
    <m/>
    <b v="0"/>
    <m/>
    <s v="LinkedIn"/>
    <s v="CREATÓN"/>
    <d v="2026-08-26T00:00:00"/>
    <d v="1899-12-30T17:46:05"/>
    <s v=" 317 5558997"/>
    <s v="Calle 117A 10-42, 110111 Bogota, D.C., Colombia"/>
    <s v="DP"/>
    <n v="92.5"/>
    <s v="Cata"/>
    <x v="3"/>
    <x v="2"/>
    <s v="OK"/>
    <x v="10"/>
    <x v="134"/>
    <x v="0"/>
    <x v="0"/>
    <x v="0"/>
  </r>
  <r>
    <x v="140"/>
    <x v="140"/>
    <s v="Cédula de ciudadanía"/>
    <x v="140"/>
    <s v="Mujer"/>
    <n v="21"/>
    <b v="1"/>
    <s v="BOGOTÁ"/>
    <s v="Bogotá"/>
    <s v="Universidad de La Sabana"/>
    <m/>
    <s v="Administración de Empresas"/>
    <m/>
    <b v="0"/>
    <b v="0"/>
    <s v="Avanzado"/>
    <s v="Avanzado"/>
    <s v="Marketing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9-12T00:00:00"/>
    <d v="1899-12-30T14:30:18"/>
    <s v=" 315 4058269"/>
    <s v="Avenida Carrera 9 146-45, 110121 Bogota, D.C., Colombia"/>
    <s v="DP"/>
    <n v="95.2"/>
    <s v="Cata"/>
    <x v="4"/>
    <x v="2"/>
    <s v="OK"/>
    <x v="3"/>
    <x v="135"/>
    <x v="0"/>
    <x v="0"/>
    <x v="1"/>
  </r>
  <r>
    <x v="141"/>
    <x v="141"/>
    <s v="Cédula de ciudadanía"/>
    <x v="141"/>
    <s v="Mujer"/>
    <n v="21"/>
    <b v="1"/>
    <m/>
    <s v="Bogotá"/>
    <s v="Politécnico Grancolombiano"/>
    <m/>
    <s v="Marketing / Mercadeo"/>
    <m/>
    <b v="0"/>
    <b v="0"/>
    <s v="Intermedio"/>
    <s v="Básic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22T00:00:00"/>
    <d v="1899-12-30T15:44:05"/>
    <s v=" 320 3445667"/>
    <s v="Calle 2-45, 250040 Mosquera, Colombia"/>
    <s v="DP"/>
    <n v="83.8"/>
    <s v="Cata"/>
    <x v="4"/>
    <x v="1"/>
    <s v="OK"/>
    <x v="4"/>
    <x v="136"/>
    <x v="0"/>
    <x v="0"/>
    <x v="1"/>
  </r>
  <r>
    <x v="142"/>
    <x v="142"/>
    <s v="Cédula de ciudadanía"/>
    <x v="142"/>
    <s v="Hombre"/>
    <n v="24"/>
    <b v="1"/>
    <s v="BOGOTA"/>
    <s v="Bogotá"/>
    <s v="Universidad de los Andes"/>
    <m/>
    <s v="Administración de Empresas"/>
    <m/>
    <b v="0"/>
    <b v="0"/>
    <s v="Avanzado"/>
    <s v="Avanzado"/>
    <s v="Marketing"/>
    <m/>
    <m/>
    <m/>
    <m/>
    <s v="Comunicaciones"/>
    <m/>
    <m/>
    <m/>
    <m/>
    <b v="0"/>
    <b v="0"/>
    <m/>
    <b v="0"/>
    <m/>
    <b v="0"/>
    <m/>
    <b v="0"/>
    <m/>
    <s v="Medios Tradicionales"/>
    <s v="CREATÓN"/>
    <d v="2026-09-08T00:00:00"/>
    <d v="1899-12-30T07:47:07"/>
    <s v=" 350 3378727"/>
    <s v="110221 Bogota, D.C., Colombia"/>
    <s v="DP"/>
    <n v="85.9"/>
    <s v="Cata"/>
    <x v="4"/>
    <x v="2"/>
    <s v="OK"/>
    <x v="3"/>
    <x v="137"/>
    <x v="0"/>
    <x v="0"/>
    <x v="1"/>
  </r>
  <r>
    <x v="143"/>
    <x v="143"/>
    <s v="Cédula de ciudadanía"/>
    <x v="143"/>
    <s v="Hombre"/>
    <n v="22"/>
    <b v="1"/>
    <s v="BOGOTA"/>
    <s v="Bogotá"/>
    <s v="Politécnico Grancolombiano"/>
    <m/>
    <s v="Marketing / Mercadeo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9-12T00:00:00"/>
    <d v="1899-12-30T17:33:31"/>
    <s v=" 311 6685541"/>
    <s v="Calle 145A 13A-70, 110121 Bogota, D.C., Colombia"/>
    <s v="DP"/>
    <n v="78.2"/>
    <s v="Cata"/>
    <x v="4"/>
    <x v="1"/>
    <s v="OK"/>
    <x v="4"/>
    <x v="138"/>
    <x v="0"/>
    <x v="0"/>
    <x v="1"/>
  </r>
  <r>
    <x v="144"/>
    <x v="144"/>
    <s v="Cédula de ciudadanía"/>
    <x v="144"/>
    <s v="Mujer"/>
    <n v="20"/>
    <b v="1"/>
    <s v="BOGOTA"/>
    <s v="Bogotá"/>
    <s v="Fundación Universitaria Konrad Lorenz"/>
    <m/>
    <s v="Ingeniería Industrial"/>
    <m/>
    <b v="1"/>
    <b v="0"/>
    <s v="Intermedio"/>
    <s v="Intermedio"/>
    <s v="Talento"/>
    <m/>
    <m/>
    <m/>
    <m/>
    <s v="Logística"/>
    <m/>
    <m/>
    <s v="Área financiera"/>
    <m/>
    <b v="0"/>
    <b v="0"/>
    <m/>
    <b v="0"/>
    <m/>
    <b v="0"/>
    <m/>
    <b v="0"/>
    <m/>
    <s v="Página Web Oficial"/>
    <s v="CREATÓN"/>
    <d v="2026-09-09T00:00:00"/>
    <d v="1899-12-30T07:37:07"/>
    <s v=" 311 8825484"/>
    <s v="Calle 152 56-75, 111156 Bogota, D.C., Colombia"/>
    <s v="DP"/>
    <n v="98.2"/>
    <s v="Santi"/>
    <x v="5"/>
    <x v="1"/>
    <s v="OK"/>
    <x v="10"/>
    <x v="139"/>
    <x v="0"/>
    <x v="0"/>
    <x v="0"/>
  </r>
  <r>
    <x v="145"/>
    <x v="145"/>
    <s v="Cédula de ciudadanía"/>
    <x v="145"/>
    <s v="Hombre"/>
    <n v="22"/>
    <b v="1"/>
    <s v="VILLAVICENCIO"/>
    <s v="Bogotá"/>
    <s v="Universidad Santo Tomás"/>
    <m/>
    <s v="Negocios Internacionales"/>
    <m/>
    <b v="1"/>
    <b v="0"/>
    <s v="Avanzado"/>
    <s v="Avanzado"/>
    <s v="Logística"/>
    <m/>
    <m/>
    <m/>
    <m/>
    <s v="Asuntos Corporativos"/>
    <m/>
    <m/>
    <m/>
    <m/>
    <b v="0"/>
    <b v="0"/>
    <m/>
    <b v="0"/>
    <m/>
    <b v="0"/>
    <m/>
    <b v="0"/>
    <m/>
    <s v="Otros"/>
    <s v="CREATÓN"/>
    <d v="2026-09-10T00:00:00"/>
    <d v="1899-12-30T10:27:26"/>
    <s v=" 322 4541839"/>
    <s v="Iglesia Restrepo Meta, 501031 Restrepo, Colombia"/>
    <s v="DP"/>
    <n v="92.5"/>
    <s v="Cata"/>
    <x v="5"/>
    <x v="2"/>
    <s v="OK"/>
    <x v="5"/>
    <x v="140"/>
    <x v="0"/>
    <x v="0"/>
    <x v="0"/>
  </r>
  <r>
    <x v="146"/>
    <x v="146"/>
    <s v="Cédula de ciudadanía"/>
    <x v="146"/>
    <s v="Mujer"/>
    <n v="21"/>
    <b v="1"/>
    <m/>
    <s v="Bogotá"/>
    <s v="Universidad de La Sabana"/>
    <m/>
    <s v="Negocios Internacionales"/>
    <m/>
    <b v="0"/>
    <b v="0"/>
    <s v="Avanzado"/>
    <s v="Avanzado"/>
    <s v="Logística"/>
    <m/>
    <m/>
    <m/>
    <m/>
    <s v="Asuntos Corporativos"/>
    <m/>
    <m/>
    <m/>
    <m/>
    <b v="0"/>
    <b v="0"/>
    <m/>
    <b v="0"/>
    <m/>
    <b v="0"/>
    <m/>
    <b v="0"/>
    <m/>
    <s v="LinkedIn"/>
    <s v="CREATÓN"/>
    <d v="2026-09-10T00:00:00"/>
    <d v="1899-12-30T07:24:52"/>
    <s v=" 311 5366519"/>
    <s v="Calle 134A 18-51, 110121 Bogota, D.C., Colombia"/>
    <s v="DP"/>
    <n v="89.4"/>
    <s v="Cata"/>
    <x v="5"/>
    <x v="1"/>
    <s v="OK"/>
    <x v="5"/>
    <x v="141"/>
    <x v="0"/>
    <x v="0"/>
    <x v="0"/>
  </r>
  <r>
    <x v="147"/>
    <x v="147"/>
    <s v="Cédula de ciudadanía"/>
    <x v="147"/>
    <s v="Mujer"/>
    <n v="22"/>
    <b v="1"/>
    <s v="BOGOTA"/>
    <s v="Bogotá"/>
    <s v="Universidad de los Andes"/>
    <m/>
    <s v="Psicología"/>
    <m/>
    <b v="0"/>
    <b v="0"/>
    <s v="Intermedio"/>
    <s v="Básico"/>
    <s v="Talento"/>
    <m/>
    <m/>
    <s v="Atracción de Talento y Marca Empleadora"/>
    <m/>
    <s v="Talento"/>
    <m/>
    <m/>
    <s v="Support"/>
    <m/>
    <b v="0"/>
    <b v="0"/>
    <m/>
    <b v="0"/>
    <m/>
    <b v="0"/>
    <m/>
    <b v="0"/>
    <m/>
    <s v="Instagram"/>
    <s v="CREATÓN"/>
    <d v="2026-09-13T00:00:00"/>
    <d v="1899-12-30T12:22:22"/>
    <s v=" 320 8538594"/>
    <s v="Carrera 11B 123-30, 110111 Bogota, D.C., Colombia"/>
    <s v="DP"/>
    <n v="71.5"/>
    <s v="Cata"/>
    <x v="11"/>
    <x v="1"/>
    <s v="OK"/>
    <x v="9"/>
    <x v="142"/>
    <x v="0"/>
    <x v="0"/>
    <x v="0"/>
  </r>
  <r>
    <x v="148"/>
    <x v="148"/>
    <s v="Cédula de ciudadanía"/>
    <x v="148"/>
    <s v="Mujer"/>
    <n v="21"/>
    <b v="1"/>
    <s v="Bogota/Chia"/>
    <s v="Bogotá"/>
    <s v="Universidad de La Sabana"/>
    <m/>
    <s v="Psicología"/>
    <m/>
    <b v="0"/>
    <b v="0"/>
    <s v="Avanzado"/>
    <s v="Básico"/>
    <s v="Talento"/>
    <m/>
    <m/>
    <m/>
    <m/>
    <s v="Asuntos Corporativos"/>
    <m/>
    <m/>
    <s v="Atracción de Talento y Marca Empleadora"/>
    <m/>
    <b v="0"/>
    <b v="0"/>
    <m/>
    <b v="0"/>
    <m/>
    <b v="0"/>
    <m/>
    <b v="0"/>
    <m/>
    <s v="Instagram"/>
    <s v="CREATÓN"/>
    <d v="2026-09-09T00:00:00"/>
    <d v="1899-12-30T18:16:54"/>
    <s v=" 301 5379266"/>
    <s v="Vereda La Balsa, Chía, Colombia"/>
    <s v="DP"/>
    <n v="93.7"/>
    <s v="Cata"/>
    <x v="6"/>
    <x v="1"/>
    <s v="OK"/>
    <x v="9"/>
    <x v="143"/>
    <x v="0"/>
    <x v="0"/>
    <x v="1"/>
  </r>
  <r>
    <x v="149"/>
    <x v="149"/>
    <s v="Cédula de ciudadanía"/>
    <x v="149"/>
    <s v="Mujer"/>
    <n v="20"/>
    <b v="1"/>
    <s v="BOGOTÁ"/>
    <s v="Bogotá"/>
    <s v="Universidad de La Sabana"/>
    <m/>
    <s v="Comunicación social"/>
    <m/>
    <b v="0"/>
    <b v="0"/>
    <s v="Avanzado"/>
    <s v="Intermedio"/>
    <s v="Asuntos corporativos"/>
    <m/>
    <m/>
    <m/>
    <m/>
    <s v="Comunicaciones"/>
    <m/>
    <m/>
    <m/>
    <m/>
    <b v="0"/>
    <b v="0"/>
    <m/>
    <b v="0"/>
    <m/>
    <b v="0"/>
    <m/>
    <b v="0"/>
    <m/>
    <s v="Instagram"/>
    <s v="CREATÓN"/>
    <d v="2026-08-27T00:00:00"/>
    <d v="1899-12-30T13:19:03"/>
    <s v=" 322 2332441"/>
    <s v="Carrera 6 183-80, 110141 Bogota, D.C., Colombia"/>
    <s v="DP"/>
    <n v="88.1"/>
    <s v="Cata"/>
    <x v="12"/>
    <x v="1"/>
    <s v="OK"/>
    <x v="12"/>
    <x v="144"/>
    <x v="1"/>
    <x v="0"/>
    <x v="2"/>
  </r>
  <r>
    <x v="150"/>
    <x v="150"/>
    <s v="Cédula de ciudadanía"/>
    <x v="150"/>
    <s v="Mujer"/>
    <n v="23"/>
    <b v="1"/>
    <s v="BOGOTA"/>
    <s v="Bogotá"/>
    <s v="Universidad del Rosario"/>
    <m/>
    <s v="Administración de Empresas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Medios Tradicionales"/>
    <s v="CREATÓN"/>
    <d v="2026-08-26T00:00:00"/>
    <d v="1899-12-30T16:13:06"/>
    <s v=" 318 4422562"/>
    <s v="Calle 159 54-81, 111156 Bogota, D.C., Colombia"/>
    <s v="DP"/>
    <n v="83"/>
    <s v="Cata"/>
    <x v="12"/>
    <x v="1"/>
    <s v="OK"/>
    <x v="3"/>
    <x v="145"/>
    <x v="1"/>
    <x v="0"/>
    <x v="2"/>
  </r>
  <r>
    <x v="151"/>
    <x v="151"/>
    <s v="Cédula de ciudadanía"/>
    <x v="151"/>
    <s v="Mujer"/>
    <n v="22"/>
    <b v="1"/>
    <s v="Barranquilla"/>
    <s v="Bogotá"/>
    <s v="Otra"/>
    <s v="Universidad de la costa CUC"/>
    <s v="Administración de Empresas"/>
    <m/>
    <b v="0"/>
    <b v="0"/>
    <s v="Básico"/>
    <s v="Intermedio"/>
    <s v="Talento"/>
    <m/>
    <m/>
    <m/>
    <m/>
    <s v="Asuntos Corporativos"/>
    <m/>
    <m/>
    <s v="Atracción de Talento y Marca Empleadora"/>
    <m/>
    <b v="0"/>
    <b v="0"/>
    <m/>
    <b v="0"/>
    <m/>
    <b v="0"/>
    <m/>
    <b v="0"/>
    <m/>
    <s v="Otros"/>
    <s v="CREATÓN"/>
    <d v="2026-08-31T00:00:00"/>
    <d v="1899-12-30T22:09:07"/>
    <n v="3122875795"/>
    <s v="Calle 39-44, 080003 Barranquilla, Colombia"/>
    <s v="DP"/>
    <n v="87.8"/>
    <s v="Cata"/>
    <x v="12"/>
    <x v="2"/>
    <s v="OK"/>
    <x v="3"/>
    <x v="146"/>
    <x v="1"/>
    <x v="0"/>
    <x v="2"/>
  </r>
  <r>
    <x v="152"/>
    <x v="152"/>
    <s v="Cédula de ciudadanía"/>
    <x v="152"/>
    <s v="Mujer"/>
    <n v="23"/>
    <b v="1"/>
    <s v="BUCARAMANGA"/>
    <s v="Bogotá"/>
    <s v="Universidad Pontificia Bolivariana"/>
    <m/>
    <s v="Ingeniería Industrial"/>
    <m/>
    <b v="0"/>
    <b v="0"/>
    <s v="Intermedio"/>
    <s v="Intermedio"/>
    <s v="Compras"/>
    <m/>
    <m/>
    <m/>
    <m/>
    <s v="Ventas"/>
    <m/>
    <m/>
    <m/>
    <s v="Talento Ventas"/>
    <b v="0"/>
    <b v="0"/>
    <m/>
    <b v="0"/>
    <m/>
    <b v="0"/>
    <m/>
    <b v="0"/>
    <m/>
    <s v="Otros"/>
    <s v="CREATÓN"/>
    <d v="2026-09-03T00:00:00"/>
    <d v="1899-12-30T13:10:11"/>
    <n v="3156389748"/>
    <s v="Conjunto Residencial Paraguitas 1, 681001 Floridablanca, Colombia"/>
    <s v="DP"/>
    <n v="90"/>
    <s v="Cata"/>
    <x v="12"/>
    <x v="1"/>
    <s v="OK"/>
    <x v="10"/>
    <x v="147"/>
    <x v="1"/>
    <x v="0"/>
    <x v="2"/>
  </r>
  <r>
    <x v="153"/>
    <x v="153"/>
    <s v="Cédula de ciudadanía"/>
    <x v="153"/>
    <s v="Mujer"/>
    <n v="21"/>
    <b v="1"/>
    <m/>
    <s v="Bogotá"/>
    <s v="Universidad EAFIT"/>
    <m/>
    <s v="Comunicación social"/>
    <m/>
    <b v="0"/>
    <b v="0"/>
    <s v="Intermedio"/>
    <s v="Intermedio"/>
    <s v="Comunicaciones"/>
    <m/>
    <m/>
    <m/>
    <m/>
    <s v="Marketing"/>
    <m/>
    <m/>
    <m/>
    <m/>
    <b v="0"/>
    <b v="0"/>
    <m/>
    <b v="0"/>
    <m/>
    <b v="0"/>
    <m/>
    <b v="0"/>
    <m/>
    <s v="Instagram"/>
    <s v="CREATÓN"/>
    <d v="2026-09-12T00:00:00"/>
    <d v="1899-12-30T15:52:08"/>
    <n v="3142677782"/>
    <s v="Medellin, Colombia"/>
    <s v="DP"/>
    <n v="71.2"/>
    <s v="Cata"/>
    <x v="12"/>
    <x v="1"/>
    <s v="OK"/>
    <x v="12"/>
    <x v="148"/>
    <x v="1"/>
    <x v="0"/>
    <x v="2"/>
  </r>
  <r>
    <x v="154"/>
    <x v="154"/>
    <s v="Cédula de ciudadanía"/>
    <x v="154"/>
    <s v="Hombre"/>
    <n v="22"/>
    <b v="1"/>
    <s v="BOGOTÁ"/>
    <s v="Bogotá"/>
    <s v="Universidad Externado de Colombia"/>
    <m/>
    <s v="Analítica de Datos"/>
    <m/>
    <b v="0"/>
    <b v="0"/>
    <s v="Avanzado"/>
    <s v="Intermedio"/>
    <s v="Finanzas"/>
    <m/>
    <m/>
    <m/>
    <m/>
    <s v="Tecnología"/>
    <m/>
    <s v="Finanzas Impuestos"/>
    <m/>
    <m/>
    <b v="0"/>
    <b v="0"/>
    <m/>
    <b v="0"/>
    <m/>
    <b v="0"/>
    <m/>
    <b v="0"/>
    <m/>
    <s v="Otros"/>
    <s v="CREATÓN"/>
    <d v="2026-09-02T00:00:00"/>
    <d v="1899-12-30T12:50:11"/>
    <s v=" 323 4032976"/>
    <n v="0"/>
    <s v="DP"/>
    <n v="97"/>
    <s v="Cata"/>
    <x v="7"/>
    <x v="0"/>
    <s v="OK"/>
    <x v="7"/>
    <x v="149"/>
    <x v="0"/>
    <x v="0"/>
    <x v="0"/>
  </r>
  <r>
    <x v="155"/>
    <x v="155"/>
    <s v="Cédula de ciudadanía"/>
    <x v="155"/>
    <s v="Hombre"/>
    <n v="22"/>
    <b v="1"/>
    <m/>
    <s v="Bogotá"/>
    <s v="Universidad de Cartagena"/>
    <m/>
    <s v="Ingeniería de Sistemas"/>
    <m/>
    <b v="0"/>
    <b v="0"/>
    <s v="Avanzado"/>
    <s v="Avanzado"/>
    <s v="Tecnología"/>
    <m/>
    <m/>
    <m/>
    <m/>
    <s v="Tecnología"/>
    <m/>
    <m/>
    <m/>
    <m/>
    <b v="0"/>
    <b v="0"/>
    <m/>
    <b v="0"/>
    <m/>
    <b v="0"/>
    <m/>
    <b v="0"/>
    <m/>
    <s v="Página Web Oficial"/>
    <s v="CREATÓN"/>
    <d v="2026-08-21T00:00:00"/>
    <d v="1899-12-30T13:10:12"/>
    <s v=" 320 7369219"/>
    <s v="Cartagena, Colombia"/>
    <s v="DP"/>
    <n v="89.8"/>
    <s v="Cata"/>
    <x v="7"/>
    <x v="0"/>
    <s v="OK"/>
    <x v="18"/>
    <x v="150"/>
    <x v="0"/>
    <x v="0"/>
    <x v="0"/>
  </r>
  <r>
    <x v="156"/>
    <x v="156"/>
    <s v="Cédula de ciudadanía"/>
    <x v="156"/>
    <s v="Hombre"/>
    <n v="22"/>
    <b v="1"/>
    <s v="BOGOTÁ"/>
    <s v="Bogotá"/>
    <s v="Universidad Distrital Francisco José de Caldas"/>
    <m/>
    <s v="Ingeniería Electrónica"/>
    <m/>
    <b v="0"/>
    <b v="0"/>
    <s v="Intermedi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03T00:00:00"/>
    <d v="1899-12-30T09:49:06"/>
    <s v=" 321 2622132"/>
    <s v="Conjunto Residencial Argo 183, 110141 Bogota, D.C., Colombia"/>
    <s v="DP"/>
    <n v="94.1"/>
    <s v="Cata"/>
    <x v="7"/>
    <x v="1"/>
    <s v="OK "/>
    <x v="24"/>
    <x v="151"/>
    <x v="0"/>
    <x v="0"/>
    <x v="0"/>
  </r>
  <r>
    <x v="157"/>
    <x v="157"/>
    <s v="Cédula de ciudadanía"/>
    <x v="157"/>
    <s v="Hombre"/>
    <n v="21"/>
    <b v="1"/>
    <s v="Bogota D.C"/>
    <s v="Bogotá"/>
    <s v="Universidad Nacional de Colombia"/>
    <m/>
    <s v="Estadística"/>
    <m/>
    <b v="0"/>
    <b v="0"/>
    <s v="Avanzado"/>
    <s v="Avanzado"/>
    <s v="Tecnología"/>
    <m/>
    <m/>
    <m/>
    <m/>
    <s v="Compras"/>
    <m/>
    <m/>
    <m/>
    <m/>
    <b v="0"/>
    <b v="0"/>
    <m/>
    <b v="0"/>
    <m/>
    <b v="0"/>
    <m/>
    <b v="0"/>
    <m/>
    <s v="Página Web Oficial"/>
    <s v="CREATÓN"/>
    <d v="2026-09-03T00:00:00"/>
    <d v="1899-12-30T21:15:54"/>
    <s v=" 311 5834299"/>
    <s v="Calle 130F 97-12, 111131 Bogota, D.C., Colombia"/>
    <s v="DP"/>
    <n v="89.2"/>
    <s v="Cata"/>
    <x v="7"/>
    <x v="1"/>
    <s v="OK "/>
    <x v="0"/>
    <x v="152"/>
    <x v="0"/>
    <x v="0"/>
    <x v="0"/>
  </r>
  <r>
    <x v="158"/>
    <x v="158"/>
    <s v="Cédula de ciudadanía"/>
    <x v="158"/>
    <s v="Hombre"/>
    <n v="22"/>
    <b v="1"/>
    <m/>
    <s v="Bogotá"/>
    <s v="Universidad Militar Nueva Granada"/>
    <m/>
    <s v="Ingeniería Mecatrónica"/>
    <m/>
    <b v="0"/>
    <b v="0"/>
    <s v="Intermedi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LinkedIn"/>
    <s v="CREATÓN"/>
    <d v="2026-08-22T00:00:00"/>
    <d v="1899-12-30T10:12:09"/>
    <s v=" 305 3360405"/>
    <s v="Carrera 90 BIS 73A-95, 111051 Bogota, D.C., Colombia"/>
    <s v="DP"/>
    <n v="95.2"/>
    <s v="Santi"/>
    <x v="7"/>
    <x v="0"/>
    <s v="OK "/>
    <x v="25"/>
    <x v="153"/>
    <x v="0"/>
    <x v="0"/>
    <x v="0"/>
  </r>
  <r>
    <x v="159"/>
    <x v="159"/>
    <s v="Cédula de ciudadanía"/>
    <x v="159"/>
    <s v="Hombre"/>
    <n v="21"/>
    <b v="1"/>
    <s v="ZIPAQUIRA"/>
    <s v="Bogotá"/>
    <s v="Universidad Nacional de Colombia"/>
    <m/>
    <s v="Ingeniería de Sistemas"/>
    <m/>
    <b v="1"/>
    <b v="0"/>
    <s v="Avanzado"/>
    <s v="Intermedio"/>
    <s v="Tecnología"/>
    <m/>
    <m/>
    <m/>
    <m/>
    <s v="Logística"/>
    <m/>
    <m/>
    <m/>
    <m/>
    <b v="0"/>
    <b v="1"/>
    <s v="Prima - Lina Montaño Galvis"/>
    <b v="0"/>
    <m/>
    <b v="0"/>
    <m/>
    <b v="0"/>
    <m/>
    <s v="Otros"/>
    <s v="CREATÓN"/>
    <d v="2026-09-29T00:00:00"/>
    <d v="1899-12-30T15:28:10"/>
    <s v="322 342 5440"/>
    <s v="Carrera 18 8, Zipaquirá, Colombia"/>
    <s v="DP"/>
    <n v="94.1"/>
    <m/>
    <x v="7"/>
    <x v="1"/>
    <s v="OK"/>
    <x v="18"/>
    <x v="154"/>
    <x v="0"/>
    <x v="0"/>
    <x v="0"/>
  </r>
  <r>
    <x v="160"/>
    <x v="160"/>
    <s v="Cédula de ciudadanía"/>
    <x v="160"/>
    <s v="Mujer"/>
    <n v="22"/>
    <b v="1"/>
    <s v="BOGOTA"/>
    <s v="Bogotá"/>
    <s v="Otra"/>
    <s v="Universidad EAN"/>
    <s v="Negocios Internacionales"/>
    <m/>
    <b v="0"/>
    <b v="0"/>
    <s v="Avanzado"/>
    <s v="Intermedio"/>
    <s v="Marketing"/>
    <m/>
    <m/>
    <m/>
    <m/>
    <s v="Ventas"/>
    <m/>
    <m/>
    <m/>
    <s v="Ventas Comercial"/>
    <b v="0"/>
    <b v="0"/>
    <m/>
    <b v="0"/>
    <m/>
    <b v="0"/>
    <m/>
    <b v="0"/>
    <m/>
    <s v="Otros"/>
    <s v="CREATÓN"/>
    <d v="2026-09-05T00:00:00"/>
    <d v="1899-12-30T08:41:07"/>
    <s v=" 319 5754801"/>
    <s v="Calle 166 8D-44, 110131 Bogota, D.C., Colombia"/>
    <s v="DP"/>
    <n v="85.2"/>
    <s v="Cata"/>
    <x v="13"/>
    <x v="1"/>
    <s v="OK"/>
    <x v="5"/>
    <x v="155"/>
    <x v="1"/>
    <x v="0"/>
    <x v="2"/>
  </r>
  <r>
    <x v="161"/>
    <x v="161"/>
    <s v="Cédula de ciudadanía"/>
    <x v="161"/>
    <s v="Mujer"/>
    <n v="20"/>
    <b v="1"/>
    <m/>
    <s v="Bogotá"/>
    <s v="Universidad de los Andes"/>
    <m/>
    <s v="Administración de Empresas"/>
    <m/>
    <b v="0"/>
    <b v="0"/>
    <s v="Avanzado"/>
    <s v="Avanzado"/>
    <s v="Ventas"/>
    <m/>
    <m/>
    <m/>
    <s v="Ventas Comercial"/>
    <s v="Marketing"/>
    <m/>
    <m/>
    <m/>
    <m/>
    <b v="0"/>
    <b v="0"/>
    <m/>
    <b v="0"/>
    <m/>
    <b v="0"/>
    <m/>
    <b v="0"/>
    <m/>
    <s v="Página Web Oficial"/>
    <s v="CREATÓN"/>
    <d v="2026-09-12T00:00:00"/>
    <d v="1899-12-30T15:59:04"/>
    <s v=" 321 4015628"/>
    <s v="Carrera 70 22D-22, 110931 Bogota, D.C., Colombia"/>
    <s v="DP"/>
    <n v="79.900000000000006"/>
    <s v="Cata"/>
    <x v="13"/>
    <x v="1"/>
    <s v="OK"/>
    <x v="3"/>
    <x v="156"/>
    <x v="1"/>
    <x v="0"/>
    <x v="2"/>
  </r>
  <r>
    <x v="162"/>
    <x v="162"/>
    <s v="Cédula de ciudadanía"/>
    <x v="162"/>
    <s v="Mujer"/>
    <n v="22"/>
    <b v="1"/>
    <s v="Bogotá, D.C."/>
    <s v="Bogotá"/>
    <s v="Universidad de los Andes"/>
    <m/>
    <s v="Administración de Empresas"/>
    <m/>
    <b v="0"/>
    <b v="0"/>
    <s v="Avanzado"/>
    <s v="Intermedio"/>
    <s v="Ventas"/>
    <m/>
    <m/>
    <m/>
    <s v="Ventas Comercial"/>
    <s v="Tecnología"/>
    <m/>
    <m/>
    <m/>
    <m/>
    <b v="0"/>
    <b v="0"/>
    <m/>
    <b v="0"/>
    <m/>
    <b v="0"/>
    <m/>
    <b v="0"/>
    <m/>
    <s v="Instagram"/>
    <s v="CREATÓN"/>
    <d v="2026-09-08T00:00:00"/>
    <d v="1899-12-30T07:47:06"/>
    <s v=" 320 5643575"/>
    <s v="Calle 128A 91-25, 111131 Bogota, D.C., Colombia"/>
    <s v="DP"/>
    <n v="92.9"/>
    <s v="Cata"/>
    <x v="13"/>
    <x v="1"/>
    <s v="OK "/>
    <x v="3"/>
    <x v="157"/>
    <x v="1"/>
    <x v="0"/>
    <x v="2"/>
  </r>
  <r>
    <x v="163"/>
    <x v="163"/>
    <s v="Cédula de ciudadanía"/>
    <x v="163"/>
    <s v="Hombre"/>
    <n v="24"/>
    <b v="1"/>
    <s v="BOGOTÁ"/>
    <s v="Bogotá"/>
    <s v="Pontificia Universidad Javeriana"/>
    <m/>
    <s v="Ingeniería Industrial"/>
    <m/>
    <b v="1"/>
    <b v="0"/>
    <s v="Básico"/>
    <s v="Avanzado"/>
    <s v="Compras"/>
    <m/>
    <m/>
    <m/>
    <m/>
    <s v="Ventas"/>
    <m/>
    <m/>
    <m/>
    <s v="Talento Ventas"/>
    <b v="0"/>
    <b v="0"/>
    <m/>
    <b v="0"/>
    <m/>
    <b v="0"/>
    <m/>
    <b v="0"/>
    <m/>
    <s v="Medios Tradicionales"/>
    <s v="ONE PAGER CARGADO"/>
    <d v="2026-08-29T00:00:00"/>
    <d v="1899-12-30T12:02:26"/>
    <s v=" 319 2930685"/>
    <s v="Calle 11A Sur 29D-55, 111511 Bogota, D.C., Colombia"/>
    <s v="DP"/>
    <n v="83.4"/>
    <s v="Cata"/>
    <x v="3"/>
    <x v="1"/>
    <s v="OK"/>
    <x v="10"/>
    <x v="158"/>
    <x v="0"/>
    <x v="0"/>
    <x v="0"/>
  </r>
  <r>
    <x v="164"/>
    <x v="164"/>
    <s v="Cédula de ciudadanía"/>
    <x v="164"/>
    <s v="Hombre"/>
    <n v="22"/>
    <b v="1"/>
    <s v="BOGOTÁ"/>
    <s v="Bogotá"/>
    <s v="Universidad del Rosario"/>
    <m/>
    <s v="Negocios Internacionales"/>
    <m/>
    <b v="0"/>
    <b v="0"/>
    <s v="Avanzado"/>
    <s v="Avanzado"/>
    <s v="Compras"/>
    <m/>
    <m/>
    <m/>
    <m/>
    <s v="Ventas"/>
    <m/>
    <m/>
    <m/>
    <s v="Gestión de Ejecución Premium"/>
    <b v="0"/>
    <b v="0"/>
    <m/>
    <b v="0"/>
    <m/>
    <b v="0"/>
    <m/>
    <b v="0"/>
    <m/>
    <s v="LinkedIn"/>
    <s v="PRUEBAS FIT CULTURAL"/>
    <d v="2026-08-30T00:00:00"/>
    <d v="1899-12-30T10:20:05"/>
    <s v=" 320 9953968"/>
    <s v="Multifamiliar Boyaca, 110621 Bogota, D.C., Colombia"/>
    <s v="DP"/>
    <n v="70"/>
    <m/>
    <x v="3"/>
    <x v="1"/>
    <s v="OK"/>
    <x v="5"/>
    <x v="159"/>
    <x v="0"/>
    <x v="0"/>
    <x v="0"/>
  </r>
  <r>
    <x v="165"/>
    <x v="165"/>
    <s v="Cédula de ciudadanía"/>
    <x v="165"/>
    <s v="Hombre"/>
    <n v="23"/>
    <b v="1"/>
    <s v="BOGOTA"/>
    <s v="Bogotá"/>
    <s v="Universidad de La Sabana"/>
    <m/>
    <s v="Ingeniería Industrial"/>
    <m/>
    <b v="0"/>
    <b v="0"/>
    <s v="Avanzado"/>
    <s v="Avanzado"/>
    <s v="Compras"/>
    <m/>
    <m/>
    <m/>
    <m/>
    <s v="Ventas"/>
    <m/>
    <m/>
    <m/>
    <s v="Ventas Comercial"/>
    <b v="0"/>
    <b v="0"/>
    <m/>
    <b v="0"/>
    <m/>
    <b v="0"/>
    <m/>
    <b v="0"/>
    <m/>
    <s v="LinkedIn"/>
    <s v="ONE PAGER CARGADO"/>
    <d v="2026-09-06T00:00:00"/>
    <d v="1899-12-30T22:46:07"/>
    <s v=" 314 5682060"/>
    <s v="Avenida Calle 147 13, Bogota, D.C., Colombia"/>
    <s v="DP"/>
    <n v="93.3"/>
    <s v="Cata"/>
    <x v="3"/>
    <x v="1"/>
    <s v="OK"/>
    <x v="10"/>
    <x v="160"/>
    <x v="0"/>
    <x v="0"/>
    <x v="0"/>
  </r>
  <r>
    <x v="166"/>
    <x v="166"/>
    <s v="Cédula de ciudadanía"/>
    <x v="166"/>
    <s v="Mujer"/>
    <n v="21"/>
    <b v="1"/>
    <s v="BOGOTA"/>
    <s v="Bogotá"/>
    <s v="Universidad del Rosario"/>
    <m/>
    <s v="Administración de Empresas"/>
    <m/>
    <b v="0"/>
    <b v="0"/>
    <s v="Avanzado"/>
    <s v="Intermedio"/>
    <s v="Compras"/>
    <m/>
    <m/>
    <m/>
    <m/>
    <s v="Logística"/>
    <m/>
    <m/>
    <m/>
    <m/>
    <b v="0"/>
    <b v="0"/>
    <m/>
    <b v="0"/>
    <m/>
    <b v="0"/>
    <m/>
    <b v="0"/>
    <m/>
    <s v="Instagram"/>
    <s v="ONE PAGER CARGADO"/>
    <d v="2026-09-12T00:00:00"/>
    <d v="1899-12-30T14:52:04"/>
    <s v=" 322 4587534"/>
    <s v="Carrera 54D 135-65, 111111 Bogota, D.C., Colombia"/>
    <s v="DP"/>
    <n v="79.3"/>
    <s v="Cata"/>
    <x v="3"/>
    <x v="1"/>
    <s v="OK"/>
    <x v="3"/>
    <x v="161"/>
    <x v="0"/>
    <x v="0"/>
    <x v="0"/>
  </r>
  <r>
    <x v="167"/>
    <x v="167"/>
    <s v="Cédula de ciudadanía"/>
    <x v="167"/>
    <s v="Mujer"/>
    <n v="22"/>
    <b v="1"/>
    <s v="Jamundí"/>
    <s v="Cali (Yumbo)"/>
    <s v="Universidad del Valle"/>
    <m/>
    <s v="Química"/>
    <m/>
    <b v="1"/>
    <b v="0"/>
    <s v="Intermedio"/>
    <s v="Intermedi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Instagram"/>
    <s v="CREATÓN"/>
    <d v="2026-09-13T00:00:00"/>
    <d v="1899-12-30T10:24:54"/>
    <s v=" 320 2205129"/>
    <s v="Calle 6 1A-73, 764001 Jamundí, Colombia"/>
    <s v="DP"/>
    <n v="77.3"/>
    <s v="Cata"/>
    <x v="14"/>
    <x v="1"/>
    <s v="OK"/>
    <x v="26"/>
    <x v="162"/>
    <x v="2"/>
    <x v="1"/>
    <x v="2"/>
  </r>
  <r>
    <x v="168"/>
    <x v="168"/>
    <s v="Cédula de ciudadanía"/>
    <x v="168"/>
    <s v="Hombre"/>
    <n v="22"/>
    <b v="1"/>
    <s v="POPAYAN"/>
    <s v="Cali (Yumbo)"/>
    <s v="Universidad del Cauca"/>
    <m/>
    <s v="Otra"/>
    <s v="INGENIERIA EN AUTOMATICA INDUSTRIAL"/>
    <b v="0"/>
    <b v="0"/>
    <s v="Básico"/>
    <s v="Básico"/>
    <s v="Producción (Operaciones)"/>
    <m/>
    <m/>
    <m/>
    <m/>
    <s v="Tecnología"/>
    <m/>
    <m/>
    <m/>
    <m/>
    <b v="0"/>
    <b v="0"/>
    <m/>
    <b v="0"/>
    <m/>
    <b v="0"/>
    <m/>
    <b v="0"/>
    <m/>
    <s v="LinkedIn"/>
    <s v="CREATÓN"/>
    <d v="2026-09-12T00:00:00"/>
    <d v="1899-12-30T11:31:05"/>
    <s v=" 318 4101038"/>
    <s v="Carrera 14-67n, 190003 Popayan, Colombia"/>
    <s v="DP"/>
    <n v="86.5"/>
    <s v="Cata"/>
    <x v="14"/>
    <x v="1"/>
    <s v="OK"/>
    <x v="27"/>
    <x v="163"/>
    <x v="2"/>
    <x v="1"/>
    <x v="2"/>
  </r>
  <r>
    <x v="169"/>
    <x v="169"/>
    <s v="Cédula de ciudadanía"/>
    <x v="169"/>
    <s v="Mujer"/>
    <n v="21"/>
    <b v="1"/>
    <m/>
    <s v="Cali (Yumbo)"/>
    <s v="Universidad del Valle"/>
    <m/>
    <s v="Ingeniería Química"/>
    <m/>
    <b v="0"/>
    <b v="0"/>
    <s v="Intermedi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3T00:00:00"/>
    <d v="1899-12-30T14:30:35"/>
    <s v=" 322 6378982"/>
    <s v="Carrera 90 4-120, 760034 Cali, Colombia"/>
    <s v="DP"/>
    <n v="87.5"/>
    <s v="Cata"/>
    <x v="14"/>
    <x v="1"/>
    <s v="OK"/>
    <x v="28"/>
    <x v="164"/>
    <x v="2"/>
    <x v="1"/>
    <x v="2"/>
  </r>
  <r>
    <x v="170"/>
    <x v="170"/>
    <s v="Cédula de ciudadanía"/>
    <x v="170"/>
    <s v="Mujer"/>
    <n v="21"/>
    <b v="1"/>
    <s v="CALI"/>
    <s v="Cali (Yumbo)"/>
    <s v="Universidad del Valle"/>
    <m/>
    <s v="Ingeniería Química"/>
    <m/>
    <b v="0"/>
    <b v="0"/>
    <s v="Intermedio"/>
    <s v="Avanzado"/>
    <s v="Producción (Operaciones)"/>
    <m/>
    <m/>
    <m/>
    <m/>
    <s v="Producción (Operaciones)"/>
    <s v="Talento"/>
    <m/>
    <m/>
    <m/>
    <b v="0"/>
    <b v="0"/>
    <m/>
    <b v="0"/>
    <m/>
    <b v="0"/>
    <m/>
    <b v="0"/>
    <m/>
    <s v="Instagram"/>
    <s v="CREATÓN"/>
    <d v="2026-09-12T00:00:00"/>
    <d v="1899-12-30T23:48:59"/>
    <s v=" 300 7487102"/>
    <s v="Carrera 88 4-70, 760034 Cali, Colombia"/>
    <s v="DP"/>
    <n v="86.5"/>
    <s v="Cata"/>
    <x v="14"/>
    <x v="1"/>
    <s v="OK"/>
    <x v="28"/>
    <x v="165"/>
    <x v="2"/>
    <x v="1"/>
    <x v="2"/>
  </r>
  <r>
    <x v="171"/>
    <x v="171"/>
    <s v="Cédula de ciudadanía"/>
    <x v="171"/>
    <s v="Mujer"/>
    <n v="25"/>
    <b v="1"/>
    <s v="SANTIAGO DE CALI"/>
    <s v="Cali (Yumbo)"/>
    <s v="Universidad del Valle"/>
    <m/>
    <s v="Ingeniería Química"/>
    <m/>
    <b v="0"/>
    <b v="0"/>
    <s v="Intermedi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8-27T00:00:00"/>
    <d v="1899-12-30T20:28:03"/>
    <s v=" 300 5568536"/>
    <s v="Carrera 1A5A, Cali, Colombia"/>
    <s v="DP"/>
    <n v="74.400000000000006"/>
    <s v="Cata"/>
    <x v="14"/>
    <x v="1"/>
    <s v="OK"/>
    <x v="28"/>
    <x v="166"/>
    <x v="2"/>
    <x v="1"/>
    <x v="2"/>
  </r>
  <r>
    <x v="172"/>
    <x v="172"/>
    <s v="Cédula de ciudadanía"/>
    <x v="172"/>
    <s v="Hombre"/>
    <n v="23"/>
    <b v="1"/>
    <s v="CALI"/>
    <s v="Cali (Yumbo)"/>
    <s v="Universidad del Valle"/>
    <m/>
    <s v="Ingeniería Química"/>
    <m/>
    <b v="0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Otros"/>
    <s v="CREATÓN"/>
    <d v="2026-09-02T00:00:00"/>
    <d v="1899-12-30T22:14:10"/>
    <s v=" 318 5139065"/>
    <s v="Calle 85 22-114, 760021 Cali, Colombia"/>
    <s v="DP"/>
    <n v="92.9"/>
    <s v="Cata"/>
    <x v="14"/>
    <x v="1"/>
    <s v="OK"/>
    <x v="28"/>
    <x v="167"/>
    <x v="2"/>
    <x v="1"/>
    <x v="2"/>
  </r>
  <r>
    <x v="173"/>
    <x v="173"/>
    <s v="Cédula de ciudadanía"/>
    <x v="173"/>
    <s v="Mujer"/>
    <n v="23"/>
    <b v="1"/>
    <s v="CALI"/>
    <s v="Cali (Yumbo)"/>
    <s v="Universidad del Valle"/>
    <m/>
    <s v="Química"/>
    <m/>
    <b v="0"/>
    <b v="0"/>
    <s v="Básico"/>
    <s v="Básico"/>
    <s v="Producción (Operaciones)"/>
    <m/>
    <m/>
    <m/>
    <m/>
    <s v="Producción (Operaciones)"/>
    <s v="Indugral 2"/>
    <m/>
    <m/>
    <m/>
    <b v="0"/>
    <b v="0"/>
    <m/>
    <b v="0"/>
    <m/>
    <b v="0"/>
    <m/>
    <b v="0"/>
    <m/>
    <s v="Instagram"/>
    <s v="CREATÓN"/>
    <d v="2026-09-02T00:00:00"/>
    <d v="1899-12-30T18:32:07"/>
    <s v=" 317 1662760"/>
    <s v="Carrera 38A 17-59, 760041 Cali, Colombia"/>
    <s v="DP"/>
    <n v="91.8"/>
    <s v="Cata"/>
    <x v="14"/>
    <x v="1"/>
    <s v="OK "/>
    <x v="26"/>
    <x v="168"/>
    <x v="2"/>
    <x v="1"/>
    <x v="2"/>
  </r>
  <r>
    <x v="174"/>
    <x v="174"/>
    <s v="Cédula de ciudadanía"/>
    <x v="174"/>
    <s v="Hombre"/>
    <n v="23"/>
    <b v="1"/>
    <s v="CALI"/>
    <s v="Cali (Yumbo)"/>
    <s v="Universidad del Valle"/>
    <m/>
    <s v="Ingeniería Química"/>
    <m/>
    <b v="0"/>
    <b v="0"/>
    <s v="Intermedio"/>
    <s v="Intermedi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Otros"/>
    <s v="CREATÓN"/>
    <d v="2026-09-02T00:00:00"/>
    <d v="1899-12-30T13:13:03"/>
    <n v="3135404291"/>
    <s v="Calle 15B 23A-5, 760042 Cali, Colombia"/>
    <s v="DP"/>
    <n v="88.5"/>
    <s v="Cata"/>
    <x v="15"/>
    <x v="1"/>
    <s v="OK"/>
    <x v="28"/>
    <x v="169"/>
    <x v="2"/>
    <x v="1"/>
    <x v="2"/>
  </r>
  <r>
    <x v="175"/>
    <x v="175"/>
    <s v="Cédula de ciudadanía"/>
    <x v="175"/>
    <s v="Mujer"/>
    <n v="23"/>
    <b v="1"/>
    <m/>
    <s v="Cali (Yumbo)"/>
    <s v="Universidad del Valle"/>
    <m/>
    <s v="Ingeniería Industrial"/>
    <m/>
    <b v="1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8-21T00:00:00"/>
    <d v="1899-12-30T09:57:06"/>
    <s v=" 323 3317100"/>
    <s v="Carrera 43 11A-27, 760041 Cali, Colombia"/>
    <s v="DP"/>
    <n v="92.5"/>
    <s v="Cata"/>
    <x v="15"/>
    <x v="1"/>
    <s v="OK"/>
    <x v="10"/>
    <x v="170"/>
    <x v="2"/>
    <x v="1"/>
    <x v="2"/>
  </r>
  <r>
    <x v="176"/>
    <x v="176"/>
    <s v="Cédula de ciudadanía"/>
    <x v="176"/>
    <s v="Hombre"/>
    <n v="24"/>
    <b v="1"/>
    <m/>
    <s v="Cali (Yumbo)"/>
    <s v="Universidad del Cauca"/>
    <m/>
    <s v="Ingeniería Industrial"/>
    <m/>
    <b v="0"/>
    <b v="0"/>
    <s v="Intermedio"/>
    <s v="Básico"/>
    <s v="Producción (Operaciones)"/>
    <m/>
    <m/>
    <m/>
    <m/>
    <s v="Logística"/>
    <m/>
    <m/>
    <m/>
    <m/>
    <b v="0"/>
    <b v="0"/>
    <m/>
    <b v="0"/>
    <m/>
    <b v="0"/>
    <m/>
    <b v="0"/>
    <m/>
    <s v="LinkedIn"/>
    <s v="CREATÓN"/>
    <d v="2026-08-23T00:00:00"/>
    <d v="1899-12-30T18:39:03"/>
    <s v=" 320 8753642"/>
    <s v="Pomona, Popayan, Colombia"/>
    <s v="DP"/>
    <n v="89.6"/>
    <s v="Cata"/>
    <x v="15"/>
    <x v="1"/>
    <s v="OK"/>
    <x v="10"/>
    <x v="171"/>
    <x v="2"/>
    <x v="1"/>
    <x v="2"/>
  </r>
  <r>
    <x v="177"/>
    <x v="177"/>
    <s v="Cédula de ciudadanía"/>
    <x v="177"/>
    <s v="Hombre"/>
    <n v="23"/>
    <b v="1"/>
    <s v="CALI"/>
    <s v="Cali (Yumbo)"/>
    <s v="Universidad del Valle"/>
    <m/>
    <s v="Ingeniería Mecánica"/>
    <m/>
    <b v="1"/>
    <b v="0"/>
    <s v="Básic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Página Web Oficial"/>
    <s v="CREATÓN"/>
    <d v="2026-09-09T00:00:00"/>
    <d v="1899-12-30T13:53:12"/>
    <n v="0"/>
    <s v="Cali, Colombia"/>
    <s v="DP"/>
    <n v="97.8"/>
    <s v="Cata"/>
    <x v="15"/>
    <x v="1"/>
    <s v="OK"/>
    <x v="29"/>
    <x v="2"/>
    <x v="2"/>
    <x v="1"/>
    <x v="2"/>
  </r>
  <r>
    <x v="178"/>
    <x v="178"/>
    <s v="Cédula de ciudadanía"/>
    <x v="178"/>
    <s v="Hombre"/>
    <n v="21"/>
    <b v="1"/>
    <s v="CALI"/>
    <s v="Cali (Yumbo)"/>
    <s v="Universidad del Valle"/>
    <m/>
    <s v="Ingeniería Industrial"/>
    <m/>
    <b v="1"/>
    <b v="0"/>
    <s v="Básic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3T00:00:00"/>
    <d v="1899-12-30T09:51:19"/>
    <s v=" 320 5293145"/>
    <s v="Carrera 2C BIS 78-23, 760006 Cali, Colombia"/>
    <s v="DP"/>
    <n v="89.5"/>
    <s v="Cata"/>
    <x v="15"/>
    <x v="1"/>
    <s v="OK"/>
    <x v="10"/>
    <x v="172"/>
    <x v="2"/>
    <x v="1"/>
    <x v="2"/>
  </r>
  <r>
    <x v="179"/>
    <x v="179"/>
    <s v="Cédula de ciudadanía"/>
    <x v="179"/>
    <s v="Hombre"/>
    <n v="24"/>
    <b v="1"/>
    <m/>
    <s v="Cali (Yumbo)"/>
    <s v="Universidad del Cauca"/>
    <m/>
    <s v="Ingeniería Industrial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2T00:00:00"/>
    <d v="1899-12-30T13:01:03"/>
    <s v=" 314 8443067"/>
    <s v="Vereda Julimito, Popayan, Colombia"/>
    <s v="DP"/>
    <n v="78.7"/>
    <s v="Cata"/>
    <x v="15"/>
    <x v="1"/>
    <s v="OK"/>
    <x v="10"/>
    <x v="173"/>
    <x v="2"/>
    <x v="1"/>
    <x v="2"/>
  </r>
  <r>
    <x v="180"/>
    <x v="180"/>
    <s v="Cédula de ciudadanía"/>
    <x v="180"/>
    <s v="Hombre"/>
    <n v="23"/>
    <b v="1"/>
    <s v="BUCARAMANGA"/>
    <s v="Cali (Yumbo)"/>
    <s v="Universidad Santo Tomás"/>
    <m/>
    <s v="Ingeniería Mecatrónica"/>
    <m/>
    <b v="1"/>
    <b v="0"/>
    <s v="Intermedio"/>
    <s v="Avanzado"/>
    <s v="Producción (Operaciones)"/>
    <m/>
    <m/>
    <m/>
    <m/>
    <s v="Producción (Operaciones)"/>
    <s v="Indugral 2"/>
    <m/>
    <m/>
    <m/>
    <b v="0"/>
    <b v="0"/>
    <m/>
    <b v="0"/>
    <m/>
    <b v="0"/>
    <m/>
    <b v="0"/>
    <m/>
    <s v="Instagram"/>
    <s v="CREATÓN"/>
    <d v="2026-09-12T00:00:00"/>
    <d v="1899-12-30T12:28:09"/>
    <s v=" 314 5015242"/>
    <s v="Calle 42 29-9, 680002 Bucaramanga, Colombia"/>
    <s v="DP"/>
    <n v="91.2"/>
    <s v="Cata"/>
    <x v="15"/>
    <x v="1"/>
    <s v="OK"/>
    <x v="25"/>
    <x v="174"/>
    <x v="2"/>
    <x v="1"/>
    <x v="2"/>
  </r>
  <r>
    <x v="181"/>
    <x v="181"/>
    <s v="Cédula de ciudadanía"/>
    <x v="181"/>
    <s v="Mujer"/>
    <n v="21"/>
    <b v="1"/>
    <s v="CALI"/>
    <s v="Cali (Yumbo)"/>
    <s v="Otra"/>
    <s v="Universidad ICESI"/>
    <s v="Otra"/>
    <s v="Química Farmacéutica"/>
    <b v="0"/>
    <b v="0"/>
    <s v="Intermedio"/>
    <s v="Intermedi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Otros"/>
    <s v="CREATÓN"/>
    <d v="2026-08-28T00:00:00"/>
    <d v="1899-12-30T11:12:08"/>
    <s v=" 311 2165948"/>
    <s v="Carrera 98B 34-53, 760026 Cali, Colombia"/>
    <s v="DP"/>
    <n v="85.6"/>
    <s v="Cata"/>
    <x v="14"/>
    <x v="2"/>
    <s v="OK"/>
    <x v="30"/>
    <x v="175"/>
    <x v="2"/>
    <x v="1"/>
    <x v="2"/>
  </r>
  <r>
    <x v="182"/>
    <x v="182"/>
    <s v="Cédula de ciudadanía"/>
    <x v="182"/>
    <s v="Mujer"/>
    <n v="20"/>
    <b v="1"/>
    <s v="Cali"/>
    <s v="Cali (Yumbo)"/>
    <s v="Universidad del Valle"/>
    <m/>
    <s v="Ingeniería Industrial"/>
    <m/>
    <b v="1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Otros"/>
    <s v="CREATÓN"/>
    <d v="2026-09-13T00:00:00"/>
    <d v="1899-12-30T12:11:07"/>
    <n v="3144784547"/>
    <s v="Carrera 45 13-68, 760036 Cali, Colombia"/>
    <s v="DP"/>
    <n v="98"/>
    <s v="Cata"/>
    <x v="14"/>
    <x v="1"/>
    <s v="OK"/>
    <x v="10"/>
    <x v="176"/>
    <x v="2"/>
    <x v="1"/>
    <x v="2"/>
  </r>
  <r>
    <x v="183"/>
    <x v="183"/>
    <s v="Cédula de ciudadanía"/>
    <x v="183"/>
    <s v="Hombre"/>
    <n v="22"/>
    <b v="1"/>
    <s v="CALI"/>
    <s v="Cali (Yumbo)"/>
    <s v="Universidad del Valle"/>
    <m/>
    <s v="Ingeniería Química"/>
    <m/>
    <b v="0"/>
    <b v="0"/>
    <s v="Avanzado"/>
    <s v="Intermedio"/>
    <s v="Producción (Operaciones)"/>
    <m/>
    <m/>
    <m/>
    <m/>
    <s v="Producción (Operaciones)"/>
    <s v="Indugral 2"/>
    <m/>
    <m/>
    <m/>
    <b v="0"/>
    <b v="0"/>
    <m/>
    <b v="0"/>
    <m/>
    <b v="0"/>
    <m/>
    <b v="0"/>
    <m/>
    <s v="LinkedIn"/>
    <s v="CREATÓN"/>
    <d v="2026-09-12T00:00:00"/>
    <d v="1899-12-30T15:43:07"/>
    <s v=" 301 4054205"/>
    <s v="760007 Cali, Colombia"/>
    <s v="DP"/>
    <n v="70.5"/>
    <s v="Cata"/>
    <x v="15"/>
    <x v="2"/>
    <s v="OK"/>
    <x v="28"/>
    <x v="177"/>
    <x v="2"/>
    <x v="1"/>
    <x v="2"/>
  </r>
  <r>
    <x v="184"/>
    <x v="184"/>
    <s v="Cédula de ciudadanía"/>
    <x v="184"/>
    <s v="Hombre"/>
    <n v="23"/>
    <b v="1"/>
    <s v="POPAYÁN"/>
    <s v="Cali (Yumbo)"/>
    <s v="Universidad del Cauca"/>
    <m/>
    <s v="Ingeniería Mecatrónica"/>
    <m/>
    <b v="0"/>
    <b v="0"/>
    <s v="Intermedio"/>
    <s v="Avanzad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LinkedIn"/>
    <s v="CREATÓN"/>
    <d v="2026-09-13T00:00:00"/>
    <d v="1899-12-30T13:06:34"/>
    <s v=" 317 8982461"/>
    <s v="Rincon de la Estancia, Popayan, Colombia"/>
    <s v="DP"/>
    <n v="70.3"/>
    <s v="Cata"/>
    <x v="15"/>
    <x v="2"/>
    <s v="OK"/>
    <x v="25"/>
    <x v="178"/>
    <x v="2"/>
    <x v="1"/>
    <x v="2"/>
  </r>
  <r>
    <x v="185"/>
    <x v="185"/>
    <s v="Cédula de ciudadanía"/>
    <x v="185"/>
    <s v="Mujer"/>
    <n v="21"/>
    <b v="1"/>
    <s v="Cali, Valle del Cauca"/>
    <s v="Cali (Yumbo)"/>
    <s v="Pontificia Universidad Javeriana| Cali"/>
    <m/>
    <s v="Ingeniería Industrial"/>
    <m/>
    <b v="0"/>
    <b v="0"/>
    <s v="Intermedio"/>
    <s v="Intermedio"/>
    <s v="Producción (Operaciones)"/>
    <m/>
    <m/>
    <m/>
    <m/>
    <s v="Producción (Operaciones)"/>
    <s v="Indugral 2"/>
    <m/>
    <m/>
    <m/>
    <b v="0"/>
    <b v="0"/>
    <m/>
    <b v="0"/>
    <m/>
    <b v="0"/>
    <m/>
    <b v="0"/>
    <m/>
    <s v="LinkedIn"/>
    <s v="CREATÓN"/>
    <d v="2026-09-12T00:00:00"/>
    <d v="1899-12-30T15:36:08"/>
    <n v="3106456019"/>
    <s v="Carrera 121 20-27, 760031 Cali, Colombia"/>
    <s v="DP"/>
    <n v="79.2"/>
    <s v="Cata"/>
    <x v="15"/>
    <x v="1"/>
    <s v="OK"/>
    <x v="10"/>
    <x v="179"/>
    <x v="2"/>
    <x v="1"/>
    <x v="2"/>
  </r>
  <r>
    <x v="186"/>
    <x v="186"/>
    <s v="Cédula de ciudadanía"/>
    <x v="186"/>
    <s v="Mujer"/>
    <n v="21"/>
    <b v="1"/>
    <s v="MEDELLIN"/>
    <s v="Bogotá"/>
    <s v="Universidad EAFIT"/>
    <m/>
    <s v="Administración de Empresas"/>
    <m/>
    <b v="0"/>
    <b v="0"/>
    <s v="Intermedio"/>
    <s v="Intermedio"/>
    <s v="Marketing"/>
    <m/>
    <m/>
    <m/>
    <m/>
    <s v="Ventas"/>
    <m/>
    <m/>
    <m/>
    <s v="Gestión de Ejecución Premium"/>
    <b v="0"/>
    <b v="0"/>
    <m/>
    <b v="0"/>
    <m/>
    <b v="0"/>
    <m/>
    <b v="0"/>
    <m/>
    <s v="Página Web Oficial"/>
    <s v="CREATÓN"/>
    <d v="2026-08-24T00:00:00"/>
    <d v="1899-12-30T11:07:14"/>
    <s v=" 316 8321353"/>
    <s v="Calle 7AA 30-60, 050021 Medellin, Colombia"/>
    <s v="DP"/>
    <n v="91.1"/>
    <s v="Cata"/>
    <x v="16"/>
    <x v="0"/>
    <s v="OK"/>
    <x v="3"/>
    <x v="180"/>
    <x v="0"/>
    <x v="2"/>
    <x v="3"/>
  </r>
  <r>
    <x v="187"/>
    <x v="187"/>
    <s v="Cédula de ciudadanía"/>
    <x v="187"/>
    <s v="Mujer"/>
    <n v="23"/>
    <b v="1"/>
    <s v="Bogota"/>
    <s v="Bogotá"/>
    <s v="Pontificia Universidad Javeriana"/>
    <m/>
    <s v="Administración de Empresas"/>
    <m/>
    <b v="0"/>
    <b v="0"/>
    <s v="Avanzado"/>
    <s v="Intermedio"/>
    <s v="Logística"/>
    <m/>
    <m/>
    <m/>
    <m/>
    <s v="Marketing"/>
    <m/>
    <m/>
    <m/>
    <m/>
    <b v="0"/>
    <b v="0"/>
    <m/>
    <b v="0"/>
    <m/>
    <b v="0"/>
    <m/>
    <b v="0"/>
    <m/>
    <s v="LinkedIn"/>
    <s v="CREATÓN"/>
    <d v="2026-08-28T00:00:00"/>
    <d v="1899-12-30T05:48:08"/>
    <s v=" 320 3103680"/>
    <s v="Carrera 10 124-19, 110111 Bogota, D.C., Colombia"/>
    <s v="DP"/>
    <n v="94.8"/>
    <s v="Cata"/>
    <x v="16"/>
    <x v="1"/>
    <s v="OK"/>
    <x v="3"/>
    <x v="181"/>
    <x v="0"/>
    <x v="2"/>
    <x v="3"/>
  </r>
  <r>
    <x v="188"/>
    <x v="188"/>
    <s v="Cédula de ciudadanía"/>
    <x v="188"/>
    <s v="Mujer"/>
    <n v="19"/>
    <b v="1"/>
    <s v="Bogotá"/>
    <s v="Bogotá"/>
    <s v="Universidad Nacional de Colombia"/>
    <m/>
    <s v="Administración de Empresas"/>
    <m/>
    <b v="1"/>
    <b v="0"/>
    <s v="Intermedi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LinkedIn"/>
    <s v="CREATÓN"/>
    <d v="2026-09-11T00:00:00"/>
    <d v="1899-12-30T10:23:05"/>
    <s v=" 321 4233785"/>
    <s v="Carrera 72 BIS 25B-50, 110931 Bogota, D.C., Colombia"/>
    <s v="DP"/>
    <n v="89.7"/>
    <s v="Cata"/>
    <x v="16"/>
    <x v="1"/>
    <s v="OK"/>
    <x v="3"/>
    <x v="182"/>
    <x v="0"/>
    <x v="2"/>
    <x v="3"/>
  </r>
  <r>
    <x v="189"/>
    <x v="189"/>
    <s v="Cédula de ciudadanía"/>
    <x v="189"/>
    <s v="Hombre"/>
    <n v="22"/>
    <b v="1"/>
    <m/>
    <s v="Bogotá"/>
    <s v="Colegio de Estudios Superiores de Administración CESA"/>
    <m/>
    <s v="Administración de Empresas"/>
    <m/>
    <b v="1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LinkedIn"/>
    <s v="CREATÓN"/>
    <d v="2026-08-21T00:00:00"/>
    <d v="1899-12-30T14:49:09"/>
    <s v=" 315 3084237"/>
    <s v="Carrera 11D 120-15, 110111 Bogota, D.C., Colombia"/>
    <s v="DP"/>
    <n v="96.8"/>
    <s v="Cata"/>
    <x v="16"/>
    <x v="1"/>
    <s v="OK"/>
    <x v="3"/>
    <x v="183"/>
    <x v="0"/>
    <x v="2"/>
    <x v="3"/>
  </r>
  <r>
    <x v="190"/>
    <x v="190"/>
    <s v="Cédula de ciudadanía"/>
    <x v="190"/>
    <s v="Mujer"/>
    <n v="21"/>
    <b v="1"/>
    <s v="BOGOTA"/>
    <s v="Bogotá"/>
    <s v="Universidad Santo Tomás"/>
    <m/>
    <s v="Marketing / Mercadeo"/>
    <m/>
    <b v="1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8-29T00:00:00"/>
    <d v="1899-12-30T12:03:37"/>
    <s v=" 315 4665567"/>
    <s v="Calle 12C 71C-30, 110831 Bogota, D.C., Colombia"/>
    <s v="DP"/>
    <n v="98.5"/>
    <s v="Cata"/>
    <x v="16"/>
    <x v="1"/>
    <s v="OK"/>
    <x v="4"/>
    <x v="184"/>
    <x v="0"/>
    <x v="2"/>
    <x v="3"/>
  </r>
  <r>
    <x v="191"/>
    <x v="191"/>
    <s v="Cédula de ciudadanía"/>
    <x v="191"/>
    <s v="Hombre"/>
    <n v="20"/>
    <b v="1"/>
    <m/>
    <s v="Bogotá"/>
    <s v="Universidad Jorge Tadeo Lozano"/>
    <m/>
    <s v="Publicidad"/>
    <m/>
    <b v="1"/>
    <b v="0"/>
    <s v="Intermedio"/>
    <s v="Básic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8-21T00:00:00"/>
    <d v="1899-12-30T10:48:04"/>
    <n v="0"/>
    <s v="Calle 5A 71G-30, 110831 Bogota, D.C., Colombia"/>
    <s v="DP"/>
    <n v="91.8"/>
    <s v="Cata"/>
    <x v="16"/>
    <x v="1"/>
    <s v="OK"/>
    <x v="13"/>
    <x v="2"/>
    <x v="0"/>
    <x v="2"/>
    <x v="3"/>
  </r>
  <r>
    <x v="192"/>
    <x v="192"/>
    <s v="Cédula de ciudadanía"/>
    <x v="192"/>
    <s v="Hombre"/>
    <n v="20"/>
    <b v="1"/>
    <s v="Bogotá, Bogotá D.C., Colombia"/>
    <s v="Bogotá"/>
    <s v="Universidad del Rosario"/>
    <m/>
    <s v="Marketing / Mercadeo"/>
    <m/>
    <b v="1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Otros"/>
    <s v="CREATÓN"/>
    <d v="2026-08-27T00:00:00"/>
    <d v="1899-12-30T09:23:12"/>
    <s v=" 350 8504117"/>
    <s v="Avenida Calle 63 45-33, 111321 Bogota, D.C., Colombia"/>
    <s v="DP"/>
    <n v="92.2"/>
    <s v="Cata"/>
    <x v="16"/>
    <x v="1"/>
    <s v="OK"/>
    <x v="4"/>
    <x v="185"/>
    <x v="0"/>
    <x v="2"/>
    <x v="3"/>
  </r>
  <r>
    <x v="193"/>
    <x v="193"/>
    <s v="Cédula de ciudadanía"/>
    <x v="193"/>
    <s v="Mujer"/>
    <n v="21"/>
    <b v="1"/>
    <s v="BOGOTA"/>
    <s v="Bogotá"/>
    <s v="Universidad Jorge Tadeo Lozano"/>
    <m/>
    <s v="Publicidad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9-12T00:00:00"/>
    <d v="1899-12-30T18:37:55"/>
    <n v="3133763400"/>
    <s v="Calle 152B-26, 111156 Bogota, D.C., Colombia"/>
    <s v="DP"/>
    <n v="72.7"/>
    <s v="Cata"/>
    <x v="16"/>
    <x v="1"/>
    <s v="OK"/>
    <x v="13"/>
    <x v="186"/>
    <x v="0"/>
    <x v="2"/>
    <x v="3"/>
  </r>
  <r>
    <x v="194"/>
    <x v="194"/>
    <s v="Cédula de ciudadanía"/>
    <x v="194"/>
    <s v="Hombre"/>
    <n v="22"/>
    <b v="1"/>
    <m/>
    <s v="Bogotá"/>
    <s v="Pontificia Universidad Javeriana"/>
    <m/>
    <s v="Comunicación social"/>
    <m/>
    <b v="0"/>
    <b v="0"/>
    <s v="Avanzad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8-21T00:00:00"/>
    <d v="1899-12-30T12:12:38"/>
    <s v=" 315 3327189"/>
    <s v="Calle 121 3A-20, 110111 Bogota, D.C., Colombia"/>
    <s v="DP"/>
    <n v="94.5"/>
    <s v="Cata"/>
    <x v="16"/>
    <x v="1"/>
    <s v="OK"/>
    <x v="12"/>
    <x v="187"/>
    <x v="0"/>
    <x v="2"/>
    <x v="3"/>
  </r>
  <r>
    <x v="195"/>
    <x v="195"/>
    <s v="Cédula de ciudadanía"/>
    <x v="195"/>
    <s v="Mujer"/>
    <n v="21"/>
    <b v="1"/>
    <m/>
    <s v="Bogotá"/>
    <s v="Universidad del Bosque"/>
    <m/>
    <s v="Negocios Internacionales"/>
    <m/>
    <b v="1"/>
    <b v="0"/>
    <s v="Intermedio"/>
    <s v="Intermedio"/>
    <s v="Ventas"/>
    <m/>
    <m/>
    <m/>
    <s v="Gestión de Ejecución Premium"/>
    <s v="Marketing"/>
    <m/>
    <m/>
    <m/>
    <m/>
    <b v="0"/>
    <b v="0"/>
    <m/>
    <b v="0"/>
    <m/>
    <b v="0"/>
    <m/>
    <b v="0"/>
    <m/>
    <s v="Instagram"/>
    <s v="CREATÓN"/>
    <d v="2026-08-23T00:00:00"/>
    <d v="1899-12-30T18:39:09"/>
    <s v=" 320 2851472"/>
    <s v="Calle 87 96-51, 111011 Bogota, D.C., Colombia"/>
    <s v="DP"/>
    <n v="82.6"/>
    <s v="Cata"/>
    <x v="17"/>
    <x v="1"/>
    <s v="OK"/>
    <x v="5"/>
    <x v="188"/>
    <x v="0"/>
    <x v="2"/>
    <x v="3"/>
  </r>
  <r>
    <x v="196"/>
    <x v="196"/>
    <s v="Cédula de ciudadanía"/>
    <x v="196"/>
    <s v="Mujer"/>
    <n v="20"/>
    <b v="1"/>
    <s v="Bogota"/>
    <s v="Bogotá"/>
    <s v="Otra"/>
    <s v="Universidad EAN"/>
    <s v="Marketing / Mercadeo"/>
    <m/>
    <b v="1"/>
    <b v="0"/>
    <s v="Intermedio"/>
    <s v="Intermedio"/>
    <s v="Marketing"/>
    <m/>
    <m/>
    <m/>
    <m/>
    <s v="Ventas"/>
    <m/>
    <m/>
    <m/>
    <s v="Gestión de Ejecución Premium"/>
    <b v="0"/>
    <b v="0"/>
    <m/>
    <b v="0"/>
    <m/>
    <b v="0"/>
    <m/>
    <b v="0"/>
    <m/>
    <s v="Instagram"/>
    <s v="CREATÓN"/>
    <d v="2026-08-30T00:00:00"/>
    <d v="1899-12-30T18:49:09"/>
    <s v=" 311 2327835"/>
    <s v="Carrera 43A 59B S-67, 111911 Bogota, D.C., Colombia"/>
    <s v="DP"/>
    <n v="88.3"/>
    <s v="Cata"/>
    <x v="17"/>
    <x v="1"/>
    <s v="OK"/>
    <x v="4"/>
    <x v="189"/>
    <x v="0"/>
    <x v="2"/>
    <x v="3"/>
  </r>
  <r>
    <x v="197"/>
    <x v="197"/>
    <s v="Cédula de ciudadanía"/>
    <x v="197"/>
    <s v="Mujer"/>
    <n v="21"/>
    <b v="1"/>
    <s v="BARRANQUILLA"/>
    <s v="Bogotá"/>
    <s v="Universidad del Norte"/>
    <m/>
    <s v="Comunicación social"/>
    <m/>
    <b v="0"/>
    <b v="0"/>
    <s v="Intermedio"/>
    <s v="Intermedio"/>
    <s v="Comunicaciones"/>
    <m/>
    <m/>
    <m/>
    <m/>
    <s v="Marketing"/>
    <m/>
    <m/>
    <m/>
    <m/>
    <b v="0"/>
    <b v="0"/>
    <m/>
    <b v="0"/>
    <m/>
    <b v="0"/>
    <m/>
    <b v="0"/>
    <m/>
    <s v="Otros"/>
    <s v="CREATÓN"/>
    <d v="2026-09-10T00:00:00"/>
    <d v="1899-12-30T05:49:03"/>
    <s v="302 3978224"/>
    <s v="Carrera 28 63B-37, 080012 Barranquilla, Colombia"/>
    <s v="DP"/>
    <n v="90.8"/>
    <s v="Cata"/>
    <x v="17"/>
    <x v="1"/>
    <s v="OK"/>
    <x v="12"/>
    <x v="190"/>
    <x v="0"/>
    <x v="2"/>
    <x v="3"/>
  </r>
  <r>
    <x v="198"/>
    <x v="198"/>
    <s v="Cédula de ciudadanía"/>
    <x v="198"/>
    <s v="Mujer"/>
    <n v="21"/>
    <b v="1"/>
    <s v="Bogota"/>
    <s v="Bogotá"/>
    <s v="Universidad de La Sabana"/>
    <m/>
    <s v="Comunicación social"/>
    <m/>
    <b v="0"/>
    <b v="0"/>
    <s v="Avanzado"/>
    <s v="Básico"/>
    <s v="Comunicaciones"/>
    <m/>
    <m/>
    <m/>
    <m/>
    <s v="Marketing"/>
    <m/>
    <m/>
    <m/>
    <m/>
    <b v="0"/>
    <b v="0"/>
    <m/>
    <b v="0"/>
    <m/>
    <b v="0"/>
    <m/>
    <b v="0"/>
    <m/>
    <s v="Página Web Oficial"/>
    <s v="CREATÓN"/>
    <d v="2026-09-09T00:00:00"/>
    <d v="1899-12-30T07:37:08"/>
    <s v=" 322 8919762"/>
    <s v="Carrera 112A 70A, Bogota, D.C., Colombia"/>
    <s v="DP"/>
    <n v="90.1"/>
    <s v="Cata"/>
    <x v="17"/>
    <x v="1"/>
    <s v="OK"/>
    <x v="12"/>
    <x v="191"/>
    <x v="0"/>
    <x v="2"/>
    <x v="3"/>
  </r>
  <r>
    <x v="199"/>
    <x v="199"/>
    <s v="Cédula de ciudadanía"/>
    <x v="199"/>
    <s v="Mujer"/>
    <n v="22"/>
    <b v="1"/>
    <s v="Bogotá"/>
    <s v="Bogotá"/>
    <s v="Universidad de los Andes"/>
    <m/>
    <s v="Diseño Gráfico"/>
    <m/>
    <b v="0"/>
    <b v="0"/>
    <s v="Avanzado"/>
    <s v="Básico"/>
    <s v="Tecnología"/>
    <m/>
    <m/>
    <m/>
    <m/>
    <s v="Marketing"/>
    <m/>
    <m/>
    <m/>
    <m/>
    <b v="0"/>
    <b v="0"/>
    <m/>
    <b v="0"/>
    <m/>
    <b v="0"/>
    <m/>
    <b v="0"/>
    <m/>
    <s v="Instagram"/>
    <s v="CREATÓN"/>
    <d v="2026-08-25T00:00:00"/>
    <d v="1899-12-30T20:50:13"/>
    <s v=" 313 2540752"/>
    <s v="Calle 20-26, 110311 Bogota, D.C., Colombia"/>
    <s v="DP"/>
    <n v="97.6"/>
    <s v="Cata"/>
    <x v="17"/>
    <x v="1"/>
    <s v="OK"/>
    <x v="17"/>
    <x v="192"/>
    <x v="0"/>
    <x v="2"/>
    <x v="3"/>
  </r>
  <r>
    <x v="200"/>
    <x v="200"/>
    <s v="Cédula de ciudadanía"/>
    <x v="200"/>
    <s v="Mujer"/>
    <n v="21"/>
    <b v="1"/>
    <s v="Bogotá"/>
    <s v="Bogotá"/>
    <s v="Universidad Sergio Arboleda"/>
    <m/>
    <s v="Publicidad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8-27T00:00:00"/>
    <d v="1899-12-30T21:41:08"/>
    <n v="0"/>
    <s v="Carrera 100A 141-25, 111131 Bogota, D.C., Colombia"/>
    <s v="DP"/>
    <n v="88.5"/>
    <s v="Santi"/>
    <x v="17"/>
    <x v="1"/>
    <s v="OK"/>
    <x v="13"/>
    <x v="2"/>
    <x v="0"/>
    <x v="2"/>
    <x v="3"/>
  </r>
  <r>
    <x v="201"/>
    <x v="201"/>
    <s v="Cédula de ciudadanía"/>
    <x v="201"/>
    <s v="Mujer"/>
    <n v="25"/>
    <b v="1"/>
    <s v="Bogotá"/>
    <s v="Bogotá"/>
    <s v="Universidad del Rosario"/>
    <m/>
    <s v="Marketing / Mercadeo"/>
    <m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27T00:00:00"/>
    <d v="1899-12-30T13:19:12"/>
    <s v="316 6382624"/>
    <s v="Avenida Calle 138 58-35, 111111 Bogota, D.C., Colombia"/>
    <s v="DP"/>
    <n v="87.6"/>
    <s v="Cata"/>
    <x v="17"/>
    <x v="1"/>
    <s v="OK"/>
    <x v="4"/>
    <x v="193"/>
    <x v="0"/>
    <x v="2"/>
    <x v="3"/>
  </r>
  <r>
    <x v="202"/>
    <x v="202"/>
    <s v="Cédula de ciudadanía"/>
    <x v="202"/>
    <s v="Mujer"/>
    <n v="22"/>
    <b v="1"/>
    <s v="Bogotá"/>
    <s v="Bogotá"/>
    <s v="Universidad de los Andes"/>
    <m/>
    <s v="Economía"/>
    <m/>
    <b v="0"/>
    <b v="0"/>
    <s v="Avanzado"/>
    <s v="Básico"/>
    <s v="Marketing"/>
    <m/>
    <m/>
    <m/>
    <m/>
    <s v="Asuntos Corporativos"/>
    <m/>
    <m/>
    <m/>
    <m/>
    <b v="0"/>
    <b v="0"/>
    <m/>
    <b v="0"/>
    <m/>
    <b v="0"/>
    <m/>
    <b v="0"/>
    <m/>
    <s v="LinkedIn"/>
    <s v="CREATÓN"/>
    <d v="2026-09-07T00:00:00"/>
    <d v="1899-12-30T13:48:04"/>
    <s v=" 300 4247308"/>
    <s v="Carrera 21 128D-50, 110121 Bogota, D.C., Colombia"/>
    <s v="DP"/>
    <n v="77.2"/>
    <s v="Cata"/>
    <x v="17"/>
    <x v="1"/>
    <s v="OK"/>
    <x v="1"/>
    <x v="194"/>
    <x v="0"/>
    <x v="2"/>
    <x v="3"/>
  </r>
  <r>
    <x v="203"/>
    <x v="203"/>
    <s v="Cédula de ciudadanía"/>
    <x v="203"/>
    <s v="Mujer"/>
    <n v="23"/>
    <b v="1"/>
    <m/>
    <s v="Bogotá"/>
    <s v="Universidad de La Sabana"/>
    <m/>
    <s v="Comunicación social"/>
    <m/>
    <b v="0"/>
    <b v="0"/>
    <s v="Avanzado"/>
    <s v="Intermedio"/>
    <s v="Comunicaciones"/>
    <m/>
    <m/>
    <m/>
    <m/>
    <s v="Marketing"/>
    <m/>
    <m/>
    <m/>
    <m/>
    <b v="0"/>
    <b v="0"/>
    <m/>
    <b v="0"/>
    <m/>
    <b v="0"/>
    <m/>
    <b v="0"/>
    <m/>
    <s v="Instagram"/>
    <s v="CREATÓN"/>
    <d v="2026-09-10T00:00:00"/>
    <d v="1899-12-30T13:09:41"/>
    <s v=" 316 2331982"/>
    <s v="Carrera 57 148-15, 111156 Bogota, D.C., Colombia"/>
    <s v="DP"/>
    <n v="87.4"/>
    <s v="Cata"/>
    <x v="17"/>
    <x v="1"/>
    <s v="OK"/>
    <x v="12"/>
    <x v="195"/>
    <x v="0"/>
    <x v="2"/>
    <x v="3"/>
  </r>
  <r>
    <x v="204"/>
    <x v="204"/>
    <s v="Cédula de ciudadanía"/>
    <x v="204"/>
    <s v="Hombre"/>
    <n v="24"/>
    <b v="1"/>
    <s v="Bogotá"/>
    <s v="Bogotá"/>
    <s v="Universidad del Bosque"/>
    <m/>
    <s v="Marketing / Mercadeo"/>
    <m/>
    <b v="0"/>
    <b v="0"/>
    <s v="Intermedio"/>
    <s v="Intermedio"/>
    <s v="Marketing"/>
    <m/>
    <m/>
    <m/>
    <m/>
    <s v="Tecnología"/>
    <m/>
    <m/>
    <m/>
    <m/>
    <b v="0"/>
    <b v="0"/>
    <m/>
    <b v="0"/>
    <m/>
    <b v="0"/>
    <m/>
    <b v="0"/>
    <m/>
    <s v="LinkedIn"/>
    <s v="CREATÓN"/>
    <d v="2026-09-04T00:00:00"/>
    <d v="1899-12-30T05:59:13"/>
    <s v=" 318 6537732"/>
    <s v="Carrera 17 173-52, 110141 Bogota, D.C., Colombia"/>
    <s v="DP"/>
    <n v="97.2"/>
    <s v="Cata"/>
    <x v="18"/>
    <x v="1"/>
    <s v="OK"/>
    <x v="4"/>
    <x v="196"/>
    <x v="0"/>
    <x v="2"/>
    <x v="3"/>
  </r>
  <r>
    <x v="205"/>
    <x v="205"/>
    <s v="Cédula de ciudadanía"/>
    <x v="205"/>
    <s v="Hombre"/>
    <n v="20"/>
    <b v="1"/>
    <s v="Bogotá"/>
    <s v="Bogotá"/>
    <s v="Universidad Externado de Colombia"/>
    <m/>
    <s v="Comunicación social"/>
    <m/>
    <b v="0"/>
    <b v="0"/>
    <s v="Avanzado"/>
    <s v="Básico"/>
    <s v="Marketing"/>
    <m/>
    <m/>
    <m/>
    <m/>
    <s v="Comunicaciones"/>
    <m/>
    <m/>
    <m/>
    <m/>
    <b v="0"/>
    <b v="0"/>
    <m/>
    <b v="0"/>
    <m/>
    <b v="0"/>
    <m/>
    <b v="0"/>
    <m/>
    <s v="Otros"/>
    <s v="CREATÓN"/>
    <d v="2026-08-25T00:00:00"/>
    <d v="1899-12-30T08:03:37"/>
    <s v=" 322 4654910"/>
    <s v="Carrera 89 17B-57, 110921 Bogota, D.C., Colombia"/>
    <s v="DP"/>
    <n v="96.2"/>
    <s v="Cata"/>
    <x v="18"/>
    <x v="1"/>
    <s v="OK"/>
    <x v="12"/>
    <x v="197"/>
    <x v="0"/>
    <x v="2"/>
    <x v="3"/>
  </r>
  <r>
    <x v="206"/>
    <x v="206"/>
    <s v="Cédula de ciudadanía"/>
    <x v="206"/>
    <s v="Hombre"/>
    <n v="22"/>
    <b v="1"/>
    <s v="Chía, Cundinamarca"/>
    <s v="Bogotá"/>
    <s v="Universidad de La Sabana"/>
    <m/>
    <s v="Negocios Internacionales"/>
    <m/>
    <b v="0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Instagram"/>
    <s v="CREATÓN"/>
    <d v="2026-09-12T00:00:00"/>
    <d v="1899-12-30T15:06:13"/>
    <s v="+32 3 380 64 19"/>
    <s v="Carrera 5 Este 23, Chía, Colombia"/>
    <s v="DP"/>
    <n v="78.5"/>
    <s v="Cata"/>
    <x v="18"/>
    <x v="1"/>
    <s v="OK"/>
    <x v="5"/>
    <x v="198"/>
    <x v="0"/>
    <x v="2"/>
    <x v="3"/>
  </r>
  <r>
    <x v="207"/>
    <x v="207"/>
    <s v="Cédula de ciudadanía"/>
    <x v="207"/>
    <s v="Mujer"/>
    <n v="21"/>
    <b v="1"/>
    <s v="Bogotá"/>
    <s v="Bogotá"/>
    <s v="Universidad Católica de Colombia"/>
    <m/>
    <s v="Administración de Empresas"/>
    <m/>
    <b v="0"/>
    <b v="0"/>
    <s v="Intermedio"/>
    <s v="Avanzado"/>
    <s v="Marketing"/>
    <m/>
    <m/>
    <m/>
    <m/>
    <s v="Ventas"/>
    <m/>
    <m/>
    <m/>
    <s v="Talento Ventas"/>
    <b v="0"/>
    <b v="0"/>
    <m/>
    <b v="0"/>
    <m/>
    <b v="0"/>
    <m/>
    <b v="0"/>
    <m/>
    <s v="Medios Tradicionales"/>
    <s v="CREATÓN"/>
    <d v="2026-08-24T00:00:00"/>
    <d v="1899-12-30T18:19:03"/>
    <n v="0"/>
    <s v="Carrera 94M 97-24, 111021 Bogota, D.C., Colombia"/>
    <s v="DP"/>
    <n v="86.2"/>
    <s v="Cata"/>
    <x v="18"/>
    <x v="1"/>
    <s v="OK"/>
    <x v="3"/>
    <x v="2"/>
    <x v="0"/>
    <x v="2"/>
    <x v="3"/>
  </r>
  <r>
    <x v="208"/>
    <x v="208"/>
    <s v="Cédula de ciudadanía"/>
    <x v="208"/>
    <s v="Hombre"/>
    <n v="21"/>
    <b v="1"/>
    <m/>
    <s v="Bogotá"/>
    <s v="Universidad del Bosque"/>
    <m/>
    <s v="Negocios Internacionales"/>
    <m/>
    <b v="1"/>
    <b v="0"/>
    <s v="Intermedio"/>
    <s v="Intermedio"/>
    <s v="Ventas"/>
    <m/>
    <m/>
    <m/>
    <s v="BEES"/>
    <s v="Marketing"/>
    <m/>
    <m/>
    <m/>
    <m/>
    <b v="0"/>
    <b v="0"/>
    <m/>
    <b v="0"/>
    <m/>
    <b v="0"/>
    <m/>
    <b v="0"/>
    <m/>
    <s v="LinkedIn"/>
    <s v="CREATÓN"/>
    <d v="2026-09-13T00:00:00"/>
    <d v="1899-12-30T13:33:19"/>
    <s v=" 310 4858949"/>
    <s v="Carrera 56 174B-41, 111166 Bogota, D.C., Colombia"/>
    <s v="DP"/>
    <n v="73.099999999999994"/>
    <s v="Cata"/>
    <x v="18"/>
    <x v="1"/>
    <s v="OK"/>
    <x v="5"/>
    <x v="199"/>
    <x v="0"/>
    <x v="2"/>
    <x v="3"/>
  </r>
  <r>
    <x v="209"/>
    <x v="209"/>
    <s v="Cédula de ciudadanía"/>
    <x v="209"/>
    <s v="Mujer"/>
    <n v="22"/>
    <b v="1"/>
    <m/>
    <s v="Bogotá"/>
    <s v="Universidad de los Andes"/>
    <m/>
    <s v="Diseño Gráfico"/>
    <m/>
    <b v="0"/>
    <b v="0"/>
    <s v="Avanzado"/>
    <s v="Ninguno"/>
    <s v="Marketing"/>
    <m/>
    <m/>
    <m/>
    <m/>
    <s v="Comunicaciones"/>
    <m/>
    <m/>
    <m/>
    <m/>
    <b v="0"/>
    <b v="0"/>
    <m/>
    <b v="0"/>
    <m/>
    <b v="0"/>
    <m/>
    <b v="0"/>
    <m/>
    <s v="TikTok"/>
    <s v="CREATÓN"/>
    <d v="2026-09-13T00:00:00"/>
    <d v="1899-12-30T15:04:47"/>
    <n v="3012747419"/>
    <s v="Calle 127D 19-18, 110121 Bogota, D.C., Colombia"/>
    <s v="DP"/>
    <n v="74.2"/>
    <s v="Cata"/>
    <x v="18"/>
    <x v="1"/>
    <s v="OK"/>
    <x v="17"/>
    <x v="200"/>
    <x v="0"/>
    <x v="2"/>
    <x v="3"/>
  </r>
  <r>
    <x v="210"/>
    <x v="210"/>
    <s v="Cédula de ciudadanía"/>
    <x v="210"/>
    <s v="Mujer"/>
    <n v="20"/>
    <b v="1"/>
    <s v="TUNJA"/>
    <s v="Bogotá"/>
    <s v="Universidad Santo Tomás"/>
    <m/>
    <s v="Negocios Internacionales"/>
    <m/>
    <b v="0"/>
    <b v="0"/>
    <s v="Intermedio"/>
    <s v="Básic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9-13T00:00:00"/>
    <d v="1899-12-30T12:34:21"/>
    <n v="3203673260"/>
    <s v="Carrera 2 47-85, 150003 Tunja, Colombia"/>
    <s v="DP"/>
    <n v="83.2"/>
    <s v="Cata"/>
    <x v="19"/>
    <x v="1"/>
    <s v="OK"/>
    <x v="5"/>
    <x v="201"/>
    <x v="0"/>
    <x v="2"/>
    <x v="3"/>
  </r>
  <r>
    <x v="211"/>
    <x v="211"/>
    <s v="Cédula de ciudadanía"/>
    <x v="211"/>
    <s v="Mujer"/>
    <n v="21"/>
    <b v="1"/>
    <m/>
    <s v="Bogotá"/>
    <s v="Pontificia Universidad Javeriana"/>
    <m/>
    <s v="Comunicación social"/>
    <m/>
    <b v="0"/>
    <b v="0"/>
    <s v="Avanzado"/>
    <s v="Básic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21T00:00:00"/>
    <d v="1899-12-30T14:22:15"/>
    <s v=" 310 7994203"/>
    <s v="Calle 150 15-26, 110131 Bogota, D.C., Colombia"/>
    <s v="DP"/>
    <n v="93.2"/>
    <s v="Cata"/>
    <x v="19"/>
    <x v="1"/>
    <s v="OK"/>
    <x v="12"/>
    <x v="202"/>
    <x v="0"/>
    <x v="2"/>
    <x v="3"/>
  </r>
  <r>
    <x v="212"/>
    <x v="212"/>
    <s v="Cédula de ciudadanía"/>
    <x v="212"/>
    <s v="Mujer"/>
    <n v="21"/>
    <b v="1"/>
    <s v="BOGOTA"/>
    <s v="Bogotá"/>
    <s v="Colegio de Estudios Superiores de Administración CESA"/>
    <m/>
    <s v="Administración de Empresas"/>
    <m/>
    <b v="0"/>
    <b v="0"/>
    <s v="Avanzado"/>
    <s v="Avanzad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26T00:00:00"/>
    <d v="1899-12-30T17:46:05"/>
    <s v="301 6356209"/>
    <s v="Avenida Calle 63-1, 111311 Bogota, D.C., Colombia"/>
    <s v="DP"/>
    <n v="92.5"/>
    <s v="Cata"/>
    <x v="19"/>
    <x v="1"/>
    <s v="OK"/>
    <x v="3"/>
    <x v="203"/>
    <x v="0"/>
    <x v="2"/>
    <x v="3"/>
  </r>
  <r>
    <x v="213"/>
    <x v="213"/>
    <s v="Cédula de ciudadanía"/>
    <x v="213"/>
    <s v="Mujer"/>
    <n v="21"/>
    <b v="1"/>
    <m/>
    <s v="Bogotá"/>
    <s v="Universidad de La Sabana"/>
    <m/>
    <s v="Comunicación social"/>
    <m/>
    <b v="0"/>
    <b v="0"/>
    <s v="Avanzado"/>
    <s v="Intermedio"/>
    <s v="Comunicaciones"/>
    <m/>
    <m/>
    <m/>
    <m/>
    <s v="Marketing"/>
    <m/>
    <m/>
    <m/>
    <m/>
    <b v="0"/>
    <b v="0"/>
    <m/>
    <b v="0"/>
    <m/>
    <b v="0"/>
    <m/>
    <b v="0"/>
    <m/>
    <s v="Instagram"/>
    <s v="CREATÓN"/>
    <d v="2026-08-21T00:00:00"/>
    <d v="1899-12-30T09:57:09"/>
    <s v="302 4653702"/>
    <s v="Carrera 75, Bogota, D.C., Colombia"/>
    <s v="DP"/>
    <n v="90.1"/>
    <s v="Cata"/>
    <x v="19"/>
    <x v="1"/>
    <s v="OK"/>
    <x v="12"/>
    <x v="204"/>
    <x v="0"/>
    <x v="2"/>
    <x v="3"/>
  </r>
  <r>
    <x v="214"/>
    <x v="214"/>
    <s v="Cédula de ciudadanía"/>
    <x v="214"/>
    <s v="Hombre"/>
    <n v="21"/>
    <b v="1"/>
    <s v="BOGOTA"/>
    <s v="Bogotá"/>
    <s v="Universidad del Rosario"/>
    <m/>
    <s v="Marketing / Mercadeo"/>
    <m/>
    <b v="0"/>
    <b v="0"/>
    <s v="Avanzado"/>
    <s v="Intermedio"/>
    <s v="Marketing"/>
    <m/>
    <m/>
    <m/>
    <m/>
    <s v="Logística"/>
    <m/>
    <m/>
    <m/>
    <m/>
    <b v="0"/>
    <b v="0"/>
    <m/>
    <b v="0"/>
    <m/>
    <b v="0"/>
    <m/>
    <b v="0"/>
    <m/>
    <s v="Otros"/>
    <s v="CREATÓN"/>
    <d v="2026-08-30T00:00:00"/>
    <d v="1899-12-30T10:20:04"/>
    <n v="3158221182"/>
    <s v="Carrera 12 169-50, 110131 Bogota, D.C., Colombia"/>
    <s v="DP"/>
    <n v="95.6"/>
    <s v="Cata"/>
    <x v="19"/>
    <x v="1"/>
    <s v="OK"/>
    <x v="4"/>
    <x v="205"/>
    <x v="0"/>
    <x v="2"/>
    <x v="3"/>
  </r>
  <r>
    <x v="215"/>
    <x v="215"/>
    <s v="Cédula de ciudadanía"/>
    <x v="215"/>
    <s v="Hombre"/>
    <n v="24"/>
    <b v="1"/>
    <s v="Tunja"/>
    <s v="Bogotá"/>
    <s v="Universidad Santo Tomás"/>
    <m/>
    <s v="Negocios Internacionales"/>
    <m/>
    <b v="0"/>
    <b v="0"/>
    <s v="Intermedio"/>
    <s v="Básico"/>
    <s v="Marketing"/>
    <m/>
    <m/>
    <m/>
    <m/>
    <s v="Ventas"/>
    <m/>
    <m/>
    <m/>
    <s v="Gestión de Ejecución Premium"/>
    <b v="0"/>
    <b v="0"/>
    <m/>
    <b v="0"/>
    <m/>
    <b v="0"/>
    <m/>
    <b v="0"/>
    <m/>
    <s v="Instagram"/>
    <s v="CREATÓN"/>
    <d v="2026-09-10T00:00:00"/>
    <d v="1899-12-30T18:21:52"/>
    <s v=" 313 2005007"/>
    <s v="Carrera 12 16-38, 150001 Tunja, Colombia"/>
    <s v="DP"/>
    <n v="95.7"/>
    <s v="Cata"/>
    <x v="19"/>
    <x v="1"/>
    <s v="OK"/>
    <x v="5"/>
    <x v="206"/>
    <x v="0"/>
    <x v="2"/>
    <x v="3"/>
  </r>
  <r>
    <x v="216"/>
    <x v="216"/>
    <s v="Cédula de ciudadanía"/>
    <x v="216"/>
    <s v="Mujer"/>
    <n v="21"/>
    <b v="1"/>
    <s v="BOGOTA"/>
    <s v="Bogotá"/>
    <s v="Universidad Externado de Colombia"/>
    <m/>
    <s v="Comunicación social"/>
    <m/>
    <b v="0"/>
    <b v="0"/>
    <s v="Avanzado"/>
    <s v="Intermedio"/>
    <s v="Comunicaciones"/>
    <m/>
    <m/>
    <m/>
    <m/>
    <s v="Marketing"/>
    <m/>
    <m/>
    <m/>
    <m/>
    <b v="0"/>
    <b v="0"/>
    <m/>
    <b v="0"/>
    <m/>
    <b v="0"/>
    <m/>
    <b v="0"/>
    <m/>
    <s v="Otros"/>
    <s v="CREATÓN"/>
    <d v="2026-09-01T00:00:00"/>
    <d v="1899-12-30T13:23:18"/>
    <n v="3166852996"/>
    <s v="Carrera 113A 78-43, 111031 Bogota, D.C., Colombia"/>
    <s v="DP"/>
    <n v="95.3"/>
    <s v="Cata"/>
    <x v="19"/>
    <x v="1"/>
    <s v="OK"/>
    <x v="12"/>
    <x v="207"/>
    <x v="0"/>
    <x v="2"/>
    <x v="3"/>
  </r>
  <r>
    <x v="217"/>
    <x v="217"/>
    <s v="Cédula de ciudadanía"/>
    <x v="217"/>
    <s v="Mujer"/>
    <n v="22"/>
    <b v="1"/>
    <s v="Bogotá, D.c."/>
    <s v="Bogotá"/>
    <s v="Universidad del Rosario"/>
    <m/>
    <s v="Marketing / Mercadeo"/>
    <m/>
    <b v="1"/>
    <b v="0"/>
    <s v="Intermedio"/>
    <s v="Básic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27T00:00:00"/>
    <d v="1899-12-30T09:23:03"/>
    <s v=" 320 4770807"/>
    <s v="Avenida Carrera 72 152B-89, 111156 Bogota, D.C., Colombia"/>
    <s v="DP"/>
    <n v="85.9"/>
    <s v="Cata"/>
    <x v="19"/>
    <x v="1"/>
    <s v="OK"/>
    <x v="4"/>
    <x v="208"/>
    <x v="0"/>
    <x v="2"/>
    <x v="3"/>
  </r>
  <r>
    <x v="218"/>
    <x v="218"/>
    <s v="Cédula de ciudadanía"/>
    <x v="218"/>
    <s v="Hombre"/>
    <n v="20"/>
    <b v="1"/>
    <s v="Bogotá"/>
    <s v="Bogotá"/>
    <s v="Universidad Sergio Arboleda"/>
    <m/>
    <s v="Publicidad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8-31T00:00:00"/>
    <d v="1899-12-30T22:09:06"/>
    <s v=" 321 2201787"/>
    <s v="Parque Residencial Nuevo Recreo, 110721 Bogota, D.C., Colombia"/>
    <s v="DP"/>
    <n v="89.8"/>
    <s v="Cata"/>
    <x v="17"/>
    <x v="1"/>
    <s v="OK"/>
    <x v="13"/>
    <x v="209"/>
    <x v="0"/>
    <x v="2"/>
    <x v="3"/>
  </r>
  <r>
    <x v="219"/>
    <x v="219"/>
    <s v="Cédula de ciudadanía"/>
    <x v="219"/>
    <s v="Mujer"/>
    <n v="22"/>
    <b v="1"/>
    <s v="Bogotá"/>
    <s v="Bogotá"/>
    <s v="Pontificia Universidad Javeriana"/>
    <m/>
    <s v="Diseño Gráfico"/>
    <m/>
    <b v="1"/>
    <b v="0"/>
    <s v="Intermedio"/>
    <s v="Básic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9-12T00:00:00"/>
    <d v="1899-12-30T17:31:05"/>
    <n v="3176131515"/>
    <s v="Calle 127A BIS 15-61, 110121 Bogota, D.C., Colombia"/>
    <s v="DP"/>
    <n v="77.5"/>
    <s v="Cata"/>
    <x v="16"/>
    <x v="1"/>
    <s v="OK"/>
    <x v="17"/>
    <x v="210"/>
    <x v="0"/>
    <x v="2"/>
    <x v="3"/>
  </r>
  <r>
    <x v="220"/>
    <x v="220"/>
    <s v="Cédula de ciudadanía"/>
    <x v="220"/>
    <s v="Hombre"/>
    <n v="25"/>
    <b v="1"/>
    <m/>
    <s v="Bogotá"/>
    <s v="Universidad Sergio Arboleda"/>
    <m/>
    <s v="Otra"/>
    <s v="Marketing Integral y Negocios Globales"/>
    <b v="0"/>
    <b v="0"/>
    <s v="Avanzado"/>
    <s v="Intermedio"/>
    <s v="Marketing"/>
    <m/>
    <m/>
    <m/>
    <m/>
    <s v="Logística"/>
    <m/>
    <m/>
    <m/>
    <m/>
    <b v="0"/>
    <b v="0"/>
    <m/>
    <b v="0"/>
    <m/>
    <b v="0"/>
    <m/>
    <b v="0"/>
    <m/>
    <s v="LinkedIn"/>
    <s v="CREATÓN"/>
    <d v="2026-08-21T00:00:00"/>
    <d v="1899-12-30T09:57:09"/>
    <s v=" 314 5427700"/>
    <s v="Carrera 12 101-36, 110111 Bogota, D.C., Colombia"/>
    <s v="DP"/>
    <n v="93"/>
    <s v="Cata"/>
    <x v="18"/>
    <x v="1"/>
    <s v="OK"/>
    <x v="31"/>
    <x v="211"/>
    <x v="0"/>
    <x v="2"/>
    <x v="3"/>
  </r>
  <r>
    <x v="221"/>
    <x v="221"/>
    <s v="Cédula de ciudadanía"/>
    <x v="221"/>
    <s v="Mujer"/>
    <n v="22"/>
    <b v="1"/>
    <s v="Bogotá"/>
    <s v="Bogotá"/>
    <s v="Universidad Externado de Colombia"/>
    <m/>
    <s v="Otra"/>
    <s v="Comunicación Social - Periodismo"/>
    <b v="0"/>
    <b v="0"/>
    <s v="Avanzado"/>
    <s v="Intermedio"/>
    <s v="Marketing"/>
    <m/>
    <m/>
    <m/>
    <m/>
    <s v="Comunicaciones"/>
    <m/>
    <m/>
    <m/>
    <m/>
    <b v="0"/>
    <b v="0"/>
    <m/>
    <b v="0"/>
    <m/>
    <b v="0"/>
    <m/>
    <b v="0"/>
    <m/>
    <s v="Otros"/>
    <s v="CREATÓN"/>
    <d v="2026-09-07T00:00:00"/>
    <d v="1899-12-30T16:01:16"/>
    <n v="0"/>
    <s v="Calle 66C-65, 111221 Bogota, D.C., Colombia"/>
    <s v="DP"/>
    <n v="85.6"/>
    <s v="Cata"/>
    <x v="18"/>
    <x v="1"/>
    <s v="OK"/>
    <x v="32"/>
    <x v="2"/>
    <x v="0"/>
    <x v="2"/>
    <x v="3"/>
  </r>
  <r>
    <x v="222"/>
    <x v="222"/>
    <s v="Cédula de ciudadanía"/>
    <x v="222"/>
    <s v="Mujer"/>
    <n v="21"/>
    <b v="1"/>
    <s v="BOGOTA"/>
    <s v="Bogotá"/>
    <s v="Universidad de los Andes"/>
    <m/>
    <s v="Administración de Empresas"/>
    <m/>
    <b v="0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Página Web Oficial"/>
    <s v="CREATÓN"/>
    <d v="2026-08-27T00:00:00"/>
    <d v="1899-12-30T14:19:07"/>
    <n v="3115706314"/>
    <s v="Carrera 22 118-95, 110111 Bogota, D.C., Colombia"/>
    <s v="DP"/>
    <n v="92.2"/>
    <s v="Santi"/>
    <x v="19"/>
    <x v="1"/>
    <s v="OK"/>
    <x v="3"/>
    <x v="212"/>
    <x v="0"/>
    <x v="2"/>
    <x v="3"/>
  </r>
  <r>
    <x v="223"/>
    <x v="223"/>
    <s v="Cédula de ciudadanía"/>
    <x v="223"/>
    <s v="Mujer"/>
    <n v="23"/>
    <b v="1"/>
    <s v="BOGOTA"/>
    <s v="Bogotá"/>
    <s v="Pontificia Universidad Javeriana"/>
    <m/>
    <s v="Administración de Empresas"/>
    <m/>
    <b v="1"/>
    <b v="0"/>
    <s v="Intermedio"/>
    <s v="Intermedio"/>
    <s v="Marketing"/>
    <m/>
    <m/>
    <m/>
    <m/>
    <s v="Ventas"/>
    <m/>
    <m/>
    <m/>
    <s v="Gestión de Ejecución Premium"/>
    <b v="0"/>
    <b v="0"/>
    <m/>
    <b v="0"/>
    <m/>
    <b v="0"/>
    <m/>
    <b v="0"/>
    <m/>
    <s v="LinkedIn"/>
    <s v="CREATÓN"/>
    <d v="2026-08-27T00:00:00"/>
    <d v="1899-12-30T21:26:04"/>
    <n v="3107511782"/>
    <s v="Carrera 80 172A-35, 111166 Bogota, D.C., Colombia"/>
    <s v="DP"/>
    <n v="87.4"/>
    <s v="Cata"/>
    <x v="16"/>
    <x v="2"/>
    <s v="OK"/>
    <x v="3"/>
    <x v="213"/>
    <x v="0"/>
    <x v="2"/>
    <x v="3"/>
  </r>
  <r>
    <x v="224"/>
    <x v="224"/>
    <s v="Cédula de ciudadanía"/>
    <x v="224"/>
    <s v="Mujer"/>
    <n v="21"/>
    <b v="1"/>
    <m/>
    <s v="Bogotá"/>
    <s v="Universidad Pontificia Bolivariana"/>
    <m/>
    <s v="Comunicación social"/>
    <m/>
    <b v="1"/>
    <b v="0"/>
    <s v="Intermedio"/>
    <s v="Básic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9-12T00:00:00"/>
    <d v="1899-12-30T11:41:12"/>
    <n v="3178025848"/>
    <s v="Carrera 29 94-3, 680003 Bucaramanga, Colombia"/>
    <s v="DP"/>
    <n v="92.7"/>
    <s v="Cata"/>
    <x v="16"/>
    <x v="2"/>
    <s v="OK"/>
    <x v="12"/>
    <x v="214"/>
    <x v="0"/>
    <x v="2"/>
    <x v="3"/>
  </r>
  <r>
    <x v="225"/>
    <x v="225"/>
    <s v="Cédula de ciudadanía"/>
    <x v="225"/>
    <s v="Mujer"/>
    <n v="19"/>
    <b v="1"/>
    <m/>
    <s v="Bogotá"/>
    <s v="Universidad del Magdalena"/>
    <m/>
    <s v="Negocios Internacionales"/>
    <m/>
    <b v="0"/>
    <b v="0"/>
    <s v="Intermedio"/>
    <s v="Avanzado"/>
    <s v="Finanzas"/>
    <m/>
    <m/>
    <m/>
    <m/>
    <s v="Marketing"/>
    <m/>
    <s v="Finanzas Impuestos"/>
    <m/>
    <m/>
    <b v="0"/>
    <b v="0"/>
    <m/>
    <b v="0"/>
    <m/>
    <b v="0"/>
    <m/>
    <b v="0"/>
    <m/>
    <s v="LinkedIn"/>
    <s v="CREATÓN"/>
    <d v="2026-09-12T00:00:00"/>
    <d v="1899-12-30T11:30:09"/>
    <s v=" 322 5830965"/>
    <s v="Conjunto Residencial El Magnolio, 250001 Chía, Colombia"/>
    <s v="DP"/>
    <n v="90.7"/>
    <s v="Cata"/>
    <x v="18"/>
    <x v="2"/>
    <s v="OK"/>
    <x v="5"/>
    <x v="215"/>
    <x v="0"/>
    <x v="2"/>
    <x v="3"/>
  </r>
  <r>
    <x v="226"/>
    <x v="226"/>
    <s v="Cédula de ciudadanía"/>
    <x v="226"/>
    <s v="Mujer"/>
    <n v="20"/>
    <b v="1"/>
    <s v="Bogotá"/>
    <s v="Bogotá"/>
    <s v="Universidad Externado de Colombia"/>
    <m/>
    <s v="Comunicación social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9-04T00:00:00"/>
    <d v="1899-12-30T05:59:10"/>
    <n v="3246764783"/>
    <s v="Calle 68 Sur 78H-28, 110741 Bogota, D.C., Colombia"/>
    <s v="DP"/>
    <n v="90.5"/>
    <s v="Cata"/>
    <x v="18"/>
    <x v="1"/>
    <s v="OK"/>
    <x v="12"/>
    <x v="216"/>
    <x v="0"/>
    <x v="2"/>
    <x v="3"/>
  </r>
  <r>
    <x v="227"/>
    <x v="227"/>
    <s v="Cédula de ciudadanía"/>
    <x v="227"/>
    <s v="Mujer"/>
    <n v="22"/>
    <b v="1"/>
    <m/>
    <s v="Bogotá"/>
    <s v="Universidad del Rosario"/>
    <m/>
    <s v="Marketing / Mercadeo"/>
    <m/>
    <b v="0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LinkedIn"/>
    <s v="CREATÓN"/>
    <d v="2026-08-23T00:00:00"/>
    <d v="1899-12-30T20:14:11"/>
    <s v=" 311 2694927"/>
    <s v="Carrera 49 118-73, 111111 Bogota, D.C., Colombia"/>
    <s v="DP"/>
    <n v="90.3"/>
    <s v="Cata"/>
    <x v="19"/>
    <x v="2"/>
    <s v="OK"/>
    <x v="4"/>
    <x v="217"/>
    <x v="0"/>
    <x v="2"/>
    <x v="3"/>
  </r>
  <r>
    <x v="228"/>
    <x v="228"/>
    <s v="Cédula de ciudadanía"/>
    <x v="228"/>
    <s v="Mujer"/>
    <n v="20"/>
    <b v="1"/>
    <m/>
    <s v="Bogotá"/>
    <s v="Universidad de los Andes"/>
    <m/>
    <s v="Administración de Empresas"/>
    <m/>
    <b v="0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Otros"/>
    <s v="CREATÓN"/>
    <d v="2026-08-22T00:00:00"/>
    <d v="1899-12-30T10:12:09"/>
    <n v="3102646772"/>
    <s v="Calle 131 78A-61, 111121 Bogota, D.C., Colombia"/>
    <s v="DP"/>
    <n v="88.8"/>
    <s v="Cata"/>
    <x v="19"/>
    <x v="1"/>
    <s v="OK"/>
    <x v="3"/>
    <x v="218"/>
    <x v="0"/>
    <x v="2"/>
    <x v="3"/>
  </r>
  <r>
    <x v="229"/>
    <x v="229"/>
    <s v="Cédula de ciudadanía"/>
    <x v="229"/>
    <s v="Hombre"/>
    <n v="23"/>
    <b v="1"/>
    <m/>
    <s v="Boyacá"/>
    <s v="Universidad Nacional de Colombia"/>
    <m/>
    <s v="Ingeniería Industrial"/>
    <m/>
    <b v="1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21T00:00:00"/>
    <d v="1899-12-30T09:57:06"/>
    <n v="3112388229"/>
    <s v="443020 Hatonuevo, Colombia"/>
    <s v="DP"/>
    <n v="94"/>
    <s v="Cata"/>
    <x v="20"/>
    <x v="0"/>
    <s v="OK"/>
    <x v="10"/>
    <x v="219"/>
    <x v="3"/>
    <x v="3"/>
    <x v="4"/>
  </r>
  <r>
    <x v="230"/>
    <x v="230"/>
    <s v="Cédula de ciudadanía"/>
    <x v="230"/>
    <s v="Mujer"/>
    <n v="23"/>
    <b v="1"/>
    <s v="BUCARAMANGA"/>
    <s v="Boyacá"/>
    <s v="Universidad Industrial de Santander"/>
    <m/>
    <s v="Ingeniería Química"/>
    <m/>
    <b v="0"/>
    <b v="0"/>
    <s v="Básic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30T00:00:00"/>
    <d v="1899-12-30T10:20:05"/>
    <s v="320 8367712"/>
    <s v="Carrera 23 9-5, 680001 Bucaramanga, Colombia"/>
    <s v="DP"/>
    <n v="80.8"/>
    <s v="Cata"/>
    <x v="20"/>
    <x v="1"/>
    <s v="OK"/>
    <x v="28"/>
    <x v="220"/>
    <x v="3"/>
    <x v="3"/>
    <x v="4"/>
  </r>
  <r>
    <x v="231"/>
    <x v="231"/>
    <s v="Cédula de ciudadanía"/>
    <x v="231"/>
    <s v="Mujer"/>
    <n v="21"/>
    <b v="1"/>
    <m/>
    <s v="Boyacá"/>
    <s v="Universidad Industrial de Santander"/>
    <m/>
    <s v="Ingeniería Química"/>
    <m/>
    <b v="0"/>
    <b v="0"/>
    <s v="Básico"/>
    <s v="Intermedio"/>
    <s v="Producción (Operaciones)"/>
    <m/>
    <m/>
    <m/>
    <m/>
    <s v="Ventas"/>
    <m/>
    <m/>
    <m/>
    <s v="Ventas Comercial"/>
    <b v="0"/>
    <b v="0"/>
    <m/>
    <b v="0"/>
    <m/>
    <b v="0"/>
    <m/>
    <b v="0"/>
    <m/>
    <s v="LinkedIn"/>
    <s v="CREATÓN"/>
    <d v="2026-09-13T00:00:00"/>
    <d v="1899-12-30T10:24:03"/>
    <n v="3154190320"/>
    <s v="Calle 11 23-49, 680001 Bucaramanga, Colombia"/>
    <s v="DP"/>
    <n v="79.599999999999994"/>
    <s v="Cata"/>
    <x v="20"/>
    <x v="1"/>
    <s v="OK"/>
    <x v="28"/>
    <x v="221"/>
    <x v="3"/>
    <x v="3"/>
    <x v="4"/>
  </r>
  <r>
    <x v="232"/>
    <x v="232"/>
    <s v="Cédula de ciudadanía"/>
    <x v="232"/>
    <s v="Mujer"/>
    <n v="21"/>
    <b v="1"/>
    <m/>
    <s v="Boyacá"/>
    <s v="Otra"/>
    <s v="UNAD Universidad Nacional Abierta y a Distancia"/>
    <s v="Ingeniería Industrial"/>
    <m/>
    <b v="1"/>
    <b v="0"/>
    <s v="Básico"/>
    <s v="Intermedio"/>
    <s v="Logístic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22T00:00:00"/>
    <d v="1899-12-30T12:52:08"/>
    <s v=" 321 7866399"/>
    <s v="Calle 13 34-13, 150462 Duitama, Colombia"/>
    <s v="DP"/>
    <n v="92.9"/>
    <s v="Cata"/>
    <x v="20"/>
    <x v="1"/>
    <s v="OK"/>
    <x v="10"/>
    <x v="222"/>
    <x v="3"/>
    <x v="3"/>
    <x v="4"/>
  </r>
  <r>
    <x v="233"/>
    <x v="233"/>
    <s v="Cédula de ciudadanía"/>
    <x v="233"/>
    <s v="Mujer"/>
    <n v="21"/>
    <b v="1"/>
    <s v="DUITAMA"/>
    <s v="Boyacá"/>
    <s v="Universidad Pedagógica y Tecnológica de Colombia"/>
    <m/>
    <s v="Ingeniería Industrial"/>
    <m/>
    <b v="0"/>
    <b v="0"/>
    <s v="Intermedio"/>
    <s v="Intermedio"/>
    <s v="Producción (Operaciones)"/>
    <m/>
    <m/>
    <m/>
    <m/>
    <s v="Logística"/>
    <m/>
    <m/>
    <m/>
    <m/>
    <b v="0"/>
    <b v="1"/>
    <m/>
    <b v="0"/>
    <m/>
    <b v="0"/>
    <s v="Hermano - Andres Felipe Fajardo Vargas"/>
    <b v="0"/>
    <m/>
    <s v="Instagram"/>
    <s v="CREATÓN"/>
    <d v="2026-09-12T00:00:00"/>
    <d v="1899-12-30T15:13:02"/>
    <s v="311 8242698"/>
    <s v="Carrera 26 25-25, 150462 Duitama, Colombia"/>
    <s v="DP"/>
    <n v="79.5"/>
    <s v="Cata"/>
    <x v="20"/>
    <x v="1"/>
    <s v="OK"/>
    <x v="10"/>
    <x v="223"/>
    <x v="3"/>
    <x v="3"/>
    <x v="4"/>
  </r>
  <r>
    <x v="234"/>
    <x v="234"/>
    <s v="Cédula de ciudadanía"/>
    <x v="234"/>
    <s v="Hombre"/>
    <n v="22"/>
    <b v="1"/>
    <m/>
    <s v="Boyacá"/>
    <s v="Universidad Pedagógica y Tecnológica de Colombia"/>
    <m/>
    <s v="Ingeniería Industrial"/>
    <m/>
    <b v="0"/>
    <b v="0"/>
    <s v="Intermedi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2T00:00:00"/>
    <d v="1899-12-30T22:57:24"/>
    <n v="3186987976"/>
    <s v="Sogamoso, Colombia"/>
    <s v="DP"/>
    <n v="74.599999999999994"/>
    <s v="Cata"/>
    <x v="20"/>
    <x v="1"/>
    <s v="OK"/>
    <x v="10"/>
    <x v="224"/>
    <x v="3"/>
    <x v="3"/>
    <x v="4"/>
  </r>
  <r>
    <x v="235"/>
    <x v="235"/>
    <s v="Cédula de ciudadanía"/>
    <x v="235"/>
    <s v="Hombre"/>
    <n v="24"/>
    <b v="1"/>
    <s v="Sogamoso"/>
    <s v="Boyacá"/>
    <s v="Universidad Pedagógica y Tecnológica de Colombia"/>
    <m/>
    <s v="Ingeniería Industrial"/>
    <m/>
    <b v="0"/>
    <b v="0"/>
    <s v="Intermedi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Página Web Oficial"/>
    <s v="CREATÓN"/>
    <d v="2026-08-30T00:00:00"/>
    <d v="1899-12-30T21:00:05"/>
    <n v="3205909541"/>
    <s v="Carrera 31 11A-54, 152211 Sogamoso, Colombia"/>
    <s v="DP"/>
    <n v="76.900000000000006"/>
    <s v="Cata"/>
    <x v="20"/>
    <x v="1"/>
    <s v="OK"/>
    <x v="10"/>
    <x v="225"/>
    <x v="3"/>
    <x v="3"/>
    <x v="4"/>
  </r>
  <r>
    <x v="236"/>
    <x v="236"/>
    <s v="Cédula de ciudadanía"/>
    <x v="236"/>
    <s v="Hombre"/>
    <n v="22"/>
    <b v="1"/>
    <s v="SOGAMOSO"/>
    <s v="Boyacá"/>
    <s v="Universidad Pedagógica y Tecnológica de Colombia"/>
    <m/>
    <s v="Ingeniería Electrónica"/>
    <m/>
    <b v="0"/>
    <b v="0"/>
    <s v="Intermedio"/>
    <s v="Intermedio"/>
    <s v="Producción (Operaciones)"/>
    <m/>
    <m/>
    <m/>
    <m/>
    <s v="Logística"/>
    <m/>
    <m/>
    <m/>
    <m/>
    <b v="0"/>
    <b v="0"/>
    <m/>
    <b v="1"/>
    <m/>
    <b v="0"/>
    <m/>
    <b v="0"/>
    <s v="Abuela - Mariela Camargo de Rodriguez"/>
    <s v="Medios Tradicionales"/>
    <s v="CREATÓN"/>
    <d v="2026-09-02T00:00:00"/>
    <d v="1899-12-30T14:41:04"/>
    <n v="3202806780"/>
    <s v="Vereda Primera Chorrera, Sogamoso, Colombia"/>
    <s v="DP"/>
    <n v="95.4"/>
    <s v="Cata"/>
    <x v="20"/>
    <x v="1"/>
    <s v="OK"/>
    <x v="24"/>
    <x v="226"/>
    <x v="3"/>
    <x v="3"/>
    <x v="4"/>
  </r>
  <r>
    <x v="237"/>
    <x v="237"/>
    <s v="Cédula de ciudadanía"/>
    <x v="237"/>
    <s v="Mujer"/>
    <n v="22"/>
    <b v="1"/>
    <s v="TUNJA"/>
    <s v="Bogotá"/>
    <s v="Universidad Santo Tomás"/>
    <m/>
    <s v="Ingeniería Ambiental"/>
    <m/>
    <b v="0"/>
    <b v="0"/>
    <s v="Básico"/>
    <s v="Intermedio"/>
    <s v="Producción (Operaciones)"/>
    <m/>
    <m/>
    <m/>
    <m/>
    <s v="Tecnología"/>
    <m/>
    <m/>
    <m/>
    <m/>
    <b v="0"/>
    <b v="0"/>
    <m/>
    <b v="0"/>
    <m/>
    <b v="0"/>
    <m/>
    <b v="0"/>
    <m/>
    <s v="Página Web Oficial"/>
    <s v="CREATÓN"/>
    <d v="2026-09-04T00:00:00"/>
    <d v="1899-12-30T16:11:03"/>
    <s v="310 8803925"/>
    <s v="Calle 32 17B, Tunja, Colombia"/>
    <s v="PS"/>
    <n v="87.1"/>
    <m/>
    <x v="20"/>
    <x v="1"/>
    <s v="Agregada desde hoja de vida (14/10/2026)"/>
    <x v="33"/>
    <x v="227"/>
    <x v="3"/>
    <x v="3"/>
    <x v="4"/>
  </r>
  <r>
    <x v="238"/>
    <x v="238"/>
    <s v="Cédula de ciudadanía"/>
    <x v="238"/>
    <m/>
    <m/>
    <b v="1"/>
    <m/>
    <m/>
    <s v="Universidad de Boyacá"/>
    <m/>
    <s v="Ingeniería Ambiental"/>
    <m/>
    <m/>
    <m/>
    <s v="Intermedio"/>
    <m/>
    <m/>
    <m/>
    <m/>
    <m/>
    <m/>
    <m/>
    <m/>
    <m/>
    <m/>
    <m/>
    <m/>
    <m/>
    <m/>
    <m/>
    <m/>
    <m/>
    <m/>
    <m/>
    <m/>
    <m/>
    <s v="CREATÓN"/>
    <n v="46309"/>
    <m/>
    <s v="313 4266421"/>
    <m/>
    <m/>
    <m/>
    <m/>
    <x v="20"/>
    <x v="1"/>
    <s v="Agregado desde hoja de vida (14/10/2026)"/>
    <x v="33"/>
    <x v="228"/>
    <x v="3"/>
    <x v="3"/>
    <x v="4"/>
  </r>
  <r>
    <x v="239"/>
    <x v="239"/>
    <s v="Cédula de ciudadanía"/>
    <x v="239"/>
    <s v="Hombre"/>
    <n v="23"/>
    <b v="1"/>
    <s v="PASTO"/>
    <s v="Boyacá"/>
    <s v="Universidad de Nariño"/>
    <m/>
    <s v="Ingeniería Agroindustrial"/>
    <m/>
    <b v="0"/>
    <b v="0"/>
    <s v="Básico"/>
    <s v="Intermedio"/>
    <s v="Logística"/>
    <m/>
    <m/>
    <m/>
    <m/>
    <s v="Producción (Operaciones)"/>
    <s v="Calidad"/>
    <m/>
    <m/>
    <m/>
    <b v="0"/>
    <b v="0"/>
    <m/>
    <b v="0"/>
    <m/>
    <b v="0"/>
    <m/>
    <b v="0"/>
    <m/>
    <s v="Página Web Oficial"/>
    <s v="CREATÓN"/>
    <d v="2026-08-26T00:00:00"/>
    <d v="1899-12-30T05:28:04"/>
    <s v=" 312 7102118"/>
    <s v="Calle 21G, Pasto, Colombia"/>
    <s v="DP"/>
    <n v="92.1"/>
    <s v="Cata"/>
    <x v="20"/>
    <x v="2"/>
    <s v="OK"/>
    <x v="34"/>
    <x v="229"/>
    <x v="3"/>
    <x v="3"/>
    <x v="4"/>
  </r>
  <r>
    <x v="240"/>
    <x v="240"/>
    <s v="Cédula de ciudadanía"/>
    <x v="240"/>
    <m/>
    <n v="20"/>
    <b v="1"/>
    <s v="Tunja"/>
    <m/>
    <s v="Otra"/>
    <s v="Universidad de Boyacá"/>
    <s v="Comunicación social"/>
    <m/>
    <m/>
    <m/>
    <m/>
    <m/>
    <m/>
    <m/>
    <m/>
    <m/>
    <m/>
    <m/>
    <m/>
    <m/>
    <m/>
    <m/>
    <m/>
    <m/>
    <m/>
    <m/>
    <m/>
    <m/>
    <m/>
    <m/>
    <m/>
    <m/>
    <s v="CREATÓN"/>
    <m/>
    <m/>
    <s v="313 4401989"/>
    <s v="Cl. 43 No. 4-104, Las Quintas, Tunja, Boyacá"/>
    <m/>
    <m/>
    <m/>
    <x v="21"/>
    <x v="0"/>
    <s v="OK "/>
    <x v="12"/>
    <x v="230"/>
    <x v="3"/>
    <x v="3"/>
    <x v="4"/>
  </r>
  <r>
    <x v="241"/>
    <x v="241"/>
    <s v="Cédula de ciudadanía"/>
    <x v="241"/>
    <s v="Hombre"/>
    <n v="24"/>
    <b v="1"/>
    <m/>
    <s v="Boyacá"/>
    <s v="Universidad Pedagógica y Tecnológica de Colombia"/>
    <m/>
    <s v="Ingeniería Industrial"/>
    <m/>
    <b v="0"/>
    <b v="0"/>
    <s v="Básico"/>
    <s v="Intermedio"/>
    <s v="Talento"/>
    <m/>
    <m/>
    <m/>
    <m/>
    <s v="Producción (Operaciones)"/>
    <s v="Calidad"/>
    <m/>
    <s v="Atracción de Talento y Marca Empleadora"/>
    <m/>
    <b v="0"/>
    <b v="0"/>
    <m/>
    <b v="0"/>
    <m/>
    <b v="0"/>
    <m/>
    <b v="0"/>
    <m/>
    <s v="Instagram"/>
    <s v="CREATÓN"/>
    <d v="2026-09-12T00:00:00"/>
    <d v="1899-12-30T20:17:51"/>
    <s v=" 321 2038347"/>
    <s v="Duitama, Colombia"/>
    <s v="DP"/>
    <n v="75.3"/>
    <s v="Cata"/>
    <x v="21"/>
    <x v="0"/>
    <s v="OK "/>
    <x v="10"/>
    <x v="231"/>
    <x v="3"/>
    <x v="3"/>
    <x v="4"/>
  </r>
  <r>
    <x v="242"/>
    <x v="242"/>
    <s v="Cédula de ciudadanía"/>
    <x v="242"/>
    <s v="Mujer"/>
    <n v="21"/>
    <b v="1"/>
    <s v="TUNJA"/>
    <s v="Bogotá"/>
    <s v="Otra"/>
    <s v="Universidad de Boyacá"/>
    <s v="Comunicación social"/>
    <m/>
    <b v="0"/>
    <b v="0"/>
    <s v="Intermedio"/>
    <s v="Básico"/>
    <s v="Comunicaciones"/>
    <m/>
    <m/>
    <m/>
    <m/>
    <s v="Marketing"/>
    <m/>
    <m/>
    <m/>
    <m/>
    <b v="0"/>
    <b v="0"/>
    <m/>
    <b v="0"/>
    <m/>
    <b v="0"/>
    <m/>
    <b v="0"/>
    <m/>
    <s v="Instagram"/>
    <s v="CREATÓN"/>
    <d v="2026-09-02T00:00:00"/>
    <d v="1899-12-30T18:32:07"/>
    <n v="3125891400"/>
    <s v="Nogal Plaza, 150003 Tunja, Colombia"/>
    <s v="DP"/>
    <n v="84.4"/>
    <s v="Cata"/>
    <x v="21"/>
    <x v="0"/>
    <s v="OK"/>
    <x v="12"/>
    <x v="232"/>
    <x v="3"/>
    <x v="3"/>
    <x v="4"/>
  </r>
  <r>
    <x v="243"/>
    <x v="243"/>
    <m/>
    <x v="238"/>
    <m/>
    <m/>
    <b v="1"/>
    <s v="Tunja"/>
    <m/>
    <s v="Otra"/>
    <s v="Universidad de Boyacá"/>
    <s v="Comunicación social"/>
    <m/>
    <m/>
    <m/>
    <m/>
    <m/>
    <m/>
    <m/>
    <m/>
    <m/>
    <m/>
    <m/>
    <m/>
    <m/>
    <m/>
    <m/>
    <m/>
    <m/>
    <m/>
    <m/>
    <m/>
    <m/>
    <m/>
    <m/>
    <m/>
    <m/>
    <s v="CREATÓN"/>
    <m/>
    <m/>
    <s v="320 3456294"/>
    <s v="Tunja, Boyacá"/>
    <m/>
    <m/>
    <m/>
    <x v="21"/>
    <x v="0"/>
    <s v="OK "/>
    <x v="12"/>
    <x v="233"/>
    <x v="3"/>
    <x v="3"/>
    <x v="4"/>
  </r>
  <r>
    <x v="244"/>
    <x v="244"/>
    <m/>
    <x v="238"/>
    <m/>
    <m/>
    <b v="1"/>
    <s v="Tunja"/>
    <m/>
    <s v="Otra"/>
    <s v="Universidad de Boyacá"/>
    <s v="Comunicación social"/>
    <m/>
    <m/>
    <m/>
    <m/>
    <m/>
    <m/>
    <m/>
    <m/>
    <m/>
    <m/>
    <m/>
    <m/>
    <m/>
    <m/>
    <m/>
    <m/>
    <m/>
    <m/>
    <m/>
    <m/>
    <m/>
    <m/>
    <m/>
    <m/>
    <m/>
    <s v="CREATÓN"/>
    <m/>
    <m/>
    <s v="314 2225915"/>
    <s v="Tunja, Colombia"/>
    <m/>
    <m/>
    <m/>
    <x v="21"/>
    <x v="0"/>
    <s v="OK "/>
    <x v="12"/>
    <x v="234"/>
    <x v="3"/>
    <x v="3"/>
    <x v="4"/>
  </r>
  <r>
    <x v="245"/>
    <x v="245"/>
    <s v="Cédula de ciudadanía"/>
    <x v="243"/>
    <s v="Hombre"/>
    <n v="22"/>
    <b v="1"/>
    <m/>
    <s v="Boyacá"/>
    <s v="Universidad Militar Nueva Granada"/>
    <m/>
    <s v="Seguridad y Salud en el Trabajo"/>
    <m/>
    <b v="1"/>
    <b v="0"/>
    <s v="Básico"/>
    <s v="Intermedio"/>
    <s v="Producción (Operaciones)"/>
    <m/>
    <m/>
    <s v="Compensación y Beneficios"/>
    <m/>
    <s v="Talento"/>
    <m/>
    <m/>
    <m/>
    <m/>
    <b v="0"/>
    <b v="0"/>
    <m/>
    <b v="0"/>
    <m/>
    <b v="0"/>
    <m/>
    <b v="0"/>
    <m/>
    <s v="Instagram"/>
    <s v="CREATÓN"/>
    <d v="2026-08-22T00:00:00"/>
    <d v="1899-12-30T15:44:05"/>
    <s v=" 312 3264153"/>
    <s v="Carrera 12 9-42, 152210 Sogamoso, Colombia"/>
    <s v="DP"/>
    <n v="81.400000000000006"/>
    <s v="Cata"/>
    <x v="21"/>
    <x v="1"/>
    <s v="OK"/>
    <x v="35"/>
    <x v="235"/>
    <x v="3"/>
    <x v="3"/>
    <x v="4"/>
  </r>
  <r>
    <x v="246"/>
    <x v="246"/>
    <s v="Cédula de ciudadanía"/>
    <x v="244"/>
    <s v="Mujer"/>
    <n v="24"/>
    <b v="1"/>
    <s v="DUITAMA"/>
    <s v="Boyacá"/>
    <s v="Universidad Pedagógica y Tecnológica de Colombia"/>
    <m/>
    <s v="Otra"/>
    <s v="DISEÑO INDUSTRIAL"/>
    <b v="0"/>
    <b v="0"/>
    <s v="Avanzado"/>
    <s v="Intermedio"/>
    <s v="Marketing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8-31T00:00:00"/>
    <d v="1899-12-30T13:31:06"/>
    <n v="3105595063"/>
    <s v="Calle 18-87, 150462 Duitama, Colombia"/>
    <s v="DP"/>
    <n v="89.3"/>
    <s v="Cata"/>
    <x v="21"/>
    <x v="1"/>
    <s v="OK"/>
    <x v="36"/>
    <x v="236"/>
    <x v="3"/>
    <x v="3"/>
    <x v="4"/>
  </r>
  <r>
    <x v="247"/>
    <x v="247"/>
    <s v="Cédula de ciudadanía"/>
    <x v="245"/>
    <s v="Hombre"/>
    <n v="24"/>
    <b v="1"/>
    <s v="Tunja"/>
    <s v="Boyacá"/>
    <s v="Universidad Santo Tomás"/>
    <m/>
    <s v="Derecho"/>
    <m/>
    <b v="0"/>
    <b v="0"/>
    <s v="Avanzado"/>
    <s v="Avanzado"/>
    <s v="Asuntos corporativos"/>
    <m/>
    <m/>
    <s v="Área financiera"/>
    <m/>
    <s v="Talento"/>
    <m/>
    <m/>
    <m/>
    <m/>
    <b v="0"/>
    <b v="0"/>
    <m/>
    <b v="0"/>
    <m/>
    <b v="0"/>
    <m/>
    <b v="0"/>
    <m/>
    <s v="LinkedIn"/>
    <s v="CREATÓN"/>
    <d v="2026-09-04T00:00:00"/>
    <d v="1899-12-30T05:59:15"/>
    <s v=" 317 8009224"/>
    <s v="Carrera 13 19-62, 150002 Tunja, Colombia"/>
    <s v="DP"/>
    <n v="80.8"/>
    <s v="Cata"/>
    <x v="21"/>
    <x v="2"/>
    <s v="OK"/>
    <x v="8"/>
    <x v="237"/>
    <x v="3"/>
    <x v="3"/>
    <x v="4"/>
  </r>
  <r>
    <x v="248"/>
    <x v="248"/>
    <s v="Cédula de ciudadanía"/>
    <x v="246"/>
    <s v="Mujer"/>
    <n v="22"/>
    <b v="1"/>
    <s v="TUNJA"/>
    <s v="Boyacá"/>
    <s v="Universidad Santo Tomás"/>
    <m/>
    <s v="Administración de Empresas"/>
    <m/>
    <b v="1"/>
    <b v="0"/>
    <s v="Intermedio"/>
    <s v="Intermedio"/>
    <s v="Logística"/>
    <m/>
    <m/>
    <m/>
    <m/>
    <s v="Marketing"/>
    <m/>
    <m/>
    <m/>
    <m/>
    <b v="0"/>
    <b v="1"/>
    <m/>
    <b v="0"/>
    <m/>
    <b v="0"/>
    <s v="HERMANO - JULIAN ALEXANDER BUITRAGO BARÓN"/>
    <b v="0"/>
    <m/>
    <s v="Instagram"/>
    <s v="CREATÓN"/>
    <d v="2026-09-12T00:00:00"/>
    <d v="1899-12-30T15:12:04"/>
    <s v=" 322 5436103"/>
    <s v="Tunja, Colombia"/>
    <s v="DP"/>
    <n v="75.8"/>
    <s v="Cata"/>
    <x v="21"/>
    <x v="2"/>
    <s v="OK"/>
    <x v="3"/>
    <x v="238"/>
    <x v="3"/>
    <x v="3"/>
    <x v="4"/>
  </r>
  <r>
    <x v="249"/>
    <x v="249"/>
    <s v="Cédula de ciudadanía"/>
    <x v="247"/>
    <s v="Mujer"/>
    <n v="23"/>
    <b v="1"/>
    <m/>
    <s v="Bucaramanga"/>
    <m/>
    <m/>
    <s v="Trabajo Social"/>
    <m/>
    <b v="0"/>
    <b v="0"/>
    <s v="Avanzado"/>
    <s v="Básico"/>
    <s v="Talento"/>
    <m/>
    <m/>
    <m/>
    <m/>
    <s v="Comunicaciones"/>
    <m/>
    <m/>
    <s v="Atracción de Talento y Marca Empleadora"/>
    <m/>
    <b v="0"/>
    <b v="0"/>
    <m/>
    <b v="0"/>
    <m/>
    <b v="0"/>
    <m/>
    <b v="0"/>
    <m/>
    <s v="Instagram"/>
    <s v="CREATÓN"/>
    <d v="2026-09-12T00:00:00"/>
    <d v="1899-12-30T13:10:03"/>
    <n v="3123884907"/>
    <s v="Carrera 43, Barrancabermeja, Colombia"/>
    <s v="DP"/>
    <n v="75.099999999999994"/>
    <s v="Cata"/>
    <x v="22"/>
    <x v="0"/>
    <s v="OK "/>
    <x v="37"/>
    <x v="239"/>
    <x v="4"/>
    <x v="4"/>
    <x v="4"/>
  </r>
  <r>
    <x v="250"/>
    <x v="250"/>
    <s v="Cédula de ciudadanía"/>
    <x v="248"/>
    <s v="Mujer"/>
    <n v="20"/>
    <b v="1"/>
    <s v="SANTIAGO DE CALI"/>
    <s v="Cali (Yumbo)"/>
    <s v="Universidad San Buenaventura"/>
    <m/>
    <s v="Ingeniería Industrial"/>
    <m/>
    <b v="1"/>
    <b v="0"/>
    <s v="Avanzado"/>
    <s v="Intermedio"/>
    <s v="Logística"/>
    <m/>
    <m/>
    <m/>
    <m/>
    <s v="Producción (Operaciones)"/>
    <s v="Calidad"/>
    <m/>
    <m/>
    <m/>
    <b v="0"/>
    <b v="0"/>
    <m/>
    <b v="0"/>
    <m/>
    <b v="0"/>
    <m/>
    <b v="0"/>
    <m/>
    <s v="Otros"/>
    <s v="CREATÓN"/>
    <d v="2026-09-11T00:00:00"/>
    <d v="1899-12-30T16:26:50"/>
    <s v=" 305 3309565"/>
    <s v="Calle 4D 89-36, 760034 Cali, Colombia"/>
    <s v="DP"/>
    <n v="82.9"/>
    <s v="Cata"/>
    <x v="23"/>
    <x v="1"/>
    <s v="OK"/>
    <x v="10"/>
    <x v="240"/>
    <x v="5"/>
    <x v="4"/>
    <x v="0"/>
  </r>
  <r>
    <x v="251"/>
    <x v="251"/>
    <s v="Cédula de ciudadanía"/>
    <x v="249"/>
    <s v="Mujer"/>
    <n v="21"/>
    <b v="1"/>
    <s v="Cali"/>
    <s v="Cali (Yumbo)"/>
    <s v="Otra"/>
    <s v="Universidad ICESI"/>
    <s v="Otra"/>
    <s v="Ingeniería Bioquímica"/>
    <b v="0"/>
    <b v="0"/>
    <s v="Intermedio"/>
    <s v="Intermedi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LinkedIn"/>
    <s v="CREATÓN"/>
    <d v="2026-09-09T00:00:00"/>
    <d v="1899-12-30T22:54:04"/>
    <s v=" 321 8059557"/>
    <s v="Carrera 112 44-21, 760030 Cali, Colombia"/>
    <s v="DP"/>
    <n v="91.2"/>
    <s v="Cata"/>
    <x v="23"/>
    <x v="2"/>
    <s v="OK"/>
    <x v="38"/>
    <x v="241"/>
    <x v="5"/>
    <x v="4"/>
    <x v="0"/>
  </r>
  <r>
    <x v="252"/>
    <x v="252"/>
    <s v="Cédula de ciudadanía"/>
    <x v="250"/>
    <s v="Mujer"/>
    <n v="22"/>
    <b v="1"/>
    <s v="Cali"/>
    <s v="Cali (Yumbo)"/>
    <s v="Otra"/>
    <s v="Universidad Santiago de Cali"/>
    <s v="Microbiología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3T00:00:00"/>
    <d v="1899-12-30T11:57:23"/>
    <n v="3152004140"/>
    <s v="Calle 18 34-48, 760041 Cali, Colombia"/>
    <s v="DP"/>
    <n v="96.8"/>
    <s v="Cata"/>
    <x v="23"/>
    <x v="2"/>
    <s v="OK"/>
    <x v="39"/>
    <x v="242"/>
    <x v="5"/>
    <x v="4"/>
    <x v="0"/>
  </r>
  <r>
    <x v="253"/>
    <x v="253"/>
    <s v="Cédula de ciudadanía"/>
    <x v="251"/>
    <s v="Mujer"/>
    <n v="22"/>
    <b v="1"/>
    <s v="CALI"/>
    <s v="Cali (Yumbo)"/>
    <s v="Otra"/>
    <s v="Universidad Santiago de Cali"/>
    <s v="Ingeniería Química"/>
    <m/>
    <b v="1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31T00:00:00"/>
    <d v="1899-12-30T16:28:13"/>
    <n v="3157699360"/>
    <s v="Carrera 72 45A-14, 760025 Cali, Colombia"/>
    <s v="DP"/>
    <n v="77.900000000000006"/>
    <s v="Cata"/>
    <x v="23"/>
    <x v="1"/>
    <s v="OK"/>
    <x v="28"/>
    <x v="243"/>
    <x v="5"/>
    <x v="4"/>
    <x v="0"/>
  </r>
  <r>
    <x v="254"/>
    <x v="254"/>
    <s v="Cédula de ciudadanía"/>
    <x v="252"/>
    <s v="Hombre"/>
    <n v="25"/>
    <b v="1"/>
    <s v="CALI"/>
    <s v="Cali (Yumbo)"/>
    <s v="Universidad del Valle"/>
    <m/>
    <s v="Ingeniería Química"/>
    <m/>
    <b v="0"/>
    <b v="0"/>
    <s v="Intermedio"/>
    <s v="Básico"/>
    <s v="Producción (Operaciones)"/>
    <m/>
    <m/>
    <m/>
    <m/>
    <s v="Ventas"/>
    <m/>
    <m/>
    <m/>
    <s v="Ventas Comercial"/>
    <b v="0"/>
    <b v="0"/>
    <m/>
    <b v="0"/>
    <m/>
    <b v="1"/>
    <m/>
    <b v="0"/>
    <m/>
    <s v="Otros"/>
    <s v="CREATÓN"/>
    <d v="2026-09-12T00:00:00"/>
    <d v="1899-12-30T12:25:05"/>
    <s v=" 310 4297075"/>
    <s v="Calle 1A Oeste 67-30, 760035 Cali, Colombia"/>
    <s v="DP"/>
    <n v="88.2"/>
    <s v="Cata"/>
    <x v="23"/>
    <x v="1"/>
    <s v="OK "/>
    <x v="28"/>
    <x v="244"/>
    <x v="5"/>
    <x v="4"/>
    <x v="0"/>
  </r>
  <r>
    <x v="255"/>
    <x v="255"/>
    <s v="Cédula de ciudadanía"/>
    <x v="253"/>
    <s v="Mujer"/>
    <n v="22"/>
    <b v="1"/>
    <s v="Cali"/>
    <s v="Cali (Yumbo)"/>
    <s v="Universidad del Valle"/>
    <m/>
    <s v="Química"/>
    <m/>
    <b v="0"/>
    <b v="0"/>
    <s v="Intermedio"/>
    <s v="Intermedi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Página Web Oficial"/>
    <s v="CREATÓN"/>
    <d v="2026-09-13T00:00:00"/>
    <d v="1899-12-30T17:51:07"/>
    <n v="3337125760"/>
    <s v="Calle 2A 94-44, 760034 Cali, Colombia"/>
    <s v="DP"/>
    <n v="77.099999999999994"/>
    <s v="Cata"/>
    <x v="24"/>
    <x v="1"/>
    <s v="OK"/>
    <x v="26"/>
    <x v="245"/>
    <x v="5"/>
    <x v="4"/>
    <x v="0"/>
  </r>
  <r>
    <x v="256"/>
    <x v="256"/>
    <s v="Cédula de ciudadanía"/>
    <x v="254"/>
    <s v="Mujer"/>
    <n v="22"/>
    <b v="1"/>
    <s v="TULUA"/>
    <s v="Cali (Yumbo)"/>
    <s v="Universidad del Valle"/>
    <m/>
    <s v="Ingeniería de Alimentos"/>
    <m/>
    <b v="0"/>
    <b v="0"/>
    <s v="Básic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Página Web Oficial"/>
    <s v="CREATÓN"/>
    <d v="2026-09-05T00:00:00"/>
    <d v="1899-12-30T08:41:07"/>
    <s v=" 310 4233492"/>
    <s v="Calle 39 25-33, 763022 Tuluá, Colombia"/>
    <s v="DP"/>
    <n v="80.7"/>
    <s v="Cata"/>
    <x v="24"/>
    <x v="1"/>
    <s v="OK"/>
    <x v="40"/>
    <x v="246"/>
    <x v="5"/>
    <x v="4"/>
    <x v="0"/>
  </r>
  <r>
    <x v="257"/>
    <x v="257"/>
    <s v="Cédula de ciudadanía"/>
    <x v="255"/>
    <s v="Mujer"/>
    <n v="24"/>
    <b v="1"/>
    <s v="Cali"/>
    <s v="Cali (Yumbo)"/>
    <s v="Universidad del Valle"/>
    <m/>
    <s v="Química"/>
    <m/>
    <b v="0"/>
    <b v="0"/>
    <s v="Intermedio"/>
    <s v="Básic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Otros"/>
    <s v="CREATÓN"/>
    <d v="2026-09-12T00:00:00"/>
    <d v="1899-12-30T13:12:08"/>
    <s v=" 318 8018223"/>
    <s v="Calle 72L3 28D3-30, 760022 Cali, Colombia"/>
    <s v="DP"/>
    <n v="70.3"/>
    <s v="Cata"/>
    <x v="24"/>
    <x v="1"/>
    <s v="OK"/>
    <x v="26"/>
    <x v="247"/>
    <x v="5"/>
    <x v="4"/>
    <x v="0"/>
  </r>
  <r>
    <x v="258"/>
    <x v="258"/>
    <s v="Cédula de ciudadanía"/>
    <x v="256"/>
    <s v="Mujer"/>
    <n v="21"/>
    <b v="1"/>
    <m/>
    <s v="Cali (Yumbo)"/>
    <s v="Otra"/>
    <s v="Universidad Santiago de Cali"/>
    <s v="Ingeniería Química"/>
    <m/>
    <b v="1"/>
    <b v="0"/>
    <s v="Intermedio"/>
    <s v="Avanzado"/>
    <s v="Producción (Operaciones)"/>
    <m/>
    <m/>
    <m/>
    <m/>
    <s v="Producción (Operaciones)"/>
    <s v="Elaboración"/>
    <m/>
    <m/>
    <m/>
    <b v="0"/>
    <b v="1"/>
    <m/>
    <b v="0"/>
    <m/>
    <b v="0"/>
    <s v="Padre - Rafael Enrique Piza Hurtado"/>
    <b v="0"/>
    <m/>
    <s v="LinkedIn"/>
    <s v="CREATÓN"/>
    <d v="2026-09-12T00:00:00"/>
    <d v="1899-12-30T11:46:06"/>
    <s v=" 321 2048843"/>
    <s v="Carrera 1D2 52-77, 760004 Cali, Colombia"/>
    <s v="DP"/>
    <n v="98.5"/>
    <s v="Cata"/>
    <x v="24"/>
    <x v="1"/>
    <s v="OK"/>
    <x v="28"/>
    <x v="248"/>
    <x v="5"/>
    <x v="4"/>
    <x v="0"/>
  </r>
  <r>
    <x v="259"/>
    <x v="259"/>
    <s v="Cédula de ciudadanía"/>
    <x v="257"/>
    <s v="Hombre"/>
    <n v="20"/>
    <b v="1"/>
    <m/>
    <s v="Cali (Yumbo)"/>
    <s v="Universidad del Valle"/>
    <m/>
    <s v="Otra"/>
    <s v="Tecnología en electrónica industrial"/>
    <b v="1"/>
    <b v="0"/>
    <s v="Básico"/>
    <s v="Básico"/>
    <s v="Producción (Operaciones)"/>
    <m/>
    <m/>
    <m/>
    <m/>
    <s v="Producción (Operaciones)"/>
    <s v="Indugral 2"/>
    <m/>
    <m/>
    <m/>
    <b v="0"/>
    <b v="0"/>
    <m/>
    <b v="0"/>
    <m/>
    <b v="0"/>
    <m/>
    <b v="0"/>
    <m/>
    <s v="Instagram"/>
    <s v="CREATÓN"/>
    <d v="2026-09-13T00:00:00"/>
    <d v="1899-12-30T07:15:04"/>
    <s v=" 320 7618708"/>
    <s v="Calle 7 18A-110, 760502 Yumbo, Colombia"/>
    <s v="DP"/>
    <n v="89.2"/>
    <s v="Cata"/>
    <x v="24"/>
    <x v="1"/>
    <s v="OK"/>
    <x v="41"/>
    <x v="249"/>
    <x v="5"/>
    <x v="4"/>
    <x v="0"/>
  </r>
  <r>
    <x v="260"/>
    <x v="260"/>
    <s v="Cédula de ciudadanía"/>
    <x v="258"/>
    <s v="Mujer"/>
    <n v="22"/>
    <b v="1"/>
    <s v="MEDELLIN"/>
    <s v="Cali (Yumbo)"/>
    <s v="Universidad Nacional de Colombia"/>
    <m/>
    <s v="Otra"/>
    <s v="Ingeniería Biológica"/>
    <b v="0"/>
    <b v="0"/>
    <s v="Intermedio"/>
    <s v="Básico"/>
    <s v="Producción (Operaciones)"/>
    <m/>
    <m/>
    <m/>
    <m/>
    <s v="Tecnología"/>
    <m/>
    <m/>
    <m/>
    <m/>
    <b v="0"/>
    <b v="0"/>
    <m/>
    <b v="0"/>
    <m/>
    <b v="0"/>
    <m/>
    <b v="0"/>
    <m/>
    <s v="LinkedIn"/>
    <s v="CREATÓN"/>
    <d v="2026-09-02T00:00:00"/>
    <d v="1899-12-30T20:18:09"/>
    <s v=" 300 4788939"/>
    <s v="Carrera 13 55-206, 050014 Medellin, Colombia"/>
    <s v="DP"/>
    <n v="90.1"/>
    <s v="Santi"/>
    <x v="24"/>
    <x v="1"/>
    <s v="OK "/>
    <x v="42"/>
    <x v="250"/>
    <x v="5"/>
    <x v="4"/>
    <x v="0"/>
  </r>
  <r>
    <x v="261"/>
    <x v="261"/>
    <s v="Cédula de ciudadanía"/>
    <x v="259"/>
    <s v="Hombre"/>
    <n v="22"/>
    <b v="1"/>
    <s v="CALI"/>
    <s v="Cali (Yumbo)"/>
    <s v="Otra"/>
    <s v="Universidad ICESI"/>
    <s v="Otra"/>
    <s v="Ingeniería Bioquímica"/>
    <b v="0"/>
    <b v="0"/>
    <s v="Avanzad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Medios Tradicionales"/>
    <s v="CREATÓN"/>
    <d v="2026-09-13T00:00:00"/>
    <d v="1899-12-30T12:22:25"/>
    <s v="304 6145800"/>
    <s v="Carrera 125B 16A, Cali, Colombia"/>
    <s v="DP"/>
    <n v="92.6"/>
    <s v="Cata"/>
    <x v="25"/>
    <x v="1"/>
    <s v="OK"/>
    <x v="38"/>
    <x v="251"/>
    <x v="5"/>
    <x v="4"/>
    <x v="0"/>
  </r>
  <r>
    <x v="262"/>
    <x v="262"/>
    <s v="Cédula de ciudadanía"/>
    <x v="260"/>
    <s v="Hombre"/>
    <n v="22"/>
    <b v="1"/>
    <m/>
    <s v="Cali (Yumbo)"/>
    <s v="Otra"/>
    <s v="Universidad ICESI"/>
    <s v="Otra"/>
    <s v="Ingeniería Bioquímica"/>
    <b v="0"/>
    <b v="0"/>
    <s v="Avanzado"/>
    <s v="Básic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9-13T00:00:00"/>
    <d v="1899-12-30T10:49:01"/>
    <s v=" 315 8084417"/>
    <s v="Cali, Colombia"/>
    <s v="DP"/>
    <n v="76.8"/>
    <s v="Cata"/>
    <x v="23"/>
    <x v="1"/>
    <s v="OK"/>
    <x v="38"/>
    <x v="252"/>
    <x v="5"/>
    <x v="4"/>
    <x v="0"/>
  </r>
  <r>
    <x v="263"/>
    <x v="263"/>
    <s v="Cédula de ciudadanía"/>
    <x v="261"/>
    <s v="Hombre"/>
    <n v="20"/>
    <b v="1"/>
    <s v="Cali-Valle del cauca"/>
    <s v="Cali (Yumbo)"/>
    <s v="Universidad del Valle"/>
    <m/>
    <s v="Ingeniería Industrial"/>
    <m/>
    <b v="0"/>
    <b v="0"/>
    <s v="Básic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Página Web Oficial"/>
    <s v="CREATÓN"/>
    <d v="2026-09-13T00:00:00"/>
    <d v="1899-12-30T12:20:16"/>
    <n v="3147398003"/>
    <s v="Cali, Colombia"/>
    <s v="DP"/>
    <n v="88.7"/>
    <s v="Cata"/>
    <x v="25"/>
    <x v="1"/>
    <s v="OK"/>
    <x v="10"/>
    <x v="253"/>
    <x v="5"/>
    <x v="4"/>
    <x v="0"/>
  </r>
  <r>
    <x v="264"/>
    <x v="264"/>
    <s v="Cédula de ciudadanía"/>
    <x v="262"/>
    <s v="Mujer"/>
    <n v="22"/>
    <b v="1"/>
    <s v="Popayán"/>
    <s v="Cali (Yumbo)"/>
    <s v="Universidad del Cauca"/>
    <m/>
    <s v="Ingeniería de Producción"/>
    <m/>
    <b v="0"/>
    <b v="0"/>
    <s v="Básico"/>
    <s v="Avanzad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LinkedIn"/>
    <s v="CREATÓN"/>
    <d v="2026-09-03T00:00:00"/>
    <d v="1899-12-30T09:49:06"/>
    <n v="3023393981"/>
    <s v="Carrera 38, Popayan, Colombia"/>
    <s v="DP"/>
    <n v="84.3"/>
    <s v="Cata"/>
    <x v="25"/>
    <x v="2"/>
    <s v="OK"/>
    <x v="43"/>
    <x v="254"/>
    <x v="5"/>
    <x v="4"/>
    <x v="0"/>
  </r>
  <r>
    <x v="265"/>
    <x v="265"/>
    <s v="Cédula de ciudadanía"/>
    <x v="263"/>
    <s v="Hombre"/>
    <n v="21"/>
    <b v="1"/>
    <s v="JAMUNDI"/>
    <s v="Cali (Yumbo)"/>
    <s v="Universidad del Valle"/>
    <m/>
    <s v="Ingeniería Industrial"/>
    <m/>
    <b v="0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Otros"/>
    <s v="CREATÓN"/>
    <d v="2026-09-12T00:00:00"/>
    <d v="1899-12-30T12:06:06"/>
    <n v="3202099480"/>
    <s v="Jamundí, Colombia"/>
    <s v="DP"/>
    <n v="90.5"/>
    <s v="Cata"/>
    <x v="26"/>
    <x v="2"/>
    <s v="OK"/>
    <x v="10"/>
    <x v="255"/>
    <x v="5"/>
    <x v="4"/>
    <x v="0"/>
  </r>
  <r>
    <x v="266"/>
    <x v="266"/>
    <s v="Cédula de ciudadanía"/>
    <x v="264"/>
    <s v="Mujer"/>
    <n v="20"/>
    <b v="1"/>
    <s v="CALI"/>
    <s v="Cali (Yumbo)"/>
    <s v="Otra"/>
    <s v="Universidad Santiago de Cali"/>
    <s v="Ingeniería Industrial"/>
    <m/>
    <b v="1"/>
    <b v="0"/>
    <s v="Básic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3T00:00:00"/>
    <d v="1899-12-30T01:36:20"/>
    <s v=" 312 8724546"/>
    <s v="Calle 54B 32A-58, 760023 Cali, Colombia"/>
    <s v="DP"/>
    <n v="93.2"/>
    <s v="Cata"/>
    <x v="26"/>
    <x v="1"/>
    <s v="OK"/>
    <x v="10"/>
    <x v="256"/>
    <x v="5"/>
    <x v="4"/>
    <x v="0"/>
  </r>
  <r>
    <x v="267"/>
    <x v="267"/>
    <s v="Cédula de ciudadanía"/>
    <x v="265"/>
    <s v="Hombre"/>
    <n v="20"/>
    <b v="1"/>
    <s v="PALMIRA"/>
    <s v="Cali (Yumbo)"/>
    <s v="Otra"/>
    <s v="Universidad Autónoma de Occidente"/>
    <s v="Ingeniería de Software"/>
    <m/>
    <b v="1"/>
    <b v="0"/>
    <s v="Intermedi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0T00:00:00"/>
    <d v="1899-12-30T14:59:07"/>
    <n v="3182176352"/>
    <s v="Carrera 38 101-21, 763537 Palmira, Colombia"/>
    <s v="DP"/>
    <n v="74.099999999999994"/>
    <s v="Cata"/>
    <x v="26"/>
    <x v="1"/>
    <s v="OK"/>
    <x v="19"/>
    <x v="257"/>
    <x v="5"/>
    <x v="4"/>
    <x v="0"/>
  </r>
  <r>
    <x v="268"/>
    <x v="268"/>
    <s v="Cédula de ciudadanía"/>
    <x v="266"/>
    <s v="Hombre"/>
    <n v="21"/>
    <b v="1"/>
    <s v="CALI"/>
    <s v="Cali (Yumbo)"/>
    <s v="Pontificia Universidad Javeriana| Cali"/>
    <m/>
    <s v="Ingeniería de Sistemas"/>
    <m/>
    <b v="1"/>
    <b v="0"/>
    <s v="Avanzad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Otros"/>
    <s v="CREATÓN"/>
    <d v="2026-09-12T00:00:00"/>
    <d v="1899-12-30T22:38:52"/>
    <n v="3156628776"/>
    <s v="Calle 43 109-83, 760030 Cali, Colombia"/>
    <s v="DP"/>
    <n v="88.4"/>
    <s v="Cata"/>
    <x v="26"/>
    <x v="1"/>
    <s v="OK"/>
    <x v="18"/>
    <x v="258"/>
    <x v="5"/>
    <x v="4"/>
    <x v="0"/>
  </r>
  <r>
    <x v="269"/>
    <x v="269"/>
    <s v="Cédula de ciudadanía"/>
    <x v="267"/>
    <s v="Hombre"/>
    <n v="21"/>
    <b v="1"/>
    <m/>
    <s v="Cali (Yumbo)"/>
    <s v="Universidad del Valle"/>
    <m/>
    <s v="Ingeniería de Sistemas"/>
    <m/>
    <b v="1"/>
    <b v="0"/>
    <s v="Intermedio"/>
    <s v="Intermedio"/>
    <s v="Tecnología"/>
    <m/>
    <m/>
    <m/>
    <m/>
    <s v="Logística"/>
    <m/>
    <m/>
    <m/>
    <m/>
    <b v="0"/>
    <b v="0"/>
    <m/>
    <b v="0"/>
    <m/>
    <b v="0"/>
    <m/>
    <b v="0"/>
    <m/>
    <s v="Instagram"/>
    <s v="CREATÓN"/>
    <d v="2026-09-10T00:00:00"/>
    <d v="1899-12-30T21:03:29"/>
    <n v="3176161450"/>
    <s v="Carrera 12 22A, Calima, Colombia"/>
    <s v="DP"/>
    <n v="89.1"/>
    <s v="Cata"/>
    <x v="26"/>
    <x v="1"/>
    <s v="OK"/>
    <x v="18"/>
    <x v="259"/>
    <x v="5"/>
    <x v="4"/>
    <x v="0"/>
  </r>
  <r>
    <x v="270"/>
    <x v="270"/>
    <s v="Cédula de ciudadanía"/>
    <x v="268"/>
    <s v="Hombre"/>
    <n v="21"/>
    <b v="1"/>
    <m/>
    <s v="Bucaramanga"/>
    <s v="Universidad Industrial de Santander"/>
    <m/>
    <s v="Ingeniería Mecánica"/>
    <m/>
    <b v="0"/>
    <b v="0"/>
    <s v="Intermedio"/>
    <s v="Avanzado"/>
    <s v="Producción (Operaciones)"/>
    <m/>
    <m/>
    <m/>
    <m/>
    <s v="Tecnología"/>
    <m/>
    <m/>
    <m/>
    <m/>
    <b v="0"/>
    <b v="0"/>
    <m/>
    <b v="0"/>
    <m/>
    <b v="0"/>
    <m/>
    <b v="0"/>
    <m/>
    <s v="Instagram"/>
    <s v="CREATÓN"/>
    <d v="2026-09-12T00:00:00"/>
    <d v="1899-12-30T15:39:04"/>
    <s v="300 2085133"/>
    <s v="Calle 61, Bucaramanga, Colombia"/>
    <s v="DP"/>
    <n v="76.900000000000006"/>
    <s v="Cata"/>
    <x v="27"/>
    <x v="1"/>
    <s v="OK"/>
    <x v="29"/>
    <x v="260"/>
    <x v="4"/>
    <x v="4"/>
    <x v="4"/>
  </r>
  <r>
    <x v="271"/>
    <x v="271"/>
    <s v="Cédula de ciudadanía"/>
    <x v="269"/>
    <s v="Mujer"/>
    <n v="25"/>
    <b v="1"/>
    <m/>
    <s v="Bucaramanga"/>
    <s v="Universidad Industrial de Santander"/>
    <m/>
    <s v="Ingeniería Química"/>
    <m/>
    <b v="0"/>
    <b v="0"/>
    <s v="Intermedi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Instagram"/>
    <s v="CREATÓN"/>
    <d v="2026-08-21T00:00:00"/>
    <d v="1899-12-30T09:57:08"/>
    <n v="3156201141"/>
    <s v="Bucaramanga, Colombia"/>
    <s v="DP"/>
    <n v="97.8"/>
    <s v="Cata"/>
    <x v="27"/>
    <x v="1"/>
    <s v="OK "/>
    <x v="28"/>
    <x v="261"/>
    <x v="4"/>
    <x v="4"/>
    <x v="4"/>
  </r>
  <r>
    <x v="272"/>
    <x v="272"/>
    <s v="Cédula de ciudadanía"/>
    <x v="270"/>
    <s v="Hombre"/>
    <n v="21"/>
    <b v="1"/>
    <s v="Floridablanca"/>
    <s v="Bucaramanga"/>
    <s v="Universidad Santo Tomás"/>
    <m/>
    <s v="Ingeniería Mecatrónica"/>
    <m/>
    <b v="1"/>
    <b v="0"/>
    <s v="Intermedi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Instagram"/>
    <s v="CREATÓN"/>
    <d v="2026-09-13T00:00:00"/>
    <d v="1899-12-30T20:34:06"/>
    <n v="3208719059"/>
    <s v="Calle 157 154-137, 681004 Floridablanca, Colombia"/>
    <s v="DP"/>
    <n v="78"/>
    <s v="Cata"/>
    <x v="27"/>
    <x v="1"/>
    <s v="OK "/>
    <x v="25"/>
    <x v="262"/>
    <x v="4"/>
    <x v="4"/>
    <x v="4"/>
  </r>
  <r>
    <x v="273"/>
    <x v="273"/>
    <s v="Cédula de ciudadanía"/>
    <x v="271"/>
    <s v="Hombre"/>
    <n v="23"/>
    <b v="1"/>
    <s v="Bucaramanga"/>
    <s v="Bucaramanga"/>
    <s v="Universidad Industrial de Santander"/>
    <m/>
    <s v="Ingeniería Mecánica"/>
    <m/>
    <b v="1"/>
    <b v="0"/>
    <s v="Intermedio"/>
    <s v="Avanzad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3T00:00:00"/>
    <d v="1899-12-30T10:08:19"/>
    <n v="3009477921"/>
    <s v="Calle 13 26-29, 680002 Bucaramanga, Colombia"/>
    <s v="DP"/>
    <n v="93.2"/>
    <s v="Cata"/>
    <x v="27"/>
    <x v="1"/>
    <s v="OK "/>
    <x v="29"/>
    <x v="263"/>
    <x v="4"/>
    <x v="4"/>
    <x v="4"/>
  </r>
  <r>
    <x v="274"/>
    <x v="274"/>
    <s v="Cédula de ciudadanía"/>
    <x v="272"/>
    <s v="Mujer"/>
    <n v="23"/>
    <b v="1"/>
    <s v="Bucaramanga"/>
    <s v="Bucaramanga"/>
    <s v="Universidad Industrial de Santander"/>
    <m/>
    <s v="Ingeniería Química"/>
    <m/>
    <b v="0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Página Web Oficial"/>
    <s v="CREATÓN"/>
    <d v="2026-08-31T00:00:00"/>
    <d v="1899-12-30T17:49:05"/>
    <n v="3152069944"/>
    <s v="Calle 12 24-09, 680002 Bucaramanga, Colombia"/>
    <s v="DP"/>
    <n v="87.6"/>
    <s v="Cata"/>
    <x v="27"/>
    <x v="1"/>
    <s v="OK "/>
    <x v="28"/>
    <x v="264"/>
    <x v="4"/>
    <x v="4"/>
    <x v="4"/>
  </r>
  <r>
    <x v="275"/>
    <x v="275"/>
    <s v="Cédula de ciudadanía"/>
    <x v="273"/>
    <s v="Mujer"/>
    <n v="22"/>
    <b v="1"/>
    <m/>
    <s v="Bucaramanga"/>
    <s v="Universidad Industrial de Santander"/>
    <m/>
    <s v="Ingeniería Mecánica"/>
    <m/>
    <b v="0"/>
    <b v="0"/>
    <s v="Avanzado"/>
    <s v="Básic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Medios Tradicionales"/>
    <s v="CREATÓN"/>
    <d v="2026-09-12T00:00:00"/>
    <d v="1899-12-30T11:43:06"/>
    <s v=" 301 7990303"/>
    <s v="Torremolinos, 680004 Bucaramanga, Colombia"/>
    <s v="DP"/>
    <n v="86.7"/>
    <s v="Cata"/>
    <x v="27"/>
    <x v="1"/>
    <s v="OK "/>
    <x v="29"/>
    <x v="265"/>
    <x v="4"/>
    <x v="4"/>
    <x v="4"/>
  </r>
  <r>
    <x v="276"/>
    <x v="276"/>
    <s v="Cédula de ciudadanía"/>
    <x v="274"/>
    <s v="Hombre"/>
    <n v="21"/>
    <b v="1"/>
    <s v="BUCARAMANGA"/>
    <s v="Bucaramanga"/>
    <s v="Universidad Pontificia Bolivariana"/>
    <m/>
    <s v="Ingeniería Industrial"/>
    <m/>
    <b v="0"/>
    <b v="0"/>
    <s v="Intermedio"/>
    <s v="Intermedio"/>
    <s v="Producción (Operaciones)"/>
    <m/>
    <m/>
    <m/>
    <m/>
    <s v="Asuntos Corporativos"/>
    <m/>
    <m/>
    <m/>
    <m/>
    <b v="0"/>
    <b v="0"/>
    <m/>
    <b v="0"/>
    <m/>
    <b v="0"/>
    <m/>
    <b v="0"/>
    <m/>
    <s v="Página Web Oficial"/>
    <s v="CREATÓN"/>
    <d v="2026-08-30T00:00:00"/>
    <d v="1899-12-30T10:20:04"/>
    <s v="310 5361024"/>
    <s v="Calle 157 154-215, 681004 Floridablanca, Colombia"/>
    <s v="DP"/>
    <n v="83.2"/>
    <s v="Cata"/>
    <x v="27"/>
    <x v="1"/>
    <s v="OK "/>
    <x v="10"/>
    <x v="266"/>
    <x v="4"/>
    <x v="4"/>
    <x v="4"/>
  </r>
  <r>
    <x v="277"/>
    <x v="277"/>
    <s v="Cédula de ciudadanía"/>
    <x v="275"/>
    <s v="Hombre"/>
    <n v="22"/>
    <b v="1"/>
    <s v="La Union, Valle del Cauca"/>
    <s v="Cali (Yumbo)"/>
    <s v="Universidad del Valle"/>
    <m/>
    <s v="Ingeniería Industrial"/>
    <m/>
    <b v="1"/>
    <b v="0"/>
    <s v="Intermedio"/>
    <s v="Avanzado"/>
    <s v="Talento"/>
    <m/>
    <m/>
    <m/>
    <m/>
    <s v="Logística"/>
    <m/>
    <m/>
    <s v="Atracción de Talento y Marca Empleadora"/>
    <m/>
    <b v="0"/>
    <b v="0"/>
    <m/>
    <b v="0"/>
    <m/>
    <b v="0"/>
    <m/>
    <b v="0"/>
    <m/>
    <s v="Instagram"/>
    <s v="CREATÓN"/>
    <d v="2026-08-30T00:00:00"/>
    <d v="1899-12-30T20:50:08"/>
    <s v=" 317 3309191"/>
    <s v="Carrera 14A-37, 761540 La Unión, Colombia"/>
    <s v="DP"/>
    <n v="71.900000000000006"/>
    <s v="Cata"/>
    <x v="28"/>
    <x v="1"/>
    <s v="OK "/>
    <x v="10"/>
    <x v="267"/>
    <x v="5"/>
    <x v="4"/>
    <x v="0"/>
  </r>
  <r>
    <x v="278"/>
    <x v="278"/>
    <s v="Cédula de ciudadanía"/>
    <x v="276"/>
    <s v="Mujer"/>
    <n v="20"/>
    <b v="1"/>
    <m/>
    <s v="Cali (Yumbo)"/>
    <s v="Otra"/>
    <s v="Universidad Autónoma de Occidente"/>
    <s v="Marketing / Mercadeo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9-13T00:00:00"/>
    <d v="1899-12-30T18:25:08"/>
    <s v=" 317 4875563"/>
    <s v="760026 Cali, Colombia"/>
    <s v="DP"/>
    <n v="86.7"/>
    <s v="Cata"/>
    <x v="28"/>
    <x v="1"/>
    <s v="OK "/>
    <x v="4"/>
    <x v="268"/>
    <x v="5"/>
    <x v="4"/>
    <x v="0"/>
  </r>
  <r>
    <x v="279"/>
    <x v="279"/>
    <s v="Cédula de ciudadanía"/>
    <x v="277"/>
    <s v="Mujer"/>
    <n v="21"/>
    <b v="1"/>
    <s v="Candelaria"/>
    <s v="Cali (Yumbo)"/>
    <s v="Universidad del Valle"/>
    <m/>
    <s v="Otra"/>
    <s v="Marketing digital, inglés 4, sistemas de gestión y calidad"/>
    <b v="1"/>
    <b v="0"/>
    <s v="Básico"/>
    <s v="Básic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Otros"/>
    <s v="CREATÓN"/>
    <d v="2026-09-13T00:00:00"/>
    <d v="1899-12-30T14:42:26"/>
    <n v="3195372919"/>
    <s v="Poblado Campestre, Candelaria, Colombia"/>
    <s v="DP"/>
    <n v="93.6"/>
    <s v="Cata"/>
    <x v="28"/>
    <x v="1"/>
    <s v="OK"/>
    <x v="44"/>
    <x v="269"/>
    <x v="5"/>
    <x v="4"/>
    <x v="0"/>
  </r>
  <r>
    <x v="280"/>
    <x v="280"/>
    <s v="Cédula de ciudadanía"/>
    <x v="278"/>
    <s v="Mujer"/>
    <n v="24"/>
    <b v="1"/>
    <s v="Floridablanca"/>
    <s v="Bucaramanga"/>
    <s v="Universidad Pontificia Bolivariana"/>
    <m/>
    <s v="Ingeniería Industrial"/>
    <m/>
    <b v="0"/>
    <b v="0"/>
    <s v="Intermedio"/>
    <s v="Intermedio"/>
    <s v="Marketing"/>
    <m/>
    <s v="Finanzas Impuestos"/>
    <m/>
    <m/>
    <s v="Finanzas"/>
    <m/>
    <m/>
    <m/>
    <m/>
    <b v="0"/>
    <b v="0"/>
    <m/>
    <b v="0"/>
    <m/>
    <b v="0"/>
    <m/>
    <b v="0"/>
    <m/>
    <s v="Otros"/>
    <s v="CREATÓN"/>
    <d v="2026-08-27T00:00:00"/>
    <d v="1899-12-30T12:33:50"/>
    <s v=" 318 8023106"/>
    <s v="Calle 158 30-60, 681002 Floridablanca, Colombia"/>
    <s v="DP"/>
    <n v="95.6"/>
    <s v="Cata"/>
    <x v="22"/>
    <x v="1"/>
    <s v="OK"/>
    <x v="10"/>
    <x v="270"/>
    <x v="4"/>
    <x v="4"/>
    <x v="4"/>
  </r>
  <r>
    <x v="281"/>
    <x v="281"/>
    <s v="Cédula de ciudadanía"/>
    <x v="279"/>
    <s v="Mujer"/>
    <n v="21"/>
    <b v="1"/>
    <s v="Bucaramanga"/>
    <s v="Bucaramanga"/>
    <s v="Universidad Industrial de Santander"/>
    <m/>
    <s v="Ingeniería Industrial"/>
    <m/>
    <b v="1"/>
    <b v="0"/>
    <s v="Avanzado"/>
    <s v="Intermedio"/>
    <s v="Logística"/>
    <m/>
    <m/>
    <m/>
    <m/>
    <s v="Producción (Operaciones)"/>
    <s v="Talento"/>
    <m/>
    <m/>
    <m/>
    <b v="0"/>
    <b v="0"/>
    <m/>
    <b v="0"/>
    <m/>
    <b v="0"/>
    <m/>
    <b v="0"/>
    <m/>
    <s v="Instagram"/>
    <s v="CREATÓN"/>
    <d v="2026-09-13T00:00:00"/>
    <d v="1899-12-30T15:33:24"/>
    <n v="3202411797"/>
    <s v="Calle 12A 28-11, 680002 Bucaramanga, Colombia"/>
    <s v="DP"/>
    <n v="79.400000000000006"/>
    <s v="Cata"/>
    <x v="22"/>
    <x v="1"/>
    <s v="OK"/>
    <x v="10"/>
    <x v="271"/>
    <x v="4"/>
    <x v="4"/>
    <x v="4"/>
  </r>
  <r>
    <x v="282"/>
    <x v="282"/>
    <s v="Cédula de ciudadanía"/>
    <x v="280"/>
    <s v="Mujer"/>
    <n v="20"/>
    <b v="1"/>
    <s v="Bucaramanga"/>
    <s v="Bucaramanga"/>
    <s v="Universidad Santo Tomás"/>
    <m/>
    <s v="Negocios Internacionales"/>
    <m/>
    <b v="0"/>
    <b v="0"/>
    <s v="Intermedio"/>
    <s v="Básico"/>
    <s v="Marketing"/>
    <m/>
    <m/>
    <m/>
    <m/>
    <s v="Ventas"/>
    <m/>
    <m/>
    <m/>
    <s v="Ventas Comercial"/>
    <b v="0"/>
    <b v="0"/>
    <m/>
    <b v="0"/>
    <m/>
    <b v="0"/>
    <m/>
    <b v="0"/>
    <m/>
    <s v="LinkedIn"/>
    <s v="CREATÓN"/>
    <d v="2026-09-13T00:00:00"/>
    <d v="1899-12-30T12:14:28"/>
    <s v=" 312 4370413"/>
    <s v="Carrera 18 46-20, 680003 Bucaramanga, Colombia"/>
    <s v="DP"/>
    <n v="77.900000000000006"/>
    <s v="Cata"/>
    <x v="22"/>
    <x v="1"/>
    <s v="OK "/>
    <x v="5"/>
    <x v="272"/>
    <x v="4"/>
    <x v="4"/>
    <x v="4"/>
  </r>
  <r>
    <x v="283"/>
    <x v="283"/>
    <s v="Cédula de ciudadanía"/>
    <x v="281"/>
    <s v="Mujer"/>
    <n v="22"/>
    <b v="1"/>
    <s v="CALI"/>
    <s v="Cali (Yumbo)"/>
    <s v="Otra"/>
    <s v="Universidad ICESI"/>
    <s v="Otra"/>
    <s v="Química Farmacéutica"/>
    <b v="0"/>
    <b v="0"/>
    <s v="Avanzado"/>
    <s v="Básic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Otros"/>
    <s v="CREATÓN"/>
    <d v="2026-09-12T00:00:00"/>
    <d v="1899-12-30T11:46:06"/>
    <s v=" 322 5690748"/>
    <s v="Carrera 61A 1D-57, 760035 Cali, Colombia"/>
    <s v="DP"/>
    <n v="92.5"/>
    <s v="Cata"/>
    <x v="23"/>
    <x v="0"/>
    <s v="OK"/>
    <x v="30"/>
    <x v="273"/>
    <x v="5"/>
    <x v="4"/>
    <x v="0"/>
  </r>
  <r>
    <x v="284"/>
    <x v="284"/>
    <s v="Cédula de ciudadanía"/>
    <x v="282"/>
    <s v="Mujer"/>
    <n v="21"/>
    <b v="1"/>
    <s v="CALI"/>
    <s v="Cali (Yumbo)"/>
    <s v="Universidad del Valle"/>
    <m/>
    <s v="Ingeniería Industrial"/>
    <m/>
    <b v="0"/>
    <b v="0"/>
    <s v="Intermedi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9-13T00:00:00"/>
    <d v="1899-12-30T11:39:00"/>
    <s v=" 315 4901789"/>
    <s v="Calle 55, Cali, Colombia"/>
    <s v="DP"/>
    <n v="93.2"/>
    <s v="Cata"/>
    <x v="24"/>
    <x v="1"/>
    <s v="OK"/>
    <x v="10"/>
    <x v="274"/>
    <x v="5"/>
    <x v="4"/>
    <x v="0"/>
  </r>
  <r>
    <x v="285"/>
    <x v="285"/>
    <s v="Cédula de ciudadanía"/>
    <x v="283"/>
    <s v="Mujer"/>
    <n v="20"/>
    <b v="1"/>
    <s v="CALI"/>
    <s v="Cali (Yumbo)"/>
    <s v="Otra"/>
    <s v="Universidad ICESI"/>
    <s v="Otra"/>
    <s v="Ingeniería Bioquímica"/>
    <b v="0"/>
    <b v="0"/>
    <s v="Básic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9-06T00:00:00"/>
    <d v="1899-12-30T17:17:09"/>
    <s v=" 320 4347215"/>
    <s v="Calle 13 75-16, 760033 Cali, Colombia"/>
    <s v="DP"/>
    <n v="89.4"/>
    <s v="Cata"/>
    <x v="25"/>
    <x v="1"/>
    <s v="OK"/>
    <x v="38"/>
    <x v="275"/>
    <x v="5"/>
    <x v="4"/>
    <x v="0"/>
  </r>
  <r>
    <x v="286"/>
    <x v="286"/>
    <s v="Cédula de ciudadanía"/>
    <x v="284"/>
    <s v="Mujer"/>
    <n v="24"/>
    <b v="1"/>
    <s v="CALI"/>
    <s v="Cali (Yumbo)"/>
    <s v="Universidad del Valle"/>
    <m/>
    <s v="Ingeniería Electrónica"/>
    <m/>
    <b v="0"/>
    <b v="0"/>
    <s v="Intermedi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9-12T00:00:00"/>
    <d v="1899-12-30T12:23:02"/>
    <s v=" 322 8629829"/>
    <s v="Carrera 92 2C-30, 760034 Cali, Colombia"/>
    <s v="DP"/>
    <n v="92.4"/>
    <s v="Cata"/>
    <x v="25"/>
    <x v="1"/>
    <s v="OK"/>
    <x v="24"/>
    <x v="276"/>
    <x v="5"/>
    <x v="4"/>
    <x v="0"/>
  </r>
  <r>
    <x v="287"/>
    <x v="287"/>
    <s v="Cédula de ciudadanía"/>
    <x v="285"/>
    <m/>
    <m/>
    <b v="1"/>
    <s v="Cali"/>
    <m/>
    <s v="Otra"/>
    <s v="Universidad ICESI"/>
    <s v="Otra"/>
    <s v="Ingeniería Bioquímica"/>
    <m/>
    <m/>
    <s v="Avanzado"/>
    <m/>
    <m/>
    <m/>
    <m/>
    <m/>
    <m/>
    <m/>
    <m/>
    <m/>
    <m/>
    <m/>
    <m/>
    <m/>
    <m/>
    <m/>
    <m/>
    <m/>
    <m/>
    <m/>
    <m/>
    <m/>
    <s v="CREATÓN"/>
    <m/>
    <m/>
    <s v="315 8803198"/>
    <s v="Cali, Colombia"/>
    <m/>
    <m/>
    <m/>
    <x v="25"/>
    <x v="1"/>
    <s v="OK "/>
    <x v="38"/>
    <x v="277"/>
    <x v="5"/>
    <x v="4"/>
    <x v="0"/>
  </r>
  <r>
    <x v="288"/>
    <x v="288"/>
    <s v="Cédula de ciudadanía"/>
    <x v="286"/>
    <m/>
    <m/>
    <b v="1"/>
    <s v="Cali"/>
    <m/>
    <s v="Otra"/>
    <s v="Universidad ICESI"/>
    <s v="Otra"/>
    <s v="Ingeniería Bioquímica"/>
    <m/>
    <m/>
    <s v="Intermedio"/>
    <m/>
    <m/>
    <m/>
    <m/>
    <m/>
    <m/>
    <m/>
    <m/>
    <m/>
    <m/>
    <m/>
    <m/>
    <m/>
    <m/>
    <m/>
    <m/>
    <m/>
    <m/>
    <m/>
    <m/>
    <m/>
    <s v="CREATÓN"/>
    <m/>
    <m/>
    <s v="317 4951986"/>
    <s v="Cali, Colombia"/>
    <m/>
    <m/>
    <m/>
    <x v="25"/>
    <x v="1"/>
    <s v="OK "/>
    <x v="38"/>
    <x v="278"/>
    <x v="5"/>
    <x v="4"/>
    <x v="0"/>
  </r>
  <r>
    <x v="289"/>
    <x v="289"/>
    <s v="Cédula de ciudadanía"/>
    <x v="287"/>
    <s v="Hombre"/>
    <n v="21"/>
    <b v="1"/>
    <m/>
    <s v="Cali (Yumbo)"/>
    <s v="Universidad del Valle"/>
    <m/>
    <s v="Ingeniería Química"/>
    <m/>
    <b v="0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2T00:00:00"/>
    <d v="1899-12-30T21:52:56"/>
    <s v=" 315 4069847"/>
    <s v="Carrera 87 5-18, 760033 Cali, Colombia"/>
    <s v="DP"/>
    <n v="83.7"/>
    <s v="Cata"/>
    <x v="26"/>
    <x v="1"/>
    <s v="OK"/>
    <x v="28"/>
    <x v="279"/>
    <x v="5"/>
    <x v="4"/>
    <x v="0"/>
  </r>
  <r>
    <x v="290"/>
    <x v="290"/>
    <s v="Cédula de ciudadanía"/>
    <x v="288"/>
    <s v="Hombre"/>
    <n v="23"/>
    <b v="1"/>
    <s v="CALI"/>
    <s v="Cali (Yumbo)"/>
    <s v="Otra"/>
    <s v="Universidad Autónoma de Occidente"/>
    <s v="Ingeniería Mecatrónica"/>
    <m/>
    <b v="1"/>
    <b v="0"/>
    <s v="Intermedi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LinkedIn"/>
    <s v="CREATÓN"/>
    <d v="2026-09-13T00:00:00"/>
    <d v="1899-12-30T16:50:39"/>
    <s v=" 324 5771142"/>
    <s v="Calle 22 Oeste 47, Cali, Colombia"/>
    <s v="DP"/>
    <n v="78.8"/>
    <s v="Cata"/>
    <x v="26"/>
    <x v="1"/>
    <s v="OK"/>
    <x v="25"/>
    <x v="280"/>
    <x v="5"/>
    <x v="4"/>
    <x v="0"/>
  </r>
  <r>
    <x v="291"/>
    <x v="291"/>
    <s v="Cédula de ciudadanía"/>
    <x v="289"/>
    <s v="Mujer"/>
    <n v="21"/>
    <b v="1"/>
    <m/>
    <s v="Bucaramanga"/>
    <s v="Universidad Industrial de Santander"/>
    <m/>
    <s v="Ingeniería Mecánica"/>
    <m/>
    <b v="0"/>
    <b v="0"/>
    <s v="Avanzado"/>
    <s v="Avanzad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9-13T00:00:00"/>
    <d v="1899-12-30T13:37:40"/>
    <s v=" 318 8620569"/>
    <s v="Bucaramanga, Colombia"/>
    <s v="DP"/>
    <n v="91.3"/>
    <s v="Cata"/>
    <x v="27"/>
    <x v="1"/>
    <s v="OK "/>
    <x v="29"/>
    <x v="281"/>
    <x v="4"/>
    <x v="4"/>
    <x v="4"/>
  </r>
  <r>
    <x v="292"/>
    <x v="292"/>
    <s v="Cédula de ciudadanía"/>
    <x v="290"/>
    <s v="Mujer"/>
    <n v="26"/>
    <b v="1"/>
    <s v="CALI"/>
    <s v="Cali (Yumbo)"/>
    <s v="Pontificia Universidad Javeriana| Cali"/>
    <m/>
    <s v="Psicología"/>
    <m/>
    <b v="0"/>
    <b v="0"/>
    <s v="Avanzado"/>
    <s v="Intermedio"/>
    <s v="Talento"/>
    <m/>
    <m/>
    <m/>
    <m/>
    <s v="Asuntos Corporativos"/>
    <m/>
    <m/>
    <s v="Atracción de Talento y Marca Empleadora"/>
    <m/>
    <b v="0"/>
    <b v="0"/>
    <m/>
    <b v="0"/>
    <m/>
    <b v="0"/>
    <m/>
    <b v="0"/>
    <m/>
    <s v="Página Web Oficial"/>
    <s v="CREATÓN"/>
    <d v="2026-09-12T00:00:00"/>
    <d v="1899-12-30T14:22:08"/>
    <s v=" 316 5067860"/>
    <s v="Carrera 66 2B-51, 760035 Cali, Colombia"/>
    <s v="DP"/>
    <n v="75.900000000000006"/>
    <s v="Cata"/>
    <x v="28"/>
    <x v="1"/>
    <s v="OK "/>
    <x v="9"/>
    <x v="282"/>
    <x v="5"/>
    <x v="4"/>
    <x v="0"/>
  </r>
  <r>
    <x v="293"/>
    <x v="293"/>
    <s v="Cédula de ciudadanía"/>
    <x v="291"/>
    <s v="Mujer"/>
    <n v="24"/>
    <b v="1"/>
    <s v="SAN GIL"/>
    <s v="Bucaramanga"/>
    <s v="Otra"/>
    <s v="UNIVERSIDAD DE INVESTIGACIÓN Y DESAROLLO UDI"/>
    <s v="Administración de Empresas"/>
    <m/>
    <b v="1"/>
    <b v="0"/>
    <s v="Básico"/>
    <s v="Intermedio"/>
    <s v="Asuntos corporativos"/>
    <m/>
    <m/>
    <m/>
    <m/>
    <s v="Logística"/>
    <m/>
    <m/>
    <m/>
    <m/>
    <b v="0"/>
    <b v="0"/>
    <m/>
    <b v="0"/>
    <m/>
    <b v="0"/>
    <m/>
    <b v="0"/>
    <m/>
    <s v="Instagram"/>
    <s v="CREATÓN"/>
    <d v="2026-08-27T00:00:00"/>
    <d v="1899-12-30T09:23:13"/>
    <n v="3105656315"/>
    <s v="San Gil, Colombia"/>
    <s v="DP"/>
    <n v="82.5"/>
    <s v="Cata"/>
    <x v="22"/>
    <x v="1"/>
    <s v="OK "/>
    <x v="3"/>
    <x v="283"/>
    <x v="4"/>
    <x v="4"/>
    <x v="4"/>
  </r>
  <r>
    <x v="294"/>
    <x v="294"/>
    <s v="Cédula de ciudadanía"/>
    <x v="292"/>
    <s v="Hombre"/>
    <n v="20"/>
    <b v="1"/>
    <s v="Popayán"/>
    <s v="Cali (Yumbo)"/>
    <s v="Universidad del Cauca"/>
    <m/>
    <s v="Química"/>
    <m/>
    <b v="1"/>
    <b v="0"/>
    <s v="Intermedio"/>
    <s v="Avanzado"/>
    <s v="Tecnología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9-12T00:00:00"/>
    <d v="1899-12-30T15:20:05"/>
    <s v=" 304 4167324"/>
    <s v="Carrera 6 23-4, 190003 Popayan, Colombia"/>
    <s v="DP"/>
    <n v="77.5"/>
    <s v="Cata"/>
    <x v="23"/>
    <x v="2"/>
    <s v="OK"/>
    <x v="26"/>
    <x v="284"/>
    <x v="5"/>
    <x v="4"/>
    <x v="0"/>
  </r>
  <r>
    <x v="295"/>
    <x v="295"/>
    <s v="Cédula de ciudadanía"/>
    <x v="293"/>
    <s v="Hombre"/>
    <n v="22"/>
    <b v="1"/>
    <s v="CALI"/>
    <s v="Cali (Yumbo)"/>
    <s v="Otra"/>
    <s v="ICESI"/>
    <s v="Ingeniería Industrial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2T00:00:00"/>
    <d v="1899-12-30T15:49:03"/>
    <n v="3127386690"/>
    <s v="Carrera 26S 73A-18, 760016 Cali, Colombia"/>
    <s v="DP"/>
    <n v="73.2"/>
    <s v="Cata"/>
    <x v="23"/>
    <x v="1"/>
    <s v="OK"/>
    <x v="10"/>
    <x v="285"/>
    <x v="5"/>
    <x v="4"/>
    <x v="0"/>
  </r>
  <r>
    <x v="296"/>
    <x v="296"/>
    <s v="Cédula de ciudadanía"/>
    <x v="294"/>
    <s v="Hombre"/>
    <n v="20"/>
    <b v="1"/>
    <s v="PALMIRA VALLE"/>
    <s v="Cali (Yumbo)"/>
    <s v="Otra"/>
    <s v="Universidad Santiago de Cali"/>
    <s v="Ingeniería Química"/>
    <m/>
    <b v="1"/>
    <b v="0"/>
    <s v="Intermedi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9-13T00:00:00"/>
    <d v="1899-12-30T11:34:41"/>
    <s v=" 313 7604357"/>
    <s v="Carrera 1A 33, Palmira, Colombia"/>
    <s v="DP"/>
    <n v="96.5"/>
    <s v="Cata"/>
    <x v="24"/>
    <x v="2"/>
    <s v="OK"/>
    <x v="28"/>
    <x v="286"/>
    <x v="5"/>
    <x v="4"/>
    <x v="0"/>
  </r>
  <r>
    <x v="297"/>
    <x v="297"/>
    <s v="Cédula de ciudadanía"/>
    <x v="295"/>
    <s v="Hombre"/>
    <n v="19"/>
    <b v="1"/>
    <s v="CALI"/>
    <s v="Cali (Yumbo)"/>
    <s v="Otra"/>
    <s v="Universidad Autónoma de Occidente"/>
    <s v="Ingeniería Industrial"/>
    <m/>
    <b v="1"/>
    <b v="0"/>
    <s v="Intermedio"/>
    <s v="Intermedio"/>
    <s v="Logística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9-13T00:00:00"/>
    <d v="1899-12-30T13:56:57"/>
    <s v="301 2449988"/>
    <s v="Carrera 85E 42-50, 760026 Cali, Colombia"/>
    <s v="DP"/>
    <n v="76.599999999999994"/>
    <s v="Cata"/>
    <x v="24"/>
    <x v="1"/>
    <s v="OK"/>
    <x v="10"/>
    <x v="287"/>
    <x v="5"/>
    <x v="4"/>
    <x v="0"/>
  </r>
  <r>
    <x v="298"/>
    <x v="298"/>
    <s v="Cédula de ciudadanía"/>
    <x v="296"/>
    <s v="Hombre"/>
    <n v="24"/>
    <b v="1"/>
    <m/>
    <s v="Cali (Yumbo)"/>
    <s v="Pontificia Universidad Javeriana| Cali"/>
    <m/>
    <s v="Ingeniería Industrial"/>
    <m/>
    <b v="0"/>
    <b v="0"/>
    <s v="Avanzad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Otros"/>
    <s v="CREATÓN"/>
    <d v="2026-09-13T00:00:00"/>
    <d v="1899-12-30T09:59:36"/>
    <s v=" 313 5748376"/>
    <s v="Carrera 53 9B-45, 760036 Cali, Colombia"/>
    <s v="DP"/>
    <n v="78.099999999999994"/>
    <s v="Cata"/>
    <x v="25"/>
    <x v="0"/>
    <s v="OK"/>
    <x v="10"/>
    <x v="288"/>
    <x v="5"/>
    <x v="4"/>
    <x v="0"/>
  </r>
  <r>
    <x v="299"/>
    <x v="299"/>
    <s v="Cédula de ciudadanía"/>
    <x v="297"/>
    <s v="Hombre"/>
    <n v="24"/>
    <b v="1"/>
    <s v="CALI"/>
    <s v="Cali (Yumbo)"/>
    <s v="Universidad del Valle"/>
    <m/>
    <s v="Ingeniería Química"/>
    <m/>
    <b v="0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29T00:00:00"/>
    <d v="1899-12-30T12:02:09"/>
    <s v=" 322 6175626"/>
    <s v="Meléndez, Cali, Colombia"/>
    <s v="DP"/>
    <n v="87"/>
    <s v="Cata"/>
    <x v="26"/>
    <x v="1"/>
    <s v="OK"/>
    <x v="28"/>
    <x v="289"/>
    <x v="5"/>
    <x v="4"/>
    <x v="0"/>
  </r>
  <r>
    <x v="300"/>
    <x v="300"/>
    <s v="Cédula de ciudadanía"/>
    <x v="298"/>
    <s v="Hombre"/>
    <n v="24"/>
    <b v="1"/>
    <m/>
    <s v="Bucaramanga"/>
    <s v="Universidad Industrial de Santander"/>
    <m/>
    <s v="Ingeniería Eléctrica"/>
    <m/>
    <b v="1"/>
    <b v="0"/>
    <s v="Intermedio"/>
    <s v="Intermedio"/>
    <s v="Producción (Operaciones)"/>
    <m/>
    <m/>
    <m/>
    <m/>
    <s v="Producción (Operaciones)"/>
    <s v="Indugral 1"/>
    <m/>
    <m/>
    <m/>
    <b v="0"/>
    <b v="0"/>
    <m/>
    <b v="0"/>
    <m/>
    <b v="0"/>
    <m/>
    <b v="0"/>
    <m/>
    <s v="Instagram"/>
    <s v="CREATÓN"/>
    <d v="2026-08-21T00:00:00"/>
    <d v="1899-12-30T10:48:04"/>
    <s v=" 322 7851411"/>
    <s v="Carrera 27 105-250, 681004 Floridablanca, Colombia"/>
    <s v="DP"/>
    <n v="86.1"/>
    <s v="Cata"/>
    <x v="27"/>
    <x v="2"/>
    <s v="OK "/>
    <x v="45"/>
    <x v="290"/>
    <x v="4"/>
    <x v="4"/>
    <x v="4"/>
  </r>
  <r>
    <x v="301"/>
    <x v="301"/>
    <s v="Cédula de ciudadanía"/>
    <x v="299"/>
    <s v="Hombre"/>
    <n v="25"/>
    <b v="1"/>
    <s v="MEDELLÍN"/>
    <s v="Bucaramanga"/>
    <s v="Universidad EAFIT"/>
    <m/>
    <s v="Ingeniería Mecánica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Otros"/>
    <s v="CREATÓN"/>
    <d v="2026-08-24T00:00:00"/>
    <d v="1899-12-30T11:07:14"/>
    <s v=" 320 2359161"/>
    <s v="Carrera 38 43-73, 050016 Medellin, Colombia"/>
    <s v="DP"/>
    <n v="89"/>
    <s v="Cata"/>
    <x v="27"/>
    <x v="1"/>
    <s v="OK "/>
    <x v="29"/>
    <x v="291"/>
    <x v="4"/>
    <x v="4"/>
    <x v="4"/>
  </r>
  <r>
    <x v="302"/>
    <x v="302"/>
    <s v="Cédula de ciudadanía"/>
    <x v="300"/>
    <s v="Hombre"/>
    <n v="26"/>
    <b v="1"/>
    <s v="Bucaramanga"/>
    <s v="Bucaramanga"/>
    <s v="Universidad Santo Tomás"/>
    <m/>
    <s v="Ingeniería Industrial"/>
    <m/>
    <b v="0"/>
    <b v="0"/>
    <s v="Intermedio"/>
    <s v="Avanzado"/>
    <s v="Producción (Operaciones)"/>
    <m/>
    <m/>
    <s v="Atracción de Talento y Marca Empleadora"/>
    <m/>
    <s v="Talento"/>
    <m/>
    <m/>
    <m/>
    <m/>
    <b v="0"/>
    <b v="0"/>
    <m/>
    <b v="0"/>
    <m/>
    <b v="0"/>
    <m/>
    <b v="0"/>
    <m/>
    <s v="Página Web Oficial"/>
    <s v="CREATÓN"/>
    <d v="2026-08-25T00:00:00"/>
    <d v="1899-12-30T13:18:15"/>
    <n v="3142093772"/>
    <s v="Calle 90 24-72, 680004 Bucaramanga, Colombia"/>
    <s v="DP"/>
    <n v="80"/>
    <s v="Cata"/>
    <x v="27"/>
    <x v="1"/>
    <s v="OK "/>
    <x v="10"/>
    <x v="292"/>
    <x v="4"/>
    <x v="4"/>
    <x v="4"/>
  </r>
  <r>
    <x v="303"/>
    <x v="303"/>
    <s v="Cédula de ciudadanía"/>
    <x v="301"/>
    <s v="Mujer"/>
    <n v="18"/>
    <b v="1"/>
    <s v="Cali"/>
    <s v="Cali (Yumbo)"/>
    <s v="Universidad Libre"/>
    <m/>
    <s v="Derecho"/>
    <m/>
    <b v="1"/>
    <b v="0"/>
    <s v="Básico"/>
    <s v="Intermedio"/>
    <s v="Talento"/>
    <m/>
    <m/>
    <m/>
    <m/>
    <s v="Compras"/>
    <m/>
    <m/>
    <s v="Atracción de Talento y Marca Empleadora"/>
    <m/>
    <b v="0"/>
    <b v="0"/>
    <m/>
    <b v="0"/>
    <m/>
    <b v="0"/>
    <m/>
    <b v="0"/>
    <m/>
    <s v="Instagram"/>
    <s v="CREATÓN"/>
    <d v="2026-08-31T00:00:00"/>
    <d v="1899-12-30T06:07:36"/>
    <s v=" 321 9937799"/>
    <s v="Conjunto Residencial Sierra de Normandia, 760045 Cali, Colombia"/>
    <s v="DP"/>
    <n v="92"/>
    <s v="Cata"/>
    <x v="28"/>
    <x v="2"/>
    <s v="OK"/>
    <x v="8"/>
    <x v="293"/>
    <x v="5"/>
    <x v="4"/>
    <x v="0"/>
  </r>
  <r>
    <x v="304"/>
    <x v="304"/>
    <s v="Cédula de ciudadanía"/>
    <x v="302"/>
    <s v="Mujer"/>
    <n v="22"/>
    <b v="1"/>
    <s v="Bogotá"/>
    <s v="Cali (Yumbo)"/>
    <s v="Pontificia Universidad Javeriana"/>
    <m/>
    <s v="Administración de Empresas"/>
    <m/>
    <b v="1"/>
    <b v="0"/>
    <s v="Avanzad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9-04T00:00:00"/>
    <d v="1899-12-30T16:11:04"/>
    <s v=" 323 2745140"/>
    <s v="Calle 191A 11A-93, 110141 Bogota, D.C., Colombia"/>
    <s v="DP"/>
    <n v="90.2"/>
    <s v="Cata"/>
    <x v="28"/>
    <x v="0"/>
    <s v="OK "/>
    <x v="3"/>
    <x v="294"/>
    <x v="5"/>
    <x v="4"/>
    <x v="0"/>
  </r>
  <r>
    <x v="305"/>
    <x v="305"/>
    <s v="Cédula de ciudadanía"/>
    <x v="303"/>
    <s v="Mujer"/>
    <n v="22"/>
    <b v="1"/>
    <s v="Pasto"/>
    <s v="Cali (Yumbo)"/>
    <s v="Universidad de Nariño"/>
    <m/>
    <s v="Administración de Empresas"/>
    <m/>
    <b v="0"/>
    <b v="0"/>
    <s v="Intermedio"/>
    <s v="Básic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Instagram"/>
    <s v="CREATÓN"/>
    <d v="2026-09-09T00:00:00"/>
    <d v="1899-12-30T13:53:12"/>
    <n v="3147455327"/>
    <s v="Villa Ángela, Pasto, Colombia"/>
    <s v="DP"/>
    <n v="96.6"/>
    <s v="Cata"/>
    <x v="28"/>
    <x v="1"/>
    <s v="OK "/>
    <x v="3"/>
    <x v="295"/>
    <x v="5"/>
    <x v="4"/>
    <x v="0"/>
  </r>
  <r>
    <x v="306"/>
    <x v="306"/>
    <s v="Cédula de ciudadanía"/>
    <x v="304"/>
    <s v="Hombre"/>
    <n v="23"/>
    <b v="1"/>
    <s v="CALI"/>
    <s v="Cali (Yumbo)"/>
    <s v="Otra"/>
    <s v="Universidad ICESI"/>
    <s v="Ingeniería Industrial"/>
    <m/>
    <b v="0"/>
    <b v="0"/>
    <s v="Intermedio"/>
    <s v="Intermedio"/>
    <s v="Logística"/>
    <m/>
    <m/>
    <s v="Support"/>
    <m/>
    <s v="Talento"/>
    <m/>
    <m/>
    <m/>
    <m/>
    <b v="0"/>
    <b v="0"/>
    <m/>
    <b v="0"/>
    <m/>
    <b v="0"/>
    <m/>
    <b v="0"/>
    <m/>
    <s v="Instagram"/>
    <s v="CREATÓN"/>
    <d v="2026-08-31T00:00:00"/>
    <d v="1899-12-30T08:53:09"/>
    <s v=" 322 2738812"/>
    <s v="Carrera 102 21-162, 760032 Cali, Colombia"/>
    <s v="DP"/>
    <n v="77.5"/>
    <s v="Cata"/>
    <x v="28"/>
    <x v="1"/>
    <s v="OK "/>
    <x v="10"/>
    <x v="296"/>
    <x v="5"/>
    <x v="4"/>
    <x v="0"/>
  </r>
  <r>
    <x v="307"/>
    <x v="307"/>
    <s v="Cédula de ciudadanía"/>
    <x v="305"/>
    <s v="Mujer"/>
    <n v="22"/>
    <b v="1"/>
    <m/>
    <s v="Bucaramanga"/>
    <s v="Otra"/>
    <s v="Universidad de investigación y desarrollo"/>
    <s v="Negocios Internacionales"/>
    <m/>
    <b v="1"/>
    <b v="0"/>
    <s v="Avanzado"/>
    <s v="Básico"/>
    <s v="Logística"/>
    <m/>
    <m/>
    <m/>
    <m/>
    <s v="Compras"/>
    <m/>
    <m/>
    <m/>
    <m/>
    <b v="0"/>
    <b v="0"/>
    <m/>
    <b v="0"/>
    <m/>
    <b v="0"/>
    <m/>
    <b v="0"/>
    <m/>
    <s v="Otros"/>
    <s v="CREATÓN"/>
    <d v="2026-09-12T00:00:00"/>
    <d v="1899-12-30T11:44:05"/>
    <s v=" 321 4847513"/>
    <s v="Carrera 19 111-11, 680004 Bucaramanga, Colombia"/>
    <s v="DP"/>
    <n v="80.599999999999994"/>
    <s v="Cata"/>
    <x v="22"/>
    <x v="2"/>
    <s v="OK"/>
    <x v="5"/>
    <x v="297"/>
    <x v="4"/>
    <x v="4"/>
    <x v="4"/>
  </r>
  <r>
    <x v="308"/>
    <x v="308"/>
    <s v="Cédula de ciudadanía"/>
    <x v="306"/>
    <s v="Mujer"/>
    <n v="22"/>
    <b v="1"/>
    <s v="Zapopan, Jalisco, México"/>
    <s v="Bucaramanga"/>
    <s v="Universidad Pontificia Bolivariana"/>
    <m/>
    <s v="Ingeniería Industrial"/>
    <m/>
    <b v="0"/>
    <b v="0"/>
    <s v="Intermedio"/>
    <s v="Intermedio"/>
    <s v="Talento"/>
    <m/>
    <m/>
    <m/>
    <m/>
    <s v="Asuntos Corporativos"/>
    <m/>
    <m/>
    <s v="Compensación y Beneficios"/>
    <m/>
    <b v="0"/>
    <b v="0"/>
    <m/>
    <b v="0"/>
    <m/>
    <b v="0"/>
    <m/>
    <b v="0"/>
    <m/>
    <s v="Otros"/>
    <s v="CREATÓN"/>
    <d v="2026-09-03T00:00:00"/>
    <d v="1899-12-30T12:36:05"/>
    <s v=" 317 4392050"/>
    <s v="Anillo Vial 21-119, 681004 Floridablanca, Colombia"/>
    <s v="DP"/>
    <n v="86"/>
    <s v="Cata"/>
    <x v="22"/>
    <x v="0"/>
    <s v="OK"/>
    <x v="10"/>
    <x v="298"/>
    <x v="4"/>
    <x v="4"/>
    <x v="4"/>
  </r>
  <r>
    <x v="309"/>
    <x v="309"/>
    <s v="Cédula de ciudadanía"/>
    <x v="307"/>
    <s v="Hombre"/>
    <n v="24"/>
    <b v="1"/>
    <s v="BARRANQUILLA"/>
    <s v="Bucaramanga"/>
    <s v="Universidad del Norte"/>
    <m/>
    <s v="Administración de Empresas"/>
    <m/>
    <b v="0"/>
    <b v="0"/>
    <s v="Avanzado"/>
    <s v="Avanzad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Otros"/>
    <s v="CREATÓN"/>
    <d v="2026-09-12T00:00:00"/>
    <d v="1899-12-30T12:26:06"/>
    <s v=" 310 5919408"/>
    <s v="Barranquilla, Colombia"/>
    <s v="DP"/>
    <n v="84.7"/>
    <s v="Cata"/>
    <x v="22"/>
    <x v="1"/>
    <s v="OK"/>
    <x v="3"/>
    <x v="299"/>
    <x v="4"/>
    <x v="4"/>
    <x v="4"/>
  </r>
  <r>
    <x v="310"/>
    <x v="310"/>
    <s v="Cédula de ciudadanía"/>
    <x v="308"/>
    <s v="Hombre"/>
    <n v="23"/>
    <b v="1"/>
    <s v="Cali"/>
    <s v="Cali (Yumbo)"/>
    <s v="Pontificia Universidad Javeriana| Cali"/>
    <m/>
    <s v="Negocios Internacionales"/>
    <m/>
    <b v="0"/>
    <b v="0"/>
    <s v="Intermedio"/>
    <s v="Intermedio"/>
    <s v="Marketing"/>
    <m/>
    <m/>
    <m/>
    <m/>
    <s v="Asuntos Corporativos"/>
    <m/>
    <m/>
    <m/>
    <m/>
    <b v="0"/>
    <b v="0"/>
    <m/>
    <b v="0"/>
    <m/>
    <b v="0"/>
    <m/>
    <b v="0"/>
    <m/>
    <s v="LinkedIn"/>
    <s v="CREATÓN"/>
    <d v="2026-08-26T00:00:00"/>
    <d v="1899-12-30T09:50:06"/>
    <s v=" 302 3398986"/>
    <s v="Acore Club, 760042 Cali, Colombia"/>
    <s v="DP"/>
    <n v="87.4"/>
    <s v="Cata"/>
    <x v="29"/>
    <x v="0"/>
    <s v="OK"/>
    <x v="5"/>
    <x v="300"/>
    <x v="6"/>
    <x v="5"/>
    <x v="5"/>
  </r>
  <r>
    <x v="311"/>
    <x v="311"/>
    <s v="Cédula de ciudadanía"/>
    <x v="309"/>
    <s v="Hombre"/>
    <n v="20"/>
    <b v="1"/>
    <s v="Santa Marta"/>
    <s v="Barranquilla"/>
    <s v="Universidad Sergio Arboleda"/>
    <m/>
    <s v="Ingeniería Industrial"/>
    <m/>
    <b v="0"/>
    <b v="0"/>
    <s v="Avanzado"/>
    <s v="Avanzado"/>
    <s v="Logística"/>
    <m/>
    <m/>
    <m/>
    <m/>
    <s v="Producción (Operaciones)"/>
    <s v="Ingeniería y Servicios"/>
    <m/>
    <m/>
    <m/>
    <b v="0"/>
    <b v="0"/>
    <m/>
    <b v="0"/>
    <m/>
    <b v="1"/>
    <m/>
    <b v="0"/>
    <m/>
    <s v="Instagram"/>
    <s v="CREATÓN"/>
    <d v="2026-09-13T00:00:00"/>
    <d v="1899-12-30T00:19:51"/>
    <n v="3108107599"/>
    <s v="Calle 29 1C-22, 470004 Santa Marta, Colombia"/>
    <s v="DP"/>
    <n v="97.1"/>
    <s v="Cata"/>
    <x v="30"/>
    <x v="0"/>
    <s v="OK"/>
    <x v="10"/>
    <x v="301"/>
    <x v="7"/>
    <x v="5"/>
    <x v="6"/>
  </r>
  <r>
    <x v="312"/>
    <x v="312"/>
    <s v="Cédula de ciudadanía"/>
    <x v="310"/>
    <s v="Hombre"/>
    <n v="18"/>
    <b v="1"/>
    <s v="BARRANQUILLA"/>
    <s v="Barranquilla"/>
    <s v="Otra"/>
    <s v="Institución universitaria de Barranquilla"/>
    <s v="Negocios Internacionales"/>
    <m/>
    <b v="0"/>
    <b v="0"/>
    <s v="Básico"/>
    <s v="Avanzado"/>
    <s v="Logística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8-27T00:00:00"/>
    <d v="1899-12-30T10:43:04"/>
    <n v="3022092286"/>
    <s v="Calle 45B-27, 080011 Barranquilla, Colombia"/>
    <s v="DP"/>
    <n v="89.9"/>
    <s v="Cata"/>
    <x v="31"/>
    <x v="0"/>
    <s v="OK"/>
    <x v="5"/>
    <x v="302"/>
    <x v="8"/>
    <x v="5"/>
    <x v="7"/>
  </r>
  <r>
    <x v="313"/>
    <x v="313"/>
    <s v="Cédula de ciudadanía"/>
    <x v="311"/>
    <s v="Hombre"/>
    <n v="22"/>
    <b v="1"/>
    <s v="Cartagena"/>
    <s v="Barranquilla"/>
    <s v="Universidad de Cartagena"/>
    <m/>
    <s v="Ingeniería de Alimentos"/>
    <m/>
    <b v="0"/>
    <b v="0"/>
    <s v="Intermedio"/>
    <s v="Intermedio"/>
    <s v="Producción (Operaciones)"/>
    <m/>
    <m/>
    <m/>
    <m/>
    <s v="Producción (Operaciones)"/>
    <s v="Indugral 2"/>
    <m/>
    <m/>
    <m/>
    <b v="0"/>
    <b v="0"/>
    <m/>
    <b v="0"/>
    <m/>
    <b v="0"/>
    <m/>
    <b v="0"/>
    <m/>
    <s v="Medios Tradicionales"/>
    <s v="CREATÓN"/>
    <d v="2026-09-12T00:00:00"/>
    <d v="1899-12-30T23:38:56"/>
    <n v="0"/>
    <s v="Cartagena, Colombia"/>
    <s v="DP"/>
    <n v="75.5"/>
    <s v="Cata"/>
    <x v="32"/>
    <x v="1"/>
    <s v="OK"/>
    <x v="40"/>
    <x v="2"/>
    <x v="7"/>
    <x v="5"/>
    <x v="6"/>
  </r>
  <r>
    <x v="314"/>
    <x v="314"/>
    <s v="Cédula de ciudadanía"/>
    <x v="312"/>
    <s v="Hombre"/>
    <n v="22"/>
    <b v="1"/>
    <m/>
    <s v="Barranquilla"/>
    <s v="Universidad de Cartagena"/>
    <m/>
    <s v="Ingeniería Química"/>
    <m/>
    <b v="0"/>
    <b v="0"/>
    <s v="Intermedio"/>
    <s v="Avanzad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9-13T00:00:00"/>
    <d v="1899-12-30T15:02:10"/>
    <n v="3012298941"/>
    <s v="Villa Barraza, Cartagena, Colombia"/>
    <s v="DP"/>
    <n v="76.5"/>
    <s v="Cata"/>
    <x v="32"/>
    <x v="1"/>
    <s v="OK"/>
    <x v="28"/>
    <x v="303"/>
    <x v="7"/>
    <x v="5"/>
    <x v="6"/>
  </r>
  <r>
    <x v="315"/>
    <x v="315"/>
    <s v="Cédula de ciudadanía"/>
    <x v="313"/>
    <s v="Mujer"/>
    <n v="24"/>
    <b v="1"/>
    <s v="Cartagena"/>
    <s v="Barranquilla"/>
    <s v="Universidad de Cartagena"/>
    <m/>
    <s v="Ingeniería Química"/>
    <m/>
    <b v="1"/>
    <b v="0"/>
    <s v="Intermedi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9-09T00:00:00"/>
    <d v="1899-12-30T07:37:09"/>
    <s v=" 312 6172663"/>
    <s v="Nelson Mandela, Cartagena, Colombia"/>
    <s v="DP"/>
    <n v="77.8"/>
    <s v="Cata"/>
    <x v="32"/>
    <x v="1"/>
    <s v="OK"/>
    <x v="28"/>
    <x v="304"/>
    <x v="7"/>
    <x v="5"/>
    <x v="6"/>
  </r>
  <r>
    <x v="316"/>
    <x v="316"/>
    <s v="Cédula de ciudadanía"/>
    <x v="314"/>
    <s v="Mujer"/>
    <n v="22"/>
    <b v="1"/>
    <m/>
    <s v="Barranquilla"/>
    <s v="Universidad del Atlántico"/>
    <m/>
    <s v="Ingeniería Química"/>
    <m/>
    <b v="0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Página Web Oficial"/>
    <s v="CREATÓN"/>
    <d v="2026-08-23T00:00:00"/>
    <d v="1899-12-30T18:39:09"/>
    <n v="3004451226"/>
    <s v="Calle 16 13-11, 083021 Malambo, Colombia"/>
    <s v="DP"/>
    <n v="88.2"/>
    <s v="Cata"/>
    <x v="32"/>
    <x v="1"/>
    <s v="OK"/>
    <x v="28"/>
    <x v="305"/>
    <x v="7"/>
    <x v="5"/>
    <x v="6"/>
  </r>
  <r>
    <x v="317"/>
    <x v="317"/>
    <s v="Cédula de ciudadanía"/>
    <x v="315"/>
    <s v="Mujer"/>
    <n v="21"/>
    <b v="1"/>
    <s v="BARRANQUILLA"/>
    <s v="Barranquilla"/>
    <s v="Universidad del Norte"/>
    <m/>
    <s v="Ingeniería Industrial"/>
    <m/>
    <b v="1"/>
    <b v="0"/>
    <s v="Avanzad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9-11T00:00:00"/>
    <d v="1899-12-30T14:48:03"/>
    <s v=" 300 7536860"/>
    <s v="Calle 117 42B, Barranquilla, Colombia"/>
    <s v="DP"/>
    <n v="82.7"/>
    <s v="Cata"/>
    <x v="32"/>
    <x v="1"/>
    <s v="OK"/>
    <x v="10"/>
    <x v="306"/>
    <x v="7"/>
    <x v="5"/>
    <x v="6"/>
  </r>
  <r>
    <x v="318"/>
    <x v="318"/>
    <s v="Cédula de ciudadanía"/>
    <x v="316"/>
    <s v="Mujer"/>
    <n v="22"/>
    <b v="1"/>
    <m/>
    <s v="Barranquilla"/>
    <s v="Universidad del Atlántico"/>
    <m/>
    <s v="Ingeniería Química"/>
    <m/>
    <b v="0"/>
    <b v="0"/>
    <s v="Intermedio"/>
    <s v="Avanzado"/>
    <s v="Producción (Operaciones)"/>
    <m/>
    <m/>
    <m/>
    <m/>
    <s v="Producción (Operaciones)"/>
    <s v="Elaboración"/>
    <m/>
    <m/>
    <m/>
    <b v="0"/>
    <b v="0"/>
    <m/>
    <b v="0"/>
    <s v="Padre - Eduardo Enrique Zapata Ibáñez"/>
    <b v="0"/>
    <m/>
    <b v="1"/>
    <m/>
    <s v="Página Web Oficial"/>
    <s v="CREATÓN"/>
    <d v="2026-08-22T00:00:00"/>
    <d v="1899-12-30T12:52:08"/>
    <s v="300 1246603"/>
    <s v="Carrera 13B 55-60, 080011 Barranquilla, Colombia"/>
    <s v="DP"/>
    <n v="84.9"/>
    <s v="Cata"/>
    <x v="32"/>
    <x v="1"/>
    <s v="OK"/>
    <x v="28"/>
    <x v="307"/>
    <x v="7"/>
    <x v="5"/>
    <x v="6"/>
  </r>
  <r>
    <x v="319"/>
    <x v="319"/>
    <s v="Cédula de ciudadanía"/>
    <x v="317"/>
    <s v="Mujer"/>
    <n v="22"/>
    <b v="1"/>
    <m/>
    <s v="Barranquilla"/>
    <s v="Universidad de Cartagena"/>
    <m/>
    <s v="Ingeniería Química"/>
    <m/>
    <b v="0"/>
    <b v="0"/>
    <s v="Intermedio"/>
    <s v="Avanzado"/>
    <s v="Producción (Operaciones)"/>
    <m/>
    <m/>
    <m/>
    <m/>
    <s v="Producción (Operaciones)"/>
    <s v="Ingeniería y Servicios"/>
    <m/>
    <m/>
    <m/>
    <b v="0"/>
    <b v="0"/>
    <m/>
    <b v="0"/>
    <m/>
    <b v="1"/>
    <m/>
    <b v="0"/>
    <m/>
    <s v="Instagram"/>
    <s v="CREATÓN"/>
    <d v="2026-08-22T00:00:00"/>
    <d v="1899-12-30T10:12:10"/>
    <n v="3205739128"/>
    <s v="Barranquilla, Medellin, Colombia"/>
    <s v="DP"/>
    <n v="92.1"/>
    <s v="Cata"/>
    <x v="32"/>
    <x v="1"/>
    <s v="OK"/>
    <x v="28"/>
    <x v="308"/>
    <x v="7"/>
    <x v="5"/>
    <x v="6"/>
  </r>
  <r>
    <x v="320"/>
    <x v="320"/>
    <s v="Cédula de ciudadanía"/>
    <x v="318"/>
    <s v="Mujer"/>
    <n v="23"/>
    <b v="1"/>
    <s v="BARRANQUILLA"/>
    <s v="Barranquilla"/>
    <s v="Universidad del Atlántico"/>
    <m/>
    <s v="Ingeniería Química"/>
    <m/>
    <b v="0"/>
    <b v="0"/>
    <s v="Intermedi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Página Web Oficial"/>
    <s v="CREATÓN"/>
    <d v="2026-09-03T00:00:00"/>
    <d v="1899-12-30T09:49:07"/>
    <s v=" 324 2183271"/>
    <s v="Calle 11 12-5, 083021 Malambo, Colombia"/>
    <s v="DP"/>
    <n v="83"/>
    <s v="Cata"/>
    <x v="32"/>
    <x v="1"/>
    <s v="OK"/>
    <x v="28"/>
    <x v="309"/>
    <x v="7"/>
    <x v="5"/>
    <x v="6"/>
  </r>
  <r>
    <x v="321"/>
    <x v="321"/>
    <s v="Cédula de ciudadanía"/>
    <x v="319"/>
    <s v="Mujer"/>
    <n v="20"/>
    <b v="1"/>
    <m/>
    <s v="Barranquilla"/>
    <s v="Otra"/>
    <s v="Corporación Universidad de la costa (Cuc)"/>
    <s v="Ingeniería Industrial"/>
    <m/>
    <b v="0"/>
    <b v="0"/>
    <s v="Intermedio"/>
    <s v="Básic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3T00:00:00"/>
    <d v="1899-12-30T09:38:25"/>
    <n v="3002713372"/>
    <s v="Calle 41 17-35, 080006 Barranquilla, Colombia"/>
    <s v="DP"/>
    <n v="76.8"/>
    <s v="Cata"/>
    <x v="33"/>
    <x v="1"/>
    <s v="OK"/>
    <x v="10"/>
    <x v="310"/>
    <x v="7"/>
    <x v="5"/>
    <x v="6"/>
  </r>
  <r>
    <x v="322"/>
    <x v="322"/>
    <s v="Cédula de ciudadanía"/>
    <x v="320"/>
    <s v="Hombre"/>
    <n v="23"/>
    <b v="1"/>
    <s v="Barranquilla"/>
    <s v="Barranquilla"/>
    <s v="Universidad del Norte"/>
    <m/>
    <s v="Ingeniería Mecánica"/>
    <m/>
    <b v="0"/>
    <b v="0"/>
    <s v="Intermedi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Página Web Oficial"/>
    <s v="CREATÓN"/>
    <d v="2026-09-12T00:00:00"/>
    <d v="1899-12-30T09:25:05"/>
    <s v=" 300 2916918"/>
    <s v="Calle 68 26D-33, 080016 Barranquilla, Colombia"/>
    <s v="DP"/>
    <n v="95.4"/>
    <s v="Cata"/>
    <x v="33"/>
    <x v="1"/>
    <s v="OK"/>
    <x v="29"/>
    <x v="311"/>
    <x v="7"/>
    <x v="5"/>
    <x v="6"/>
  </r>
  <r>
    <x v="323"/>
    <x v="323"/>
    <s v="Cédula de ciudadanía"/>
    <x v="321"/>
    <s v="Mujer"/>
    <n v="20"/>
    <b v="1"/>
    <s v="Soledad"/>
    <s v="Barranquilla"/>
    <s v="Otra"/>
    <s v="Universidad Autónoma del Caribe"/>
    <s v="Ingeniería Mecatrónica"/>
    <m/>
    <b v="1"/>
    <b v="0"/>
    <s v="Intermedio"/>
    <s v="Básico"/>
    <s v="Producción (Operaciones)"/>
    <m/>
    <m/>
    <m/>
    <m/>
    <s v="Tecnología"/>
    <m/>
    <m/>
    <m/>
    <m/>
    <b v="0"/>
    <b v="0"/>
    <m/>
    <b v="0"/>
    <m/>
    <b v="0"/>
    <m/>
    <b v="0"/>
    <m/>
    <s v="Otros"/>
    <s v="CREATÓN"/>
    <d v="2026-08-30T00:00:00"/>
    <d v="1899-12-30T10:20:03"/>
    <s v=" 302 8689279"/>
    <s v="Carrera 32A 59-45, 083001 Soledad, Colombia"/>
    <s v="DP"/>
    <n v="94.7"/>
    <s v="Santi"/>
    <x v="33"/>
    <x v="1"/>
    <s v="OK"/>
    <x v="25"/>
    <x v="312"/>
    <x v="7"/>
    <x v="5"/>
    <x v="6"/>
  </r>
  <r>
    <x v="324"/>
    <x v="324"/>
    <s v="Cédula de ciudadanía"/>
    <x v="322"/>
    <s v="Hombre"/>
    <n v="24"/>
    <b v="1"/>
    <s v="BARRANQUILLA"/>
    <s v="Barranquilla"/>
    <s v="Universidad Sergio Arboleda"/>
    <m/>
    <s v="Ingeniería Industrial"/>
    <m/>
    <b v="0"/>
    <b v="0"/>
    <s v="Intermedio"/>
    <s v="Avanzado"/>
    <s v="Producción (Operaciones)"/>
    <m/>
    <m/>
    <m/>
    <m/>
    <s v="Asuntos Corporativos"/>
    <m/>
    <m/>
    <m/>
    <m/>
    <b v="0"/>
    <b v="0"/>
    <m/>
    <b v="0"/>
    <m/>
    <b v="0"/>
    <m/>
    <b v="0"/>
    <m/>
    <s v="Instagram"/>
    <s v="CREATÓN"/>
    <d v="2026-08-30T00:00:00"/>
    <d v="1899-12-30T10:20:05"/>
    <n v="3028404613"/>
    <s v="Carrera 65 85, Barranquilla, Colombia"/>
    <s v="DP"/>
    <n v="84.9"/>
    <s v="Cata"/>
    <x v="33"/>
    <x v="1"/>
    <s v="OK"/>
    <x v="10"/>
    <x v="313"/>
    <x v="7"/>
    <x v="5"/>
    <x v="6"/>
  </r>
  <r>
    <x v="325"/>
    <x v="325"/>
    <s v="Cédula de ciudadanía"/>
    <x v="323"/>
    <s v="Hombre"/>
    <n v="21"/>
    <b v="1"/>
    <s v="SOLEDAD"/>
    <s v="Barranquilla"/>
    <s v="Universidad del Norte"/>
    <m/>
    <s v="Ingeniería Mecánica"/>
    <m/>
    <b v="1"/>
    <b v="0"/>
    <s v="Intermedio"/>
    <s v="Avanzad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Otros"/>
    <s v="CREATÓN"/>
    <d v="2026-09-13T00:00:00"/>
    <d v="1899-12-30T15:55:32"/>
    <s v=" 302 8476293"/>
    <s v="Calle 47 23-73, 080012 Barranquilla, Colombia"/>
    <s v="DP"/>
    <n v="77.7"/>
    <s v="Cata"/>
    <x v="33"/>
    <x v="1"/>
    <s v="OK"/>
    <x v="29"/>
    <x v="314"/>
    <x v="7"/>
    <x v="5"/>
    <x v="6"/>
  </r>
  <r>
    <x v="326"/>
    <x v="326"/>
    <s v="Cédula de ciudadanía"/>
    <x v="324"/>
    <s v="Mujer"/>
    <n v="19"/>
    <b v="1"/>
    <s v="BARRANQUILLA"/>
    <s v="Barranquilla"/>
    <s v="Otra"/>
    <s v="Universidad autonoma del caribe"/>
    <s v="Ingeniería Mecánica"/>
    <m/>
    <b v="1"/>
    <b v="0"/>
    <s v="Básico"/>
    <s v="Intermedio"/>
    <s v="Producción (Operaciones)"/>
    <m/>
    <m/>
    <m/>
    <m/>
    <s v="Tecnología"/>
    <m/>
    <m/>
    <m/>
    <m/>
    <b v="0"/>
    <b v="0"/>
    <m/>
    <b v="0"/>
    <m/>
    <b v="0"/>
    <m/>
    <b v="0"/>
    <m/>
    <s v="Instagram"/>
    <s v="CREATÓN"/>
    <d v="2026-08-30T00:00:00"/>
    <d v="1899-12-30T10:20:04"/>
    <s v=" 300 3916646"/>
    <s v="Carrera 41G 47-18, 083001 Soledad, Colombia"/>
    <s v="DP"/>
    <n v="80.7"/>
    <s v="Cata"/>
    <x v="33"/>
    <x v="1"/>
    <s v="OK"/>
    <x v="29"/>
    <x v="315"/>
    <x v="7"/>
    <x v="5"/>
    <x v="6"/>
  </r>
  <r>
    <x v="327"/>
    <x v="327"/>
    <s v="Cédula de ciudadanía"/>
    <x v="325"/>
    <s v="Mujer"/>
    <n v="26"/>
    <b v="1"/>
    <s v="BARRANQUILLA"/>
    <s v="Barranquilla"/>
    <s v="Universidad del Atlántico"/>
    <m/>
    <s v="Ingeniería Mecánica"/>
    <m/>
    <b v="1"/>
    <b v="0"/>
    <s v="Intermedi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Instagram"/>
    <s v="CREATÓN"/>
    <d v="2026-09-13T00:00:00"/>
    <d v="1899-12-30T10:12:00"/>
    <n v="3137286283"/>
    <s v="Calle 74A 67-19, 080001 Barranquilla, Colombia"/>
    <s v="DP"/>
    <n v="75"/>
    <s v="Cata"/>
    <x v="33"/>
    <x v="1"/>
    <s v="OK"/>
    <x v="29"/>
    <x v="316"/>
    <x v="7"/>
    <x v="5"/>
    <x v="6"/>
  </r>
  <r>
    <x v="328"/>
    <x v="328"/>
    <s v="Cédula de ciudadanía"/>
    <x v="326"/>
    <s v="Otro"/>
    <n v="22"/>
    <b v="1"/>
    <s v="BARRANQUILLA"/>
    <s v="Barranquilla"/>
    <s v="Universidad del Norte"/>
    <m/>
    <s v="Ingeniería Electrónica"/>
    <m/>
    <b v="1"/>
    <b v="0"/>
    <s v="Avanzado"/>
    <s v="Intermedio"/>
    <s v="Tecnología"/>
    <m/>
    <m/>
    <m/>
    <m/>
    <s v="Logística"/>
    <m/>
    <m/>
    <m/>
    <m/>
    <b v="0"/>
    <b v="0"/>
    <m/>
    <b v="0"/>
    <m/>
    <b v="0"/>
    <m/>
    <b v="0"/>
    <m/>
    <s v="Medios Tradicionales"/>
    <s v="CREATÓN"/>
    <d v="2026-09-11T00:00:00"/>
    <d v="1899-12-30T10:23:06"/>
    <s v=" 314 3636163"/>
    <s v="Carrera 50 84-16, 080020 Barranquilla, Colombia"/>
    <s v="DP"/>
    <n v="74.8"/>
    <s v="Santi"/>
    <x v="33"/>
    <x v="1"/>
    <s v="OK"/>
    <x v="24"/>
    <x v="317"/>
    <x v="7"/>
    <x v="5"/>
    <x v="6"/>
  </r>
  <r>
    <x v="329"/>
    <x v="329"/>
    <s v="Cédula de ciudadanía"/>
    <x v="327"/>
    <s v="Hombre"/>
    <n v="22"/>
    <b v="1"/>
    <s v="BARRANQUILLA"/>
    <s v="Barranquilla"/>
    <s v="Universidad del Norte"/>
    <m/>
    <s v="Ingeniería Mecánica"/>
    <m/>
    <b v="1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LinkedIn"/>
    <s v="CREATÓN"/>
    <d v="2026-09-12T00:00:00"/>
    <d v="1899-12-30T12:27:08"/>
    <s v=" 304 5286582"/>
    <s v="Calle 74-2 70-43, 080001 Barranquilla, Colombia"/>
    <s v="DP"/>
    <n v="93.3"/>
    <s v="Cata"/>
    <x v="33"/>
    <x v="1"/>
    <s v="OK"/>
    <x v="29"/>
    <x v="318"/>
    <x v="7"/>
    <x v="5"/>
    <x v="6"/>
  </r>
  <r>
    <x v="330"/>
    <x v="330"/>
    <s v="Cédula de ciudadanía"/>
    <x v="328"/>
    <s v="Hombre"/>
    <n v="26"/>
    <b v="1"/>
    <s v="CARTAGENA"/>
    <s v="Barranquilla"/>
    <s v="Otra"/>
    <s v="Universidad Tecnológica de Bolívar"/>
    <s v="Ingeniería Química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8-29T00:00:00"/>
    <d v="1899-12-30T12:02:25"/>
    <s v=" 320 7461252"/>
    <s v="Carrera 1A 71-99, 130002 Cartagena, Colombia"/>
    <s v="DP"/>
    <n v="82.4"/>
    <s v="Cata"/>
    <x v="34"/>
    <x v="1"/>
    <s v="OK"/>
    <x v="28"/>
    <x v="319"/>
    <x v="7"/>
    <x v="5"/>
    <x v="6"/>
  </r>
  <r>
    <x v="331"/>
    <x v="331"/>
    <s v="Cédula de ciudadanía"/>
    <x v="329"/>
    <s v="Hombre"/>
    <n v="24"/>
    <b v="1"/>
    <s v="Barranquilla"/>
    <s v="Barranquilla"/>
    <s v="Otra"/>
    <s v="Universidad Simón Bolívar"/>
    <s v="Ingeniería Industrial"/>
    <m/>
    <b v="0"/>
    <b v="0"/>
    <s v="Básico"/>
    <s v="Intermedio"/>
    <s v="Logística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8-24T00:00:00"/>
    <d v="1899-12-30T18:19:03"/>
    <s v=" 300 6727521"/>
    <s v="Calle 66A 3A, Soledad, Colombia"/>
    <s v="DP"/>
    <n v="80.7"/>
    <s v="Cata"/>
    <x v="34"/>
    <x v="1"/>
    <s v="OK"/>
    <x v="10"/>
    <x v="320"/>
    <x v="7"/>
    <x v="5"/>
    <x v="6"/>
  </r>
  <r>
    <x v="332"/>
    <x v="332"/>
    <s v="Cédula de ciudadanía"/>
    <x v="330"/>
    <s v="Hombre"/>
    <n v="20"/>
    <b v="1"/>
    <s v="Malambo"/>
    <s v="Barranquilla"/>
    <s v="Otra"/>
    <s v="Universidad Autónoma del Caribe"/>
    <s v="Ingeniería de Sistemas"/>
    <m/>
    <b v="1"/>
    <b v="0"/>
    <s v="Básico"/>
    <s v="Avanzado"/>
    <s v="Tecnología"/>
    <m/>
    <m/>
    <m/>
    <m/>
    <s v="Producción (Operaciones)"/>
    <s v="Indugral 1"/>
    <m/>
    <m/>
    <m/>
    <b v="0"/>
    <b v="0"/>
    <m/>
    <b v="0"/>
    <m/>
    <b v="0"/>
    <m/>
    <b v="0"/>
    <m/>
    <s v="Otros"/>
    <s v="CREATÓN"/>
    <d v="2026-09-02T00:00:00"/>
    <d v="1899-12-30T13:13:03"/>
    <s v=" 305 4414452"/>
    <s v="Carrera 10A1, Malambo, Colombia"/>
    <s v="DP"/>
    <n v="83.2"/>
    <s v="Santi"/>
    <x v="34"/>
    <x v="1"/>
    <s v="OK"/>
    <x v="18"/>
    <x v="321"/>
    <x v="7"/>
    <x v="5"/>
    <x v="6"/>
  </r>
  <r>
    <x v="333"/>
    <x v="333"/>
    <s v="Cédula de ciudadanía"/>
    <x v="331"/>
    <s v="Mujer"/>
    <n v="22"/>
    <b v="1"/>
    <s v="Barranquilla"/>
    <s v="Barranquilla"/>
    <s v="Universidad del Norte"/>
    <m/>
    <s v="Ingeniería Industrial"/>
    <m/>
    <b v="0"/>
    <b v="0"/>
    <s v="Intermedio"/>
    <s v="Avanzado"/>
    <s v="Producción (Operaciones)"/>
    <m/>
    <m/>
    <m/>
    <m/>
    <s v="Producción (Operaciones)"/>
    <s v="Talento"/>
    <m/>
    <m/>
    <m/>
    <b v="0"/>
    <b v="0"/>
    <m/>
    <b v="0"/>
    <m/>
    <b v="0"/>
    <m/>
    <b v="0"/>
    <m/>
    <s v="LinkedIn"/>
    <s v="CREATÓN"/>
    <d v="2026-09-12T00:00:00"/>
    <d v="1899-12-30T14:56:03"/>
    <s v=" 350 3703324"/>
    <s v="Carrera 57 90-73, 080001 Barranquilla, Colombia"/>
    <s v="DP"/>
    <n v="71.099999999999994"/>
    <s v="Cata"/>
    <x v="34"/>
    <x v="1"/>
    <s v="OK"/>
    <x v="10"/>
    <x v="322"/>
    <x v="7"/>
    <x v="5"/>
    <x v="6"/>
  </r>
  <r>
    <x v="334"/>
    <x v="334"/>
    <s v="Cédula de ciudadanía"/>
    <x v="332"/>
    <s v="Hombre"/>
    <n v="20"/>
    <b v="1"/>
    <s v="BARRANQUILLA"/>
    <s v="Barranquilla"/>
    <s v="Universidad Libre"/>
    <m/>
    <s v="Ingeniería de Sistemas"/>
    <m/>
    <b v="1"/>
    <b v="0"/>
    <s v="Intermedi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29T00:00:00"/>
    <d v="1899-12-30T12:03:14"/>
    <n v="3169387050"/>
    <s v="Calle 70B 27-85, 080016 Barranquilla, Colombia"/>
    <s v="DP"/>
    <n v="82.5"/>
    <s v="Cata"/>
    <x v="34"/>
    <x v="1"/>
    <s v="OK"/>
    <x v="18"/>
    <x v="323"/>
    <x v="7"/>
    <x v="5"/>
    <x v="6"/>
  </r>
  <r>
    <x v="335"/>
    <x v="335"/>
    <s v="Cédula de ciudadanía"/>
    <x v="333"/>
    <s v="Hombre"/>
    <n v="21"/>
    <b v="1"/>
    <s v="BARRANQUILLA"/>
    <s v="Barranquilla"/>
    <s v="Universidad del Norte"/>
    <m/>
    <s v="Ingeniería Mecánica"/>
    <m/>
    <b v="1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Medios Tradicionales"/>
    <s v="CREATÓN"/>
    <d v="2026-09-13T00:00:00"/>
    <d v="1899-12-30T13:53:40"/>
    <s v=" 304 5729929"/>
    <s v="Calle 96 71-165, 080001 Barranquilla, Colombia"/>
    <s v="DP"/>
    <n v="78.099999999999994"/>
    <s v="Cata"/>
    <x v="34"/>
    <x v="1"/>
    <s v="OK"/>
    <x v="29"/>
    <x v="324"/>
    <x v="7"/>
    <x v="5"/>
    <x v="6"/>
  </r>
  <r>
    <x v="336"/>
    <x v="336"/>
    <s v="Cédula de ciudadanía"/>
    <x v="334"/>
    <s v="Mujer"/>
    <n v="21"/>
    <b v="1"/>
    <s v="Cali"/>
    <s v="Cali (Yumbo)"/>
    <s v="Otra"/>
    <s v="Universidad Autónomade Occidente"/>
    <s v="Comunicación social"/>
    <m/>
    <b v="1"/>
    <b v="0"/>
    <s v="Intermedio"/>
    <s v="Básico"/>
    <s v="Comunicaciones"/>
    <m/>
    <m/>
    <m/>
    <m/>
    <s v="Marketing"/>
    <m/>
    <m/>
    <m/>
    <m/>
    <b v="0"/>
    <b v="0"/>
    <m/>
    <b v="0"/>
    <m/>
    <b v="0"/>
    <m/>
    <b v="0"/>
    <m/>
    <s v="LinkedIn"/>
    <s v="CREATÓN"/>
    <d v="2026-09-12T00:00:00"/>
    <d v="1899-12-30T18:52:06"/>
    <n v="3124247820"/>
    <s v="Cali, Colombia"/>
    <s v="DP"/>
    <n v="79.3"/>
    <s v="Cata"/>
    <x v="29"/>
    <x v="1"/>
    <s v="OK "/>
    <x v="12"/>
    <x v="325"/>
    <x v="6"/>
    <x v="5"/>
    <x v="5"/>
  </r>
  <r>
    <x v="337"/>
    <x v="337"/>
    <s v="Cédula de ciudadanía"/>
    <x v="335"/>
    <s v="Mujer"/>
    <n v="23"/>
    <b v="1"/>
    <s v="Sincelejo"/>
    <s v="Barranquilla"/>
    <s v="Otra"/>
    <s v="Universidad Antonio José de Sucre"/>
    <s v="Comunicación social"/>
    <m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8-24T00:00:00"/>
    <d v="1899-12-30T13:06:08"/>
    <s v="323 9118228"/>
    <s v="Calle 25 25-33, 700001 Sincelejo, Colombia"/>
    <s v="DP"/>
    <n v="95.7"/>
    <s v="Cata"/>
    <x v="30"/>
    <x v="1"/>
    <s v="OK"/>
    <x v="12"/>
    <x v="326"/>
    <x v="7"/>
    <x v="5"/>
    <x v="6"/>
  </r>
  <r>
    <x v="338"/>
    <x v="338"/>
    <s v="Cédula de ciudadanía"/>
    <x v="336"/>
    <s v="Mujer"/>
    <n v="21"/>
    <b v="1"/>
    <s v="BARRANQUILLA"/>
    <s v="Barranquilla"/>
    <s v="Universidad del Norte"/>
    <m/>
    <s v="Ingeniería Industrial"/>
    <m/>
    <b v="1"/>
    <b v="0"/>
    <s v="Intermedio"/>
    <s v="Avanzado"/>
    <s v="Producción (Operaciones)"/>
    <m/>
    <m/>
    <m/>
    <m/>
    <s v="Producción (Operaciones)"/>
    <s v="Talento"/>
    <m/>
    <m/>
    <m/>
    <b v="0"/>
    <b v="0"/>
    <m/>
    <b v="0"/>
    <m/>
    <b v="0"/>
    <m/>
    <b v="0"/>
    <m/>
    <s v="LinkedIn"/>
    <s v="CREATÓN"/>
    <d v="2026-09-04T00:00:00"/>
    <d v="1899-12-30T05:59:13"/>
    <s v="321 7227862"/>
    <s v="Calle 110 49E, Barranquilla, Colombia"/>
    <s v="DP"/>
    <n v="88.1"/>
    <s v="Cata"/>
    <x v="30"/>
    <x v="1"/>
    <s v="OK "/>
    <x v="10"/>
    <x v="327"/>
    <x v="7"/>
    <x v="5"/>
    <x v="6"/>
  </r>
  <r>
    <x v="339"/>
    <x v="339"/>
    <s v="Cédula de ciudadanía"/>
    <x v="337"/>
    <s v="Mujer"/>
    <n v="21"/>
    <b v="1"/>
    <s v="CARTAGENA"/>
    <s v="Barranquilla"/>
    <s v="Universidad de Cartagena"/>
    <m/>
    <s v="Administración de Empresas"/>
    <m/>
    <b v="1"/>
    <b v="0"/>
    <s v="Intermedio"/>
    <s v="Básic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Instagram"/>
    <s v="CREATÓN"/>
    <d v="2026-08-24T00:00:00"/>
    <d v="1899-12-30T13:06:08"/>
    <s v=" 322 7943599"/>
    <s v="Portales de San Fernando 1, 130012 Cartagena, Colombia"/>
    <s v="DP"/>
    <n v="84.7"/>
    <s v="Cata"/>
    <x v="30"/>
    <x v="1"/>
    <s v="OK "/>
    <x v="3"/>
    <x v="328"/>
    <x v="7"/>
    <x v="5"/>
    <x v="6"/>
  </r>
  <r>
    <x v="340"/>
    <x v="340"/>
    <s v="Cédula de ciudadanía"/>
    <x v="338"/>
    <s v="Mujer"/>
    <n v="18"/>
    <b v="1"/>
    <m/>
    <s v="Barranquilla"/>
    <s v="Corporación Universitaria Iberoamericana"/>
    <m/>
    <s v="Psicología"/>
    <m/>
    <b v="1"/>
    <b v="0"/>
    <s v="Intermedio"/>
    <s v="Básico"/>
    <s v="Talento"/>
    <m/>
    <m/>
    <m/>
    <m/>
    <s v="Tecnología"/>
    <m/>
    <m/>
    <s v="Atracción de Talento y Marca Empleadora"/>
    <m/>
    <b v="0"/>
    <b v="0"/>
    <m/>
    <b v="0"/>
    <m/>
    <b v="0"/>
    <m/>
    <b v="0"/>
    <m/>
    <s v="Instagram"/>
    <s v="CREATÓN"/>
    <d v="2026-09-12T00:00:00"/>
    <d v="1899-12-30T11:45:08"/>
    <n v="3006655965"/>
    <s v="Calle 117 42B, Barranquilla, Colombia"/>
    <s v="DP"/>
    <n v="89.5"/>
    <s v="Cata"/>
    <x v="30"/>
    <x v="1"/>
    <s v="OK "/>
    <x v="9"/>
    <x v="329"/>
    <x v="7"/>
    <x v="5"/>
    <x v="6"/>
  </r>
  <r>
    <x v="341"/>
    <x v="341"/>
    <s v="Cédula de ciudadanía"/>
    <x v="339"/>
    <s v="Mujer"/>
    <n v="23"/>
    <b v="1"/>
    <s v="Barranquilla"/>
    <s v="Barranquilla"/>
    <s v="Universidad del Atlántico"/>
    <m/>
    <s v="Economía"/>
    <m/>
    <b v="0"/>
    <b v="0"/>
    <s v="Básico"/>
    <s v="Intermedio"/>
    <s v="Talento"/>
    <m/>
    <s v="Finanzas Impuestos"/>
    <m/>
    <m/>
    <s v="Finanzas"/>
    <m/>
    <m/>
    <s v="Área financiera"/>
    <m/>
    <b v="0"/>
    <b v="0"/>
    <m/>
    <b v="0"/>
    <m/>
    <b v="0"/>
    <m/>
    <b v="0"/>
    <m/>
    <s v="Instagram"/>
    <s v="CREATÓN"/>
    <d v="2026-09-13T00:00:00"/>
    <d v="1899-12-30T11:52:23"/>
    <s v=" 314 6441933"/>
    <s v="Barranquilla, Colombia"/>
    <s v="DP"/>
    <n v="72.7"/>
    <s v="Cata"/>
    <x v="30"/>
    <x v="1"/>
    <s v="OK "/>
    <x v="1"/>
    <x v="330"/>
    <x v="7"/>
    <x v="5"/>
    <x v="6"/>
  </r>
  <r>
    <x v="342"/>
    <x v="342"/>
    <s v="Cédula de ciudadanía"/>
    <x v="340"/>
    <s v="Hombre"/>
    <n v="21"/>
    <b v="1"/>
    <m/>
    <s v="Barranquilla"/>
    <s v="Universidad del Atlántico"/>
    <m/>
    <s v="Administración de Empresas"/>
    <m/>
    <b v="1"/>
    <b v="0"/>
    <s v="Intermedio"/>
    <s v="Intermedio"/>
    <s v="Asuntos corporativos"/>
    <m/>
    <m/>
    <s v="Compensación y Beneficios"/>
    <m/>
    <s v="Talento"/>
    <m/>
    <m/>
    <m/>
    <m/>
    <b v="0"/>
    <b v="0"/>
    <m/>
    <b v="0"/>
    <m/>
    <b v="0"/>
    <m/>
    <b v="0"/>
    <m/>
    <s v="Otros"/>
    <s v="CREATÓN"/>
    <d v="2026-09-12T00:00:00"/>
    <d v="1899-12-30T15:53:08"/>
    <s v=" 301 5176294"/>
    <s v="Calle 45A 24B-8, 083001 Soledad, Colombia"/>
    <s v="DP"/>
    <n v="72.2"/>
    <s v="Cata"/>
    <x v="30"/>
    <x v="1"/>
    <s v="OK "/>
    <x v="3"/>
    <x v="331"/>
    <x v="7"/>
    <x v="5"/>
    <x v="6"/>
  </r>
  <r>
    <x v="343"/>
    <x v="343"/>
    <s v="Cédula de ciudadanía"/>
    <x v="341"/>
    <s v="Mujer"/>
    <n v="20"/>
    <b v="1"/>
    <s v="BARRANQUILLA"/>
    <s v="Barranquilla"/>
    <s v="Universidad del Atlántico"/>
    <m/>
    <s v="Administración de Empresas"/>
    <m/>
    <b v="0"/>
    <b v="0"/>
    <s v="Intermedio"/>
    <s v="Intermedio"/>
    <s v="Ventas"/>
    <m/>
    <m/>
    <s v="Support"/>
    <s v="Ventas Comercial"/>
    <s v="Talento"/>
    <m/>
    <m/>
    <m/>
    <m/>
    <b v="0"/>
    <b v="0"/>
    <m/>
    <b v="0"/>
    <m/>
    <b v="0"/>
    <m/>
    <b v="0"/>
    <m/>
    <s v="Página Web Oficial"/>
    <s v="CREATÓN"/>
    <d v="2026-09-02T00:00:00"/>
    <d v="1899-12-30T13:13:03"/>
    <s v=" 324 5087460"/>
    <s v="Barranquilla, Colombia"/>
    <s v="DP"/>
    <n v="94.1"/>
    <s v="Cata"/>
    <x v="30"/>
    <x v="1"/>
    <s v="OK "/>
    <x v="3"/>
    <x v="332"/>
    <x v="7"/>
    <x v="5"/>
    <x v="6"/>
  </r>
  <r>
    <x v="344"/>
    <x v="344"/>
    <s v="Cédula de ciudadanía"/>
    <x v="342"/>
    <s v="Mujer"/>
    <n v="22"/>
    <b v="1"/>
    <m/>
    <s v="Barranquilla"/>
    <s v="Universidad Nacional de Colombia"/>
    <m/>
    <s v="Administración de Empresas"/>
    <m/>
    <b v="0"/>
    <b v="0"/>
    <s v="Intermedio"/>
    <s v="Intermedio"/>
    <s v="Talento"/>
    <m/>
    <m/>
    <m/>
    <m/>
    <s v="Ventas"/>
    <m/>
    <m/>
    <s v="Support"/>
    <s v="Talento Ventas"/>
    <b v="0"/>
    <b v="0"/>
    <m/>
    <b v="0"/>
    <m/>
    <b v="0"/>
    <m/>
    <b v="0"/>
    <m/>
    <s v="Instagram"/>
    <s v="CREATÓN"/>
    <d v="2026-08-21T00:00:00"/>
    <d v="1899-12-30T14:35:04"/>
    <s v="301 3893660"/>
    <s v="Barranquilla, Colombia"/>
    <s v="DP"/>
    <n v="92.6"/>
    <s v="Santi"/>
    <x v="30"/>
    <x v="1"/>
    <s v="OK "/>
    <x v="3"/>
    <x v="333"/>
    <x v="7"/>
    <x v="5"/>
    <x v="6"/>
  </r>
  <r>
    <x v="345"/>
    <x v="345"/>
    <s v="Cédula de ciudadanía"/>
    <x v="343"/>
    <s v="Mujer"/>
    <n v="20"/>
    <b v="1"/>
    <s v="Santa Marta"/>
    <s v="Barranquilla"/>
    <s v="Universidad Sergio Arboleda"/>
    <m/>
    <s v="Ingeniería Industrial"/>
    <m/>
    <b v="0"/>
    <b v="0"/>
    <s v="Intermedi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Instagram"/>
    <s v="CREATÓN"/>
    <d v="2026-09-11T00:00:00"/>
    <d v="1899-12-30T10:23:05"/>
    <n v="3176940867"/>
    <s v="Santa Marta, Colombia"/>
    <s v="DP"/>
    <n v="89.9"/>
    <s v="Cata"/>
    <x v="31"/>
    <x v="1"/>
    <s v="OK"/>
    <x v="10"/>
    <x v="334"/>
    <x v="8"/>
    <x v="5"/>
    <x v="7"/>
  </r>
  <r>
    <x v="346"/>
    <x v="346"/>
    <s v="Cédula de ciudadanía"/>
    <x v="344"/>
    <s v="Hombre"/>
    <n v="23"/>
    <b v="1"/>
    <s v="Barranquilla"/>
    <s v="Barranquilla"/>
    <s v="Universidad del Norte"/>
    <m/>
    <s v="Administración de Empresas"/>
    <m/>
    <b v="0"/>
    <b v="0"/>
    <s v="Avanzado"/>
    <s v="Intermedio"/>
    <s v="Finanzas"/>
    <m/>
    <m/>
    <s v="Área financiera"/>
    <m/>
    <s v="Talento"/>
    <m/>
    <s v="Finanzas Impuestos"/>
    <m/>
    <m/>
    <b v="0"/>
    <b v="0"/>
    <m/>
    <b v="0"/>
    <m/>
    <b v="0"/>
    <m/>
    <b v="0"/>
    <m/>
    <s v="Otros"/>
    <s v="CREATÓN"/>
    <d v="2026-09-09T00:00:00"/>
    <d v="1899-12-30T22:54:04"/>
    <s v=" 321 8076611"/>
    <s v="Carrera 48 100-174, 080020 Barranquilla, Colombia"/>
    <s v="DP"/>
    <n v="82.4"/>
    <s v="Cata"/>
    <x v="31"/>
    <x v="1"/>
    <s v="OK"/>
    <x v="3"/>
    <x v="335"/>
    <x v="8"/>
    <x v="5"/>
    <x v="7"/>
  </r>
  <r>
    <x v="347"/>
    <x v="347"/>
    <s v="Cédula de ciudadanía"/>
    <x v="345"/>
    <s v="Hombre"/>
    <n v="21"/>
    <b v="1"/>
    <s v="BARRANQUILLA"/>
    <s v="Barranquilla"/>
    <s v="Universidad del Norte"/>
    <m/>
    <s v="Negocios Internacionales"/>
    <m/>
    <b v="1"/>
    <b v="0"/>
    <s v="Avanzado"/>
    <s v="Avanzado"/>
    <s v="Ventas"/>
    <m/>
    <m/>
    <m/>
    <s v="Ventas Comercial"/>
    <s v="Logística"/>
    <m/>
    <m/>
    <m/>
    <m/>
    <b v="0"/>
    <b v="0"/>
    <m/>
    <b v="0"/>
    <m/>
    <b v="0"/>
    <m/>
    <b v="0"/>
    <m/>
    <s v="Página Web Oficial"/>
    <s v="CREATÓN"/>
    <d v="2026-09-13T00:00:00"/>
    <d v="1899-12-30T13:05:14"/>
    <s v=" 301 3969374"/>
    <s v="Carrera 31 44-22, 080003 Barranquilla, Colombia"/>
    <s v="DP"/>
    <n v="76"/>
    <s v="Cata"/>
    <x v="31"/>
    <x v="1"/>
    <s v="OK"/>
    <x v="5"/>
    <x v="336"/>
    <x v="8"/>
    <x v="5"/>
    <x v="7"/>
  </r>
  <r>
    <x v="348"/>
    <x v="348"/>
    <s v="Cédula de ciudadanía"/>
    <x v="346"/>
    <s v="Mujer"/>
    <n v="19"/>
    <b v="1"/>
    <s v="BARRANQUILLA"/>
    <s v="Barranquilla"/>
    <s v="Otra"/>
    <s v="Universidad Autónoma del Caribe"/>
    <s v="Negocios Internacionales"/>
    <m/>
    <b v="0"/>
    <b v="0"/>
    <s v="Intermedio"/>
    <s v="Intermedio"/>
    <s v="Ventas"/>
    <m/>
    <m/>
    <m/>
    <s v="Gestión de Ejecución Premium"/>
    <s v="Marketing"/>
    <m/>
    <m/>
    <m/>
    <m/>
    <b v="0"/>
    <b v="0"/>
    <m/>
    <b v="0"/>
    <m/>
    <b v="0"/>
    <m/>
    <b v="0"/>
    <m/>
    <s v="Otros"/>
    <s v="CREATÓN"/>
    <d v="2026-09-02T00:00:00"/>
    <d v="1899-12-30T22:14:12"/>
    <s v=" 302 4118837"/>
    <s v="Carrera 72 91A-100, 080001 Barranquilla, Colombia"/>
    <s v="DP"/>
    <n v="91.8"/>
    <s v="Santi"/>
    <x v="31"/>
    <x v="1"/>
    <s v="OK"/>
    <x v="5"/>
    <x v="337"/>
    <x v="8"/>
    <x v="5"/>
    <x v="7"/>
  </r>
  <r>
    <x v="349"/>
    <x v="349"/>
    <s v="Cédula de ciudadanía"/>
    <x v="347"/>
    <s v="Mujer"/>
    <n v="22"/>
    <b v="1"/>
    <m/>
    <s v="Barranquilla"/>
    <s v="Universidad del Norte"/>
    <m/>
    <s v="Psicología"/>
    <m/>
    <b v="0"/>
    <b v="0"/>
    <s v="Avanzado"/>
    <s v="Básico"/>
    <s v="Talento"/>
    <m/>
    <m/>
    <m/>
    <m/>
    <s v="Marketing"/>
    <m/>
    <m/>
    <s v="Atracción de Talento y Marca Empleadora"/>
    <m/>
    <b v="0"/>
    <b v="0"/>
    <m/>
    <b v="0"/>
    <m/>
    <b v="0"/>
    <m/>
    <b v="0"/>
    <m/>
    <s v="Instagram"/>
    <s v="CREATÓN"/>
    <d v="2026-09-13T00:00:00"/>
    <d v="1899-12-30T16:16:48"/>
    <n v="3021253692"/>
    <s v="Calle 84 42C-301, 080020 Barranquilla, Colombia"/>
    <s v="DP"/>
    <n v="73.599999999999994"/>
    <s v="Cata"/>
    <x v="31"/>
    <x v="0"/>
    <s v="OK"/>
    <x v="9"/>
    <x v="338"/>
    <x v="8"/>
    <x v="5"/>
    <x v="7"/>
  </r>
  <r>
    <x v="350"/>
    <x v="350"/>
    <s v="Cédula de ciudadanía"/>
    <x v="348"/>
    <s v="Mujer"/>
    <n v="21"/>
    <b v="1"/>
    <s v="CALI"/>
    <s v="Cali (Yumbo)"/>
    <s v="Otra"/>
    <s v="Universidad ICESI"/>
    <s v="Marketing / Mercadeo"/>
    <m/>
    <b v="1"/>
    <b v="0"/>
    <s v="Avanzado"/>
    <s v="Intermedio"/>
    <s v="Marketing"/>
    <m/>
    <m/>
    <m/>
    <m/>
    <s v="Ventas"/>
    <m/>
    <m/>
    <m/>
    <s v="Canal Moderno"/>
    <b v="0"/>
    <b v="0"/>
    <m/>
    <b v="0"/>
    <m/>
    <b v="0"/>
    <m/>
    <b v="0"/>
    <m/>
    <s v="Instagram"/>
    <s v="CREATÓN"/>
    <d v="2026-08-30T00:00:00"/>
    <d v="1899-12-30T20:50:09"/>
    <s v=" 300 2439716"/>
    <s v="Avenida 5 Calle 42 N-81, 760046 Cali, Colombia"/>
    <s v="DP"/>
    <n v="74.2"/>
    <s v="Cata"/>
    <x v="35"/>
    <x v="1"/>
    <s v="OK"/>
    <x v="4"/>
    <x v="339"/>
    <x v="6"/>
    <x v="5"/>
    <x v="5"/>
  </r>
  <r>
    <x v="351"/>
    <x v="351"/>
    <s v="Cédula de ciudadanía"/>
    <x v="349"/>
    <s v="Mujer"/>
    <n v="21"/>
    <b v="1"/>
    <s v="Jamundi"/>
    <s v="Cali (Yumbo)"/>
    <s v="Otra"/>
    <s v="Universidad ICESI"/>
    <s v="Administración de Empresas"/>
    <m/>
    <b v="0"/>
    <b v="0"/>
    <s v="Intermedio"/>
    <s v="Básico"/>
    <s v="Marketing"/>
    <m/>
    <m/>
    <m/>
    <m/>
    <s v="Ventas"/>
    <m/>
    <m/>
    <m/>
    <s v="Gestión de Ejecución Premium"/>
    <b v="0"/>
    <b v="0"/>
    <m/>
    <b v="0"/>
    <m/>
    <b v="0"/>
    <m/>
    <b v="0"/>
    <m/>
    <s v="LinkedIn"/>
    <s v="CREATÓN"/>
    <d v="2026-09-12T00:00:00"/>
    <d v="1899-12-30T15:46:12"/>
    <s v="314 3490138"/>
    <s v="Calle 5-57, 764001 Jamundí, Colombia"/>
    <s v="DP"/>
    <n v="71.7"/>
    <s v="Cata"/>
    <x v="35"/>
    <x v="1"/>
    <s v="OK"/>
    <x v="3"/>
    <x v="340"/>
    <x v="6"/>
    <x v="5"/>
    <x v="5"/>
  </r>
  <r>
    <x v="352"/>
    <x v="352"/>
    <s v="Cédula de ciudadanía"/>
    <x v="350"/>
    <s v="Mujer"/>
    <n v="23"/>
    <b v="1"/>
    <s v="Cali"/>
    <s v="Cali (Yumbo)"/>
    <s v="Universidad Libre"/>
    <m/>
    <s v="Marketing / Mercadeo"/>
    <m/>
    <b v="1"/>
    <b v="0"/>
    <s v="Intermedio"/>
    <s v="Básico"/>
    <s v="Marketing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8-28T00:00:00"/>
    <d v="1899-12-30T11:12:08"/>
    <s v=" 318 2468842"/>
    <s v="Centro Comercial Jardin Plaza, 760032 Cali, Colombia"/>
    <s v="DP"/>
    <n v="92.6"/>
    <s v="Cata"/>
    <x v="35"/>
    <x v="1"/>
    <s v="OK "/>
    <x v="4"/>
    <x v="341"/>
    <x v="6"/>
    <x v="5"/>
    <x v="5"/>
  </r>
  <r>
    <x v="353"/>
    <x v="353"/>
    <s v="Cédula de ciudadanía"/>
    <x v="351"/>
    <s v="Hombre"/>
    <n v="22"/>
    <b v="1"/>
    <s v="Cali"/>
    <s v="Cali (Yumbo)"/>
    <s v="Pontificia Universidad Javeriana| Cali"/>
    <m/>
    <s v="Administración de Empresas"/>
    <m/>
    <b v="0"/>
    <b v="0"/>
    <s v="Intermedio"/>
    <s v="Intermedio"/>
    <s v="Ventas"/>
    <m/>
    <m/>
    <m/>
    <s v="BEES"/>
    <s v="Logística"/>
    <m/>
    <m/>
    <m/>
    <m/>
    <b v="0"/>
    <b v="0"/>
    <m/>
    <b v="0"/>
    <m/>
    <b v="0"/>
    <m/>
    <b v="0"/>
    <m/>
    <s v="Página Web Oficial"/>
    <s v="CREATÓN"/>
    <d v="2026-08-27T00:00:00"/>
    <d v="1899-12-30T10:43:04"/>
    <s v=" 318 6029672"/>
    <s v="Edificio República de Venezuela, 760046 Cali, Colombia"/>
    <s v="DP"/>
    <n v="94.9"/>
    <s v="Cata"/>
    <x v="35"/>
    <x v="1"/>
    <s v="OK "/>
    <x v="3"/>
    <x v="342"/>
    <x v="6"/>
    <x v="5"/>
    <x v="5"/>
  </r>
  <r>
    <x v="354"/>
    <x v="354"/>
    <s v="Cédula de ciudadanía"/>
    <x v="352"/>
    <s v="Mujer"/>
    <n v="21"/>
    <b v="1"/>
    <m/>
    <s v="Barranquilla"/>
    <s v="Universidad de Cartagena"/>
    <m/>
    <s v="Otra"/>
    <s v="Administración Industrial"/>
    <b v="0"/>
    <b v="0"/>
    <s v="Intermedio"/>
    <s v="Básic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8-23T00:00:00"/>
    <d v="1899-12-30T18:39:04"/>
    <s v="320 5809488"/>
    <s v="Escallon Villa Calle 11 de Noviembre, 130014 Cartagena, Colombia"/>
    <s v="DP"/>
    <n v="96.5"/>
    <s v="Cata"/>
    <x v="33"/>
    <x v="1"/>
    <s v="OK"/>
    <x v="46"/>
    <x v="343"/>
    <x v="7"/>
    <x v="5"/>
    <x v="6"/>
  </r>
  <r>
    <x v="355"/>
    <x v="355"/>
    <s v="Cédula de ciudadanía"/>
    <x v="353"/>
    <s v="Mujer"/>
    <n v="23"/>
    <b v="1"/>
    <s v="CALI"/>
    <s v="Cali (Yumbo)"/>
    <s v="Universidad del Valle"/>
    <m/>
    <s v="Comercio Internacional"/>
    <m/>
    <b v="0"/>
    <b v="0"/>
    <s v="Intermedio"/>
    <s v="Intermedio"/>
    <s v="Compras"/>
    <m/>
    <m/>
    <m/>
    <m/>
    <s v="Comunicaciones"/>
    <m/>
    <m/>
    <m/>
    <m/>
    <b v="0"/>
    <b v="0"/>
    <m/>
    <b v="0"/>
    <m/>
    <b v="0"/>
    <m/>
    <b v="0"/>
    <m/>
    <s v="Otros"/>
    <s v="CREATÓN"/>
    <d v="2026-09-12T00:00:00"/>
    <d v="1899-12-30T23:08:55"/>
    <s v=" 317 2129349"/>
    <s v="Avenida 2H Calle 51 N-51, 760050 Cali, Colombia"/>
    <s v="DP"/>
    <n v="90.4"/>
    <s v="Cata"/>
    <x v="29"/>
    <x v="1"/>
    <s v="OK"/>
    <x v="14"/>
    <x v="344"/>
    <x v="6"/>
    <x v="5"/>
    <x v="5"/>
  </r>
  <r>
    <x v="356"/>
    <x v="356"/>
    <s v="Cédula de ciudadanía"/>
    <x v="354"/>
    <s v="Mujer"/>
    <n v="22"/>
    <b v="1"/>
    <s v="Barranquilla"/>
    <s v="Barranquilla"/>
    <s v="Otra"/>
    <s v="Universidad de la Costa"/>
    <s v="Psicología"/>
    <m/>
    <b v="1"/>
    <b v="0"/>
    <s v="Avanzado"/>
    <s v="Intermedio"/>
    <s v="Talento"/>
    <m/>
    <m/>
    <s v="Compensación y Beneficios"/>
    <m/>
    <s v="Talento"/>
    <m/>
    <m/>
    <s v="Atracción de Talento y Marca Empleadora"/>
    <m/>
    <b v="0"/>
    <b v="0"/>
    <m/>
    <b v="0"/>
    <m/>
    <b v="0"/>
    <m/>
    <b v="0"/>
    <m/>
    <s v="Instagram"/>
    <s v="CREATÓN"/>
    <d v="2026-09-01T00:00:00"/>
    <d v="1899-12-30T18:13:04"/>
    <s v=" 314 5091990"/>
    <s v="Carrera 62 70-105, 080002 Barranquilla, Colombia"/>
    <s v="DP"/>
    <n v="93.5"/>
    <s v="Cata"/>
    <x v="30"/>
    <x v="1"/>
    <s v="OK"/>
    <x v="9"/>
    <x v="345"/>
    <x v="7"/>
    <x v="5"/>
    <x v="6"/>
  </r>
  <r>
    <x v="357"/>
    <x v="357"/>
    <s v="Cédula de ciudadanía"/>
    <x v="355"/>
    <s v="Hombre"/>
    <n v="21"/>
    <b v="1"/>
    <s v="SANTA MARTA"/>
    <s v="Barranquilla"/>
    <s v="Universidad del Magdalena"/>
    <m/>
    <s v="Negocios Internacionales"/>
    <m/>
    <b v="0"/>
    <b v="0"/>
    <s v="Avanzado"/>
    <s v="Intermedio"/>
    <s v="Ventas"/>
    <m/>
    <m/>
    <s v="Área financiera"/>
    <s v="Talento Ventas"/>
    <s v="Talento"/>
    <m/>
    <m/>
    <m/>
    <m/>
    <b v="0"/>
    <b v="0"/>
    <m/>
    <b v="0"/>
    <m/>
    <b v="1"/>
    <m/>
    <b v="0"/>
    <m/>
    <s v="Página Web Oficial"/>
    <s v="CREATÓN"/>
    <d v="2026-09-11T00:00:00"/>
    <d v="1899-12-30T15:39:07"/>
    <s v=" 314 7902917"/>
    <s v="Santa Marta, Colombia"/>
    <s v="DP"/>
    <n v="95.1"/>
    <s v="Cata"/>
    <x v="31"/>
    <x v="1"/>
    <s v="OK"/>
    <x v="5"/>
    <x v="346"/>
    <x v="8"/>
    <x v="5"/>
    <x v="7"/>
  </r>
  <r>
    <x v="358"/>
    <x v="358"/>
    <s v="Cédula de ciudadanía"/>
    <x v="356"/>
    <s v="Mujer"/>
    <n v="21"/>
    <b v="1"/>
    <s v="CALI"/>
    <s v="Cali (Yumbo)"/>
    <s v="Universidad del Valle"/>
    <m/>
    <s v="Otra"/>
    <s v="Comercio Exterior"/>
    <b v="1"/>
    <b v="0"/>
    <s v="Intermedio"/>
    <s v="Intermedio"/>
    <s v="Ventas"/>
    <m/>
    <m/>
    <m/>
    <s v="Ventas Comercial"/>
    <s v="Producción (Operaciones)"/>
    <s v="Talento"/>
    <m/>
    <m/>
    <m/>
    <b v="0"/>
    <b v="0"/>
    <m/>
    <b v="0"/>
    <m/>
    <b v="0"/>
    <m/>
    <b v="0"/>
    <m/>
    <s v="Instagram"/>
    <s v="CREATÓN"/>
    <d v="2026-09-12T00:00:00"/>
    <d v="1899-12-30T11:47:03"/>
    <s v="311 3233801"/>
    <s v="Carrera 3 Norte 72A-34, 760001 Cali, Colombia"/>
    <s v="DP"/>
    <n v="83.4"/>
    <s v="Cata"/>
    <x v="35"/>
    <x v="1"/>
    <s v="OK "/>
    <x v="22"/>
    <x v="347"/>
    <x v="6"/>
    <x v="5"/>
    <x v="5"/>
  </r>
  <r>
    <x v="359"/>
    <x v="359"/>
    <s v="Cédula de ciudadanía"/>
    <x v="357"/>
    <s v="Hombre"/>
    <n v="20"/>
    <b v="1"/>
    <s v="Santiago de Cali"/>
    <s v="Cali (Yumbo)"/>
    <s v="Otra"/>
    <s v="Universidad ICESI"/>
    <s v="Economía"/>
    <m/>
    <b v="0"/>
    <b v="0"/>
    <s v="Intermedio"/>
    <s v="Intermedio"/>
    <s v="Ventas"/>
    <m/>
    <m/>
    <m/>
    <s v="Ventas Comercial"/>
    <s v="Ventas"/>
    <m/>
    <m/>
    <m/>
    <s v="Ventas Comercial"/>
    <b v="0"/>
    <b v="0"/>
    <m/>
    <b v="0"/>
    <m/>
    <b v="0"/>
    <m/>
    <b v="0"/>
    <m/>
    <s v="Otros"/>
    <s v="CREATÓN"/>
    <d v="2026-09-13T00:00:00"/>
    <d v="1899-12-30T11:27:27"/>
    <n v="0"/>
    <s v="Carrera 85C 33-40, 760026 Cali, Colombia"/>
    <s v="DP"/>
    <n v="86"/>
    <s v="Cata"/>
    <x v="35"/>
    <x v="1"/>
    <s v="OK "/>
    <x v="1"/>
    <x v="2"/>
    <x v="6"/>
    <x v="5"/>
    <x v="5"/>
  </r>
  <r>
    <x v="360"/>
    <x v="360"/>
    <s v="Cédula de ciudadanía"/>
    <x v="358"/>
    <s v="Mujer"/>
    <n v="22"/>
    <b v="1"/>
    <s v="BARRANQUILLA"/>
    <s v="Barranquilla"/>
    <s v="Universidad del Norte"/>
    <m/>
    <s v="Ingeniería Industrial"/>
    <m/>
    <b v="1"/>
    <b v="0"/>
    <s v="Intermedio"/>
    <s v="Avanzad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LinkedIn"/>
    <s v="CREATÓN"/>
    <d v="2026-09-05T00:00:00"/>
    <d v="1899-12-30T08:41:07"/>
    <s v=" 314 5227092"/>
    <s v="Carrera 59 91-11, 080001 Barranquilla, Colombia"/>
    <s v="DP"/>
    <n v="90.6"/>
    <s v="Cata"/>
    <x v="32"/>
    <x v="1"/>
    <s v="OK"/>
    <x v="10"/>
    <x v="348"/>
    <x v="7"/>
    <x v="5"/>
    <x v="6"/>
  </r>
  <r>
    <x v="361"/>
    <x v="361"/>
    <s v="Cédula de ciudadanía"/>
    <x v="359"/>
    <s v="Mujer"/>
    <n v="25"/>
    <b v="1"/>
    <s v="MEDELLIN"/>
    <s v="Barranquilla"/>
    <s v="Universidad de Antioquia"/>
    <m/>
    <s v="Microbiología"/>
    <m/>
    <b v="0"/>
    <b v="0"/>
    <s v="Básic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9-04T00:00:00"/>
    <d v="1899-12-30T05:59:15"/>
    <s v=" 316 2503458"/>
    <s v="Calle 2B 81A-310, 050023 Medellin, Colombia"/>
    <s v="DP"/>
    <n v="96"/>
    <s v="Cata"/>
    <x v="32"/>
    <x v="1"/>
    <s v="OK"/>
    <x v="39"/>
    <x v="349"/>
    <x v="7"/>
    <x v="5"/>
    <x v="6"/>
  </r>
  <r>
    <x v="362"/>
    <x v="362"/>
    <s v="Cédula de ciudadanía"/>
    <x v="360"/>
    <s v="Hombre"/>
    <n v="24"/>
    <b v="1"/>
    <s v="Barranquilla"/>
    <s v="Barranquilla"/>
    <s v="Universidad Santo Tomás"/>
    <m/>
    <s v="Ingeniería de Producción"/>
    <m/>
    <b v="1"/>
    <b v="0"/>
    <s v="Intermedio"/>
    <s v="Avanzad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8-26T00:00:00"/>
    <d v="1899-12-30T05:28:04"/>
    <n v="3017621408"/>
    <s v="Calle 25 31-5, 083002 Soledad, Colombia"/>
    <s v="DP"/>
    <n v="82.5"/>
    <s v="Cata"/>
    <x v="32"/>
    <x v="2"/>
    <s v="OK"/>
    <x v="43"/>
    <x v="350"/>
    <x v="7"/>
    <x v="5"/>
    <x v="6"/>
  </r>
  <r>
    <x v="363"/>
    <x v="363"/>
    <s v="Cédula de ciudadanía"/>
    <x v="361"/>
    <s v="Hombre"/>
    <n v="22"/>
    <b v="1"/>
    <m/>
    <s v="Barranquilla"/>
    <m/>
    <m/>
    <s v="Ingeniería Mecánica"/>
    <m/>
    <b v="0"/>
    <b v="0"/>
    <s v="Avanzad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2T00:00:00"/>
    <d v="1899-12-30T15:09:08"/>
    <s v=" 302 4511618"/>
    <s v="Carrera 33A 103, Barranquilla, Colombia"/>
    <s v="DP"/>
    <n v="74.099999999999994"/>
    <s v="Cata"/>
    <x v="34"/>
    <x v="1"/>
    <s v="OK"/>
    <x v="29"/>
    <x v="351"/>
    <x v="7"/>
    <x v="5"/>
    <x v="6"/>
  </r>
  <r>
    <x v="364"/>
    <x v="364"/>
    <s v="Cédula de ciudadanía"/>
    <x v="362"/>
    <s v="Hombre"/>
    <n v="22"/>
    <b v="1"/>
    <s v="SOLEDAD"/>
    <s v="Barranquilla"/>
    <s v="Otra"/>
    <s v="Universidad Autónoma del Caribe"/>
    <s v="Ingeniería Mecánica"/>
    <m/>
    <b v="1"/>
    <b v="0"/>
    <s v="Básico"/>
    <s v="Básic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8-31T00:00:00"/>
    <d v="1899-12-30T13:31:06"/>
    <s v=" 315 5903994"/>
    <s v="Calle 20 16-70, 083003 Soledad, Colombia"/>
    <s v="DP"/>
    <n v="77.7"/>
    <s v="Santi"/>
    <x v="33"/>
    <x v="1"/>
    <s v="OK"/>
    <x v="29"/>
    <x v="352"/>
    <x v="7"/>
    <x v="5"/>
    <x v="6"/>
  </r>
  <r>
    <x v="365"/>
    <x v="365"/>
    <s v="Cédula de ciudadanía"/>
    <x v="363"/>
    <s v="Mujer"/>
    <n v="24"/>
    <b v="1"/>
    <s v="Cartagena de Indias"/>
    <s v="Barranquilla"/>
    <s v="Universidad de Cartagena"/>
    <m/>
    <s v="Ingeniería Civil"/>
    <m/>
    <b v="1"/>
    <b v="0"/>
    <s v="Básic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Otros"/>
    <s v="CREATÓN"/>
    <d v="2026-08-29T00:00:00"/>
    <d v="1899-12-30T12:02:09"/>
    <n v="3006440631"/>
    <s v="Alto Bosque, Cartagena, Colombia"/>
    <s v="DP"/>
    <n v="91.2"/>
    <s v="Cata"/>
    <x v="33"/>
    <x v="2"/>
    <s v="OK"/>
    <x v="47"/>
    <x v="353"/>
    <x v="7"/>
    <x v="5"/>
    <x v="6"/>
  </r>
  <r>
    <x v="366"/>
    <x v="366"/>
    <s v="Cédula de ciudadanía"/>
    <x v="364"/>
    <s v="Mujer"/>
    <n v="22"/>
    <b v="1"/>
    <s v="Montería"/>
    <s v="Barranquilla"/>
    <s v="Otra"/>
    <s v="UNIVERSIDAD DE CÓRDOBA"/>
    <s v="Ingeniería Industrial"/>
    <m/>
    <b v="0"/>
    <b v="0"/>
    <s v="Intermedio"/>
    <s v="Avanzad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Medios Tradicionales"/>
    <s v="CREATÓN"/>
    <d v="2026-08-31T00:00:00"/>
    <d v="1899-12-30T13:31:06"/>
    <n v="3006906867"/>
    <s v="La Granja, Monteria, Colombia"/>
    <s v="DP"/>
    <n v="95"/>
    <s v="Cata"/>
    <x v="34"/>
    <x v="1"/>
    <s v="OK"/>
    <x v="10"/>
    <x v="354"/>
    <x v="7"/>
    <x v="5"/>
    <x v="6"/>
  </r>
  <r>
    <x v="367"/>
    <x v="367"/>
    <s v="Cédula de ciudadanía"/>
    <x v="365"/>
    <s v="Mujer"/>
    <n v="23"/>
    <b v="1"/>
    <s v="Montería CO (Córdoba-CO)"/>
    <s v="Barranquilla"/>
    <s v="Otra"/>
    <s v="UNIVERSIDAD DE CÓRDOBA"/>
    <s v="Ingeniería Industrial"/>
    <m/>
    <b v="0"/>
    <b v="0"/>
    <s v="Intermedio"/>
    <s v="Avanzado"/>
    <s v="Producción (Operaciones)"/>
    <m/>
    <m/>
    <m/>
    <m/>
    <s v="Producción (Operaciones)"/>
    <s v="Talento"/>
    <m/>
    <m/>
    <m/>
    <b v="0"/>
    <b v="0"/>
    <m/>
    <b v="0"/>
    <m/>
    <b v="0"/>
    <m/>
    <b v="0"/>
    <m/>
    <s v="Otros"/>
    <s v="CREATÓN"/>
    <d v="2026-08-30T00:00:00"/>
    <d v="1899-12-30T14:51:03"/>
    <n v="3007181485"/>
    <s v="Monteria, Colombia"/>
    <s v="DP"/>
    <n v="83.3"/>
    <s v="Cata"/>
    <x v="34"/>
    <x v="1"/>
    <s v="OK"/>
    <x v="10"/>
    <x v="355"/>
    <x v="7"/>
    <x v="5"/>
    <x v="6"/>
  </r>
  <r>
    <x v="368"/>
    <x v="368"/>
    <s v="Cédula de ciudadanía"/>
    <x v="366"/>
    <s v="Hombre"/>
    <n v="20"/>
    <b v="1"/>
    <s v="BARANOA"/>
    <s v="Barranquilla"/>
    <s v="Otra"/>
    <s v="Universidad Autónoma del Caribe"/>
    <s v="Ingeniería Mecatrónica"/>
    <m/>
    <b v="1"/>
    <b v="0"/>
    <s v="Intermedio"/>
    <s v="Básico"/>
    <s v="Producción (Operaciones)"/>
    <m/>
    <m/>
    <m/>
    <m/>
    <s v="Tecnología"/>
    <m/>
    <m/>
    <m/>
    <m/>
    <b v="0"/>
    <b v="0"/>
    <m/>
    <b v="0"/>
    <m/>
    <b v="0"/>
    <m/>
    <b v="0"/>
    <m/>
    <s v="Otros"/>
    <s v="CREATÓN"/>
    <d v="2026-09-13T00:00:00"/>
    <d v="1899-12-30T14:01:03"/>
    <n v="3011444932"/>
    <s v="Calle 19 16B-10, 082020 Baranoa, Colombia"/>
    <s v="DP"/>
    <n v="72.3"/>
    <s v="Cata"/>
    <x v="34"/>
    <x v="2"/>
    <s v="OK"/>
    <x v="25"/>
    <x v="356"/>
    <x v="7"/>
    <x v="5"/>
    <x v="6"/>
  </r>
  <r>
    <x v="369"/>
    <x v="369"/>
    <s v="Cédula de ciudadanía"/>
    <x v="367"/>
    <s v="Hombre"/>
    <n v="21"/>
    <b v="1"/>
    <s v="Cali"/>
    <s v="Cali (Yumbo)"/>
    <s v="Universidad del Valle"/>
    <m/>
    <s v="Administración de Empresas"/>
    <m/>
    <b v="0"/>
    <b v="0"/>
    <s v="Intermedio"/>
    <s v="Intermedio"/>
    <s v="Asuntos corporativos"/>
    <m/>
    <m/>
    <m/>
    <m/>
    <s v="Marketing"/>
    <m/>
    <m/>
    <m/>
    <m/>
    <b v="0"/>
    <b v="0"/>
    <m/>
    <b v="0"/>
    <m/>
    <b v="0"/>
    <m/>
    <b v="0"/>
    <m/>
    <s v="Instagram"/>
    <s v="CREATÓN"/>
    <d v="2026-09-12T00:00:00"/>
    <d v="1899-12-30T15:36:08"/>
    <s v=" 316 5372511"/>
    <s v="Calle 54 12A, Cali, Colombia"/>
    <s v="DP"/>
    <n v="76.400000000000006"/>
    <s v="Cata"/>
    <x v="29"/>
    <x v="1"/>
    <s v="OK"/>
    <x v="3"/>
    <x v="357"/>
    <x v="6"/>
    <x v="5"/>
    <x v="5"/>
  </r>
  <r>
    <x v="370"/>
    <x v="370"/>
    <s v="Cédula de ciudadanía"/>
    <x v="368"/>
    <s v="Mujer"/>
    <n v="20"/>
    <b v="1"/>
    <s v="Cali"/>
    <s v="Cali (Yumbo)"/>
    <s v="Otra"/>
    <s v="Universidad Santiago de Cali"/>
    <s v="Comunicación social"/>
    <m/>
    <b v="1"/>
    <b v="0"/>
    <s v="Básico"/>
    <s v="Intermedio"/>
    <s v="Comunicaciones"/>
    <m/>
    <m/>
    <m/>
    <m/>
    <s v="Marketing"/>
    <m/>
    <m/>
    <m/>
    <m/>
    <b v="0"/>
    <b v="0"/>
    <m/>
    <b v="0"/>
    <m/>
    <b v="0"/>
    <m/>
    <b v="0"/>
    <m/>
    <s v="TikTok"/>
    <s v="CREATÓN"/>
    <d v="2026-09-12T00:00:00"/>
    <d v="1899-12-30T15:47:06"/>
    <s v=" 305 8808379"/>
    <s v="Carrera 1E BIS 57-10, 760004 Cali, Colombia"/>
    <s v="DP"/>
    <n v="71.400000000000006"/>
    <s v="Cata"/>
    <x v="29"/>
    <x v="2"/>
    <s v="OK"/>
    <x v="12"/>
    <x v="358"/>
    <x v="6"/>
    <x v="5"/>
    <x v="5"/>
  </r>
  <r>
    <x v="371"/>
    <x v="371"/>
    <s v="Cédula de ciudadanía"/>
    <x v="369"/>
    <s v="Mujer"/>
    <n v="22"/>
    <b v="1"/>
    <s v="Cali"/>
    <s v="Cali (Yumbo)"/>
    <s v="Universidad del Valle"/>
    <m/>
    <s v="Ingeniería Industrial"/>
    <m/>
    <b v="0"/>
    <b v="0"/>
    <s v="Intermedio"/>
    <s v="Intermedio"/>
    <s v="Producción (Operaciones)"/>
    <m/>
    <m/>
    <s v="Área financiera"/>
    <m/>
    <s v="Talento"/>
    <m/>
    <m/>
    <m/>
    <m/>
    <b v="0"/>
    <b v="0"/>
    <m/>
    <b v="0"/>
    <m/>
    <b v="0"/>
    <m/>
    <b v="0"/>
    <m/>
    <s v="Instagram"/>
    <s v="CREATÓN"/>
    <d v="2026-09-13T00:00:00"/>
    <d v="1899-12-30T14:42:14"/>
    <s v=" 316 4963071"/>
    <s v="Calle 50 92-56, 760026 Cali, Colombia"/>
    <s v="DP"/>
    <n v="75.7"/>
    <s v="Cata"/>
    <x v="29"/>
    <x v="1"/>
    <s v="OK"/>
    <x v="10"/>
    <x v="359"/>
    <x v="6"/>
    <x v="5"/>
    <x v="5"/>
  </r>
  <r>
    <x v="372"/>
    <x v="372"/>
    <s v="Cédula de ciudadanía"/>
    <x v="370"/>
    <s v="Mujer"/>
    <n v="21"/>
    <b v="1"/>
    <s v="PALMIRA"/>
    <s v="Cali (Yumbo)"/>
    <s v="Otra"/>
    <s v="Universidad Santiago de Cali"/>
    <s v="Administración de Empresas"/>
    <m/>
    <b v="1"/>
    <b v="0"/>
    <s v="Intermedio"/>
    <s v="Intermedio"/>
    <s v="Marketing"/>
    <m/>
    <s v="Finanzas Impuestos"/>
    <m/>
    <m/>
    <s v="Finanzas"/>
    <m/>
    <m/>
    <m/>
    <m/>
    <b v="0"/>
    <b v="0"/>
    <m/>
    <b v="0"/>
    <m/>
    <b v="0"/>
    <m/>
    <b v="0"/>
    <m/>
    <s v="Página Web Oficial"/>
    <s v="CREATÓN"/>
    <d v="2026-09-12T00:00:00"/>
    <d v="1899-12-30T12:11:03"/>
    <s v=" 318 4111789"/>
    <s v="Transversal 6A, Palmira, Colombia"/>
    <s v="DP"/>
    <n v="84.1"/>
    <s v="Cata"/>
    <x v="29"/>
    <x v="1"/>
    <s v="OK"/>
    <x v="3"/>
    <x v="360"/>
    <x v="6"/>
    <x v="5"/>
    <x v="5"/>
  </r>
  <r>
    <x v="373"/>
    <x v="373"/>
    <s v="Cédula de ciudadanía"/>
    <x v="371"/>
    <s v="Mujer"/>
    <n v="20"/>
    <b v="1"/>
    <m/>
    <s v="Cali (Yumbo)"/>
    <s v="Universidad del Valle"/>
    <m/>
    <s v="Ingeniería Industrial"/>
    <m/>
    <b v="1"/>
    <b v="0"/>
    <s v="Básico"/>
    <s v="Intermedio"/>
    <s v="Producción (Operaciones)"/>
    <m/>
    <m/>
    <s v="Support"/>
    <m/>
    <s v="Talento"/>
    <m/>
    <m/>
    <m/>
    <m/>
    <b v="0"/>
    <b v="0"/>
    <m/>
    <b v="0"/>
    <m/>
    <b v="0"/>
    <m/>
    <b v="0"/>
    <m/>
    <s v="Instagram"/>
    <s v="CREATÓN"/>
    <d v="2026-08-22T00:00:00"/>
    <d v="1899-12-30T17:04:05"/>
    <s v=" 322 2149678"/>
    <s v="Carrera 13B 22-49, 760502 Yumbo, Colombia"/>
    <s v="DP"/>
    <n v="90.5"/>
    <s v="Cata"/>
    <x v="29"/>
    <x v="0"/>
    <s v="OK "/>
    <x v="10"/>
    <x v="361"/>
    <x v="6"/>
    <x v="5"/>
    <x v="5"/>
  </r>
  <r>
    <x v="374"/>
    <x v="374"/>
    <s v="Cédula de ciudadanía"/>
    <x v="372"/>
    <s v="Mujer"/>
    <n v="24"/>
    <b v="1"/>
    <m/>
    <s v="Barranquilla"/>
    <s v="Universidad del Atlántico"/>
    <m/>
    <s v="Administración de Empresas"/>
    <m/>
    <b v="0"/>
    <b v="0"/>
    <s v="Intermedio"/>
    <s v="Intermedio"/>
    <s v="Talento"/>
    <m/>
    <m/>
    <m/>
    <m/>
    <s v="Logística"/>
    <m/>
    <m/>
    <s v="Compensación y Beneficios"/>
    <m/>
    <b v="0"/>
    <b v="0"/>
    <m/>
    <b v="0"/>
    <m/>
    <b v="0"/>
    <m/>
    <b v="0"/>
    <m/>
    <s v="Página Web Oficial"/>
    <s v="CREATÓN"/>
    <d v="2026-08-21T00:00:00"/>
    <d v="1899-12-30T09:57:10"/>
    <s v=" 304 2063410"/>
    <s v="Calle 61B 6-38, 083005 Soledad, Colombia"/>
    <s v="DP"/>
    <n v="79.8"/>
    <s v="Cata"/>
    <x v="30"/>
    <x v="1"/>
    <s v="OK "/>
    <x v="3"/>
    <x v="362"/>
    <x v="7"/>
    <x v="5"/>
    <x v="6"/>
  </r>
  <r>
    <x v="375"/>
    <x v="375"/>
    <s v="Cédula de ciudadanía"/>
    <x v="373"/>
    <s v="Hombre"/>
    <n v="22"/>
    <b v="1"/>
    <s v="BARRANQUILLA"/>
    <s v="Barranquilla"/>
    <s v="Universidad del Norte"/>
    <m/>
    <s v="Administración de Empresas"/>
    <m/>
    <b v="0"/>
    <b v="0"/>
    <s v="Avanzado"/>
    <s v="Avanzado"/>
    <s v="Ventas"/>
    <m/>
    <s v="Finanzas Impuestos"/>
    <m/>
    <s v="Ventas Comercial"/>
    <s v="Finanzas"/>
    <m/>
    <m/>
    <m/>
    <m/>
    <b v="0"/>
    <b v="0"/>
    <m/>
    <b v="0"/>
    <m/>
    <b v="0"/>
    <m/>
    <b v="0"/>
    <m/>
    <s v="Otros"/>
    <s v="CREATÓN"/>
    <d v="2026-09-03T00:00:00"/>
    <d v="1899-12-30T15:47:43"/>
    <s v=" 321 4325795"/>
    <s v="Carrera 72 94-63, 080001 Barranquilla, Colombia"/>
    <s v="DP"/>
    <n v="81.099999999999994"/>
    <s v="Cata"/>
    <x v="31"/>
    <x v="2"/>
    <s v="OK"/>
    <x v="3"/>
    <x v="363"/>
    <x v="8"/>
    <x v="5"/>
    <x v="7"/>
  </r>
  <r>
    <x v="376"/>
    <x v="376"/>
    <s v="Cédula de ciudadanía"/>
    <x v="374"/>
    <s v="Mujer"/>
    <n v="21"/>
    <b v="1"/>
    <s v="Bogotá"/>
    <s v="Barranquilla"/>
    <s v="Universidad del Rosario"/>
    <m/>
    <s v="Negocios Internacionales"/>
    <m/>
    <b v="1"/>
    <b v="0"/>
    <s v="Intermedio"/>
    <s v="Intermedio"/>
    <s v="Ventas"/>
    <m/>
    <m/>
    <m/>
    <s v="Gestión de Ejecución Premium"/>
    <s v="Marketing"/>
    <m/>
    <m/>
    <m/>
    <m/>
    <b v="0"/>
    <b v="0"/>
    <m/>
    <b v="0"/>
    <m/>
    <b v="0"/>
    <m/>
    <b v="0"/>
    <m/>
    <s v="Instagram"/>
    <s v="CREATÓN"/>
    <d v="2026-09-09T00:00:00"/>
    <d v="1899-12-30T22:47:39"/>
    <n v="3184636614"/>
    <s v="Calle 176 54B-15, 111166 Bogota, D.C., Colombia"/>
    <s v="DP"/>
    <n v="93"/>
    <s v="Cata"/>
    <x v="31"/>
    <x v="1"/>
    <s v="OK"/>
    <x v="5"/>
    <x v="364"/>
    <x v="8"/>
    <x v="5"/>
    <x v="7"/>
  </r>
  <r>
    <x v="377"/>
    <x v="377"/>
    <s v="Cédula de ciudadanía"/>
    <x v="375"/>
    <s v="Hombre"/>
    <n v="21"/>
    <b v="1"/>
    <s v="SOLEDAD"/>
    <s v="Barranquilla"/>
    <s v="Otra"/>
    <s v="CORPORACION UNIVERSITARIA DE LA COSTA"/>
    <s v="Negocios Internacionales"/>
    <m/>
    <b v="0"/>
    <b v="0"/>
    <s v="Avanzado"/>
    <s v="Avanzado"/>
    <s v="Logística"/>
    <m/>
    <m/>
    <m/>
    <m/>
    <s v="Compras"/>
    <m/>
    <m/>
    <m/>
    <m/>
    <b v="0"/>
    <b v="0"/>
    <m/>
    <b v="0"/>
    <m/>
    <b v="1"/>
    <m/>
    <b v="0"/>
    <m/>
    <s v="Medios Tradicionales"/>
    <s v="CREATÓN"/>
    <d v="2026-09-02T00:00:00"/>
    <d v="1899-12-30T10:49:44"/>
    <s v=" 300 5244226"/>
    <s v="Calle 31 40A-16, 083002 Soledad, Colombia"/>
    <s v="DP"/>
    <n v="95.5"/>
    <s v="Santi"/>
    <x v="31"/>
    <x v="0"/>
    <s v="OK"/>
    <x v="5"/>
    <x v="365"/>
    <x v="8"/>
    <x v="5"/>
    <x v="7"/>
  </r>
  <r>
    <x v="378"/>
    <x v="378"/>
    <s v="Cédula de ciudadanía"/>
    <x v="376"/>
    <s v="Mujer"/>
    <n v="22"/>
    <b v="1"/>
    <m/>
    <s v="Barranquilla"/>
    <s v="Otra"/>
    <s v="Universidad de la costa CUC"/>
    <s v="Administración de Empresas"/>
    <m/>
    <b v="0"/>
    <b v="0"/>
    <s v="Básico"/>
    <s v="Intermedio"/>
    <s v="Ventas"/>
    <m/>
    <m/>
    <s v="Atracción de Talento y Marca Empleadora"/>
    <s v="BEES"/>
    <s v="Talento"/>
    <m/>
    <m/>
    <m/>
    <m/>
    <b v="0"/>
    <b v="0"/>
    <m/>
    <b v="1"/>
    <m/>
    <b v="0"/>
    <m/>
    <b v="0"/>
    <s v="Padre- Oscar Custodio Cuellar Rivera"/>
    <s v="Otros"/>
    <s v="CREATÓN"/>
    <d v="2026-08-21T00:00:00"/>
    <d v="1899-12-30T16:42:05"/>
    <s v=" 302 3533233"/>
    <s v="Calle 37 12A-39, 083005 Soledad, Colombia"/>
    <s v="DP"/>
    <n v="92"/>
    <s v="Santi"/>
    <x v="31"/>
    <x v="2"/>
    <s v="OK"/>
    <x v="3"/>
    <x v="366"/>
    <x v="8"/>
    <x v="5"/>
    <x v="7"/>
  </r>
  <r>
    <x v="379"/>
    <x v="379"/>
    <s v="Cédula de ciudadanía"/>
    <x v="377"/>
    <s v="Hombre"/>
    <n v="24"/>
    <b v="1"/>
    <s v="Cali"/>
    <s v="Cali (Yumbo)"/>
    <s v="Otra"/>
    <s v="Universidad ICESI"/>
    <s v="Marketing / Mercadeo"/>
    <m/>
    <b v="0"/>
    <b v="0"/>
    <s v="Avanzad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Otros"/>
    <s v="CREATÓN"/>
    <d v="2026-09-12T00:00:00"/>
    <d v="1899-12-30T13:11:09"/>
    <s v=" 313 7018275"/>
    <s v="Calle 2 13-30, 760044 Cali, Colombia"/>
    <s v="DP"/>
    <n v="79.3"/>
    <s v="Cata"/>
    <x v="35"/>
    <x v="2"/>
    <s v="OK"/>
    <x v="4"/>
    <x v="367"/>
    <x v="6"/>
    <x v="5"/>
    <x v="5"/>
  </r>
  <r>
    <x v="380"/>
    <x v="380"/>
    <s v="Cédula de ciudadanía"/>
    <x v="378"/>
    <s v="Mujer"/>
    <n v="21"/>
    <b v="1"/>
    <m/>
    <s v="Cali (Yumbo)"/>
    <s v="Pontificia Universidad Javeriana| Cali"/>
    <m/>
    <s v="Ingeniería Industrial"/>
    <m/>
    <b v="0"/>
    <b v="0"/>
    <s v="Avanzado"/>
    <s v="Intermedio"/>
    <s v="Producción (Operaciones)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9-12T00:00:00"/>
    <d v="1899-12-30T16:15:35"/>
    <s v=" 302 2998079"/>
    <s v="Carrera 3 2-41, 760044 Cali, Colombia"/>
    <s v="DP"/>
    <n v="96.4"/>
    <s v="Cata"/>
    <x v="35"/>
    <x v="2"/>
    <s v="OK "/>
    <x v="10"/>
    <x v="368"/>
    <x v="6"/>
    <x v="5"/>
    <x v="5"/>
  </r>
  <r>
    <x v="381"/>
    <x v="381"/>
    <s v="Cédula de ciudadanía"/>
    <x v="379"/>
    <s v="Mujer"/>
    <n v="23"/>
    <b v="1"/>
    <s v="CALI"/>
    <s v="Cali (Yumbo)"/>
    <s v="Otra"/>
    <s v="Universidad Santiago de Cali"/>
    <s v="Administración de Empresas"/>
    <m/>
    <b v="1"/>
    <b v="0"/>
    <s v="Intermedio"/>
    <s v="Intermedio"/>
    <s v="Marketing"/>
    <m/>
    <m/>
    <m/>
    <m/>
    <s v="Ventas"/>
    <m/>
    <m/>
    <m/>
    <s v="Ventas Comercial"/>
    <b v="0"/>
    <b v="0"/>
    <m/>
    <b v="0"/>
    <m/>
    <b v="0"/>
    <m/>
    <b v="0"/>
    <m/>
    <s v="LinkedIn"/>
    <s v="CREATÓN"/>
    <d v="2026-08-30T00:00:00"/>
    <d v="1899-12-30T14:51:03"/>
    <n v="3218878289"/>
    <s v="Alférez Real, Cali, Colombia"/>
    <s v="DP"/>
    <n v="79.8"/>
    <s v="Cata"/>
    <x v="35"/>
    <x v="1"/>
    <s v="OK "/>
    <x v="3"/>
    <x v="369"/>
    <x v="6"/>
    <x v="5"/>
    <x v="5"/>
  </r>
  <r>
    <x v="382"/>
    <x v="382"/>
    <s v="Cédula de ciudadanía"/>
    <x v="380"/>
    <s v="Mujer"/>
    <n v="23"/>
    <b v="1"/>
    <s v="Tuluá"/>
    <s v="Cali (Yumbo)"/>
    <s v="Otra"/>
    <s v="Unidad central del Valle del Cauca (UCEVA)"/>
    <s v="Comercio Internacional"/>
    <m/>
    <b v="0"/>
    <b v="0"/>
    <s v="Básico"/>
    <s v="Intermedio"/>
    <s v="Logística"/>
    <m/>
    <m/>
    <m/>
    <m/>
    <s v="Ventas"/>
    <m/>
    <m/>
    <m/>
    <s v="Ventas Comercial"/>
    <b v="0"/>
    <b v="0"/>
    <m/>
    <b v="0"/>
    <m/>
    <b v="0"/>
    <m/>
    <b v="0"/>
    <m/>
    <s v="Instagram"/>
    <s v="CREATÓN"/>
    <d v="2026-09-09T00:00:00"/>
    <d v="1899-12-30T07:37:08"/>
    <n v="3106231132"/>
    <s v="Carrera 26 24-19, 763022 Tuluá, Colombia"/>
    <s v="DP"/>
    <n v="86.8"/>
    <s v="Cata"/>
    <x v="35"/>
    <x v="1"/>
    <s v="OK "/>
    <x v="14"/>
    <x v="370"/>
    <x v="6"/>
    <x v="5"/>
    <x v="5"/>
  </r>
  <r>
    <x v="383"/>
    <x v="383"/>
    <s v="Cédula de ciudadanía"/>
    <x v="381"/>
    <s v="Mujer"/>
    <n v="22"/>
    <b v="1"/>
    <s v="Cucuta"/>
    <s v="Medellín"/>
    <s v="Universidad Francisco de Paula Santander"/>
    <m/>
    <s v="Ingeniería Industrial"/>
    <m/>
    <b v="0"/>
    <b v="0"/>
    <s v="Básico"/>
    <s v="Básico"/>
    <s v="Logístic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03T00:00:00"/>
    <d v="1899-12-30T12:36:05"/>
    <n v="3209171357"/>
    <s v="Cucuta, Colombia"/>
    <s v="DP"/>
    <n v="84.1"/>
    <s v="Cata"/>
    <x v="36"/>
    <x v="0"/>
    <s v="OK"/>
    <x v="10"/>
    <x v="371"/>
    <x v="9"/>
    <x v="6"/>
    <x v="5"/>
  </r>
  <r>
    <x v="384"/>
    <x v="384"/>
    <s v="Cédula de ciudadanía"/>
    <x v="382"/>
    <s v="Mujer"/>
    <n v="22"/>
    <b v="1"/>
    <m/>
    <s v="Medellín"/>
    <s v="Universidad Pontificia Bolivariana"/>
    <m/>
    <s v="Negocios Internacionales"/>
    <m/>
    <b v="0"/>
    <b v="0"/>
    <s v="Intermedio"/>
    <s v="Intermedio"/>
    <s v="Logística"/>
    <m/>
    <m/>
    <m/>
    <m/>
    <s v="Ventas"/>
    <m/>
    <m/>
    <m/>
    <s v="Ventas Comercial"/>
    <b v="0"/>
    <b v="0"/>
    <m/>
    <b v="0"/>
    <m/>
    <b v="0"/>
    <m/>
    <b v="0"/>
    <m/>
    <s v="Otros"/>
    <s v="CREATÓN"/>
    <d v="2026-09-10T00:00:00"/>
    <d v="1899-12-30T11:31:10"/>
    <s v=" 324 3157796"/>
    <s v="Calle 78 Sur 50-66, 055460 La Estrella, Colombia"/>
    <s v="DP"/>
    <n v="96.2"/>
    <s v="Cata"/>
    <x v="36"/>
    <x v="0"/>
    <s v="OK"/>
    <x v="5"/>
    <x v="372"/>
    <x v="9"/>
    <x v="6"/>
    <x v="5"/>
  </r>
  <r>
    <x v="385"/>
    <x v="385"/>
    <s v="Cédula de ciudadanía"/>
    <x v="383"/>
    <s v="Mujer"/>
    <n v="22"/>
    <b v="1"/>
    <s v="MEDELLIN"/>
    <s v="Medellín"/>
    <s v="Universidad EAFIT"/>
    <m/>
    <s v="Administración de Empresas"/>
    <m/>
    <b v="0"/>
    <b v="0"/>
    <s v="Avanzado"/>
    <s v="Avanzado"/>
    <s v="Asuntos corporativos"/>
    <m/>
    <m/>
    <m/>
    <m/>
    <s v="Logística"/>
    <m/>
    <m/>
    <m/>
    <m/>
    <b v="0"/>
    <b v="0"/>
    <m/>
    <b v="0"/>
    <m/>
    <b v="0"/>
    <m/>
    <b v="0"/>
    <m/>
    <s v="Página Web Oficial"/>
    <s v="CREATÓN"/>
    <d v="2026-08-27T00:00:00"/>
    <d v="1899-12-30T14:15:11"/>
    <s v=" 321 6544399"/>
    <s v="Calle 25B 58DD-103, 051052 Bello, Colombia"/>
    <s v="DP"/>
    <n v="92.2"/>
    <s v="Cata"/>
    <x v="36"/>
    <x v="1"/>
    <s v="OK"/>
    <x v="3"/>
    <x v="373"/>
    <x v="9"/>
    <x v="6"/>
    <x v="5"/>
  </r>
  <r>
    <x v="386"/>
    <x v="386"/>
    <s v="Cédula de ciudadanía"/>
    <x v="384"/>
    <s v="Mujer"/>
    <n v="21"/>
    <b v="1"/>
    <s v="MEDELLIN"/>
    <s v="Medellín"/>
    <s v="Otra"/>
    <s v="Corporación Universitaria  Lasallista"/>
    <s v="Administración de Empresas"/>
    <m/>
    <b v="0"/>
    <b v="0"/>
    <s v="Intermedio"/>
    <s v="Básico"/>
    <s v="Logística"/>
    <m/>
    <m/>
    <m/>
    <m/>
    <s v="Compras"/>
    <m/>
    <m/>
    <m/>
    <m/>
    <b v="0"/>
    <b v="0"/>
    <m/>
    <b v="0"/>
    <m/>
    <b v="0"/>
    <m/>
    <b v="0"/>
    <m/>
    <s v="Instagram"/>
    <s v="CREATÓN"/>
    <d v="2026-09-11T00:00:00"/>
    <d v="1899-12-30T14:48:03"/>
    <s v=" 321 8212815"/>
    <s v="Diagonal 53 125 S-33, 055440 Caldas, Colombia"/>
    <s v="DP"/>
    <n v="87.1"/>
    <s v="Cata"/>
    <x v="36"/>
    <x v="1"/>
    <s v="OK"/>
    <x v="3"/>
    <x v="374"/>
    <x v="9"/>
    <x v="6"/>
    <x v="5"/>
  </r>
  <r>
    <x v="387"/>
    <x v="387"/>
    <s v="Cédula de ciudadanía"/>
    <x v="385"/>
    <s v="Hombre"/>
    <n v="21"/>
    <b v="1"/>
    <m/>
    <s v="Medellín"/>
    <s v="Universidad EAFIT"/>
    <m/>
    <s v="Negocios Internacionales"/>
    <m/>
    <b v="0"/>
    <b v="0"/>
    <s v="Avanzado"/>
    <s v="Avanzado"/>
    <s v="Logística"/>
    <m/>
    <m/>
    <m/>
    <m/>
    <s v="Producción (Operaciones)"/>
    <s v="Calidad"/>
    <m/>
    <m/>
    <m/>
    <b v="0"/>
    <b v="0"/>
    <m/>
    <b v="0"/>
    <m/>
    <b v="0"/>
    <m/>
    <b v="0"/>
    <m/>
    <s v="Medios Tradicionales"/>
    <s v="CREATÓN"/>
    <d v="2026-08-22T00:00:00"/>
    <d v="1899-12-30T10:12:09"/>
    <s v=" 321 5798177"/>
    <s v="Calle 4 18-251, 050022 Medellin, Colombia"/>
    <s v="DP"/>
    <n v="90.4"/>
    <s v="Santi"/>
    <x v="36"/>
    <x v="1"/>
    <s v="OK"/>
    <x v="5"/>
    <x v="375"/>
    <x v="9"/>
    <x v="6"/>
    <x v="5"/>
  </r>
  <r>
    <x v="388"/>
    <x v="388"/>
    <s v="Cédula de ciudadanía"/>
    <x v="386"/>
    <s v="Hombre"/>
    <n v="22"/>
    <b v="1"/>
    <m/>
    <s v="Palmar de Varela (Atlantico)"/>
    <s v="Universidad del Magdalena"/>
    <m/>
    <s v="Ingeniería Industrial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8-23T00:00:00"/>
    <d v="1899-12-30T18:39:03"/>
    <n v="3007316702"/>
    <s v="Santa Marta, Colombia"/>
    <s v="DP"/>
    <n v="84.2"/>
    <s v="Cata"/>
    <x v="37"/>
    <x v="1"/>
    <s v="OK"/>
    <x v="10"/>
    <x v="376"/>
    <x v="10"/>
    <x v="6"/>
    <x v="5"/>
  </r>
  <r>
    <x v="389"/>
    <x v="389"/>
    <s v="Cédula de ciudadanía"/>
    <x v="387"/>
    <s v="Mujer"/>
    <n v="24"/>
    <b v="1"/>
    <s v="Santo Tomás"/>
    <s v="Palmar de Varela (Atlantico)"/>
    <s v="Otra"/>
    <s v="INSTITUCION UNIVERSITARIA DE BARRANQUILLA"/>
    <s v="Ingeniería Industrial"/>
    <m/>
    <b v="1"/>
    <b v="0"/>
    <s v="Básic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LinkedIn"/>
    <s v="CREATÓN"/>
    <d v="2026-09-02T00:00:00"/>
    <d v="1899-12-30T06:28:09"/>
    <s v=" 304 5469960"/>
    <s v="Carrera 3 5-11e, 083060 Santo Tomás, Colombia"/>
    <s v="DP"/>
    <n v="82.4"/>
    <s v="Santi"/>
    <x v="37"/>
    <x v="1"/>
    <s v="OK"/>
    <x v="10"/>
    <x v="377"/>
    <x v="10"/>
    <x v="6"/>
    <x v="5"/>
  </r>
  <r>
    <x v="390"/>
    <x v="390"/>
    <s v="Cédula de ciudadanía"/>
    <x v="388"/>
    <s v="Mujer"/>
    <n v="21"/>
    <b v="1"/>
    <s v="Barranquilla"/>
    <s v="Palmar de Varela (Atlantico)"/>
    <s v="Universidad del Atlántico"/>
    <m/>
    <s v="Ingeniería Industrial"/>
    <m/>
    <b v="0"/>
    <b v="0"/>
    <s v="Intermedi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Otros"/>
    <s v="CREATÓN"/>
    <d v="2026-09-12T00:00:00"/>
    <d v="1899-12-30T14:39:09"/>
    <s v="311 6124925"/>
    <s v="Carrera 5A 35B, Barranquilla, Colombia"/>
    <s v="DP"/>
    <n v="92.1"/>
    <s v="Cata"/>
    <x v="37"/>
    <x v="1"/>
    <s v="OK"/>
    <x v="10"/>
    <x v="378"/>
    <x v="10"/>
    <x v="6"/>
    <x v="5"/>
  </r>
  <r>
    <x v="391"/>
    <x v="391"/>
    <s v="Cédula de ciudadanía"/>
    <x v="389"/>
    <s v="Hombre"/>
    <n v="18"/>
    <b v="1"/>
    <s v="PONEDERA"/>
    <s v="Palmar de Varela (Atlantico)"/>
    <s v="SENA"/>
    <m/>
    <s v="Otra"/>
    <s v="ANALISIS Y DESARROLLO DE SOFTWARE"/>
    <b v="0"/>
    <b v="0"/>
    <s v="Básico"/>
    <s v="Básico"/>
    <s v="Tecnología"/>
    <m/>
    <m/>
    <m/>
    <m/>
    <s v="Logística"/>
    <m/>
    <m/>
    <m/>
    <m/>
    <b v="0"/>
    <b v="0"/>
    <m/>
    <b v="0"/>
    <m/>
    <b v="0"/>
    <m/>
    <b v="0"/>
    <m/>
    <s v="Medios Tradicionales"/>
    <s v="CREATÓN"/>
    <d v="2026-09-02T00:00:00"/>
    <d v="1899-12-30T06:28:09"/>
    <s v=" 304 2752561"/>
    <s v="Calle 23 15-44, 084001 Ponedera, Colombia"/>
    <s v="DP"/>
    <n v="94.7"/>
    <s v="Cata"/>
    <x v="37"/>
    <x v="1"/>
    <s v="OK"/>
    <x v="48"/>
    <x v="379"/>
    <x v="10"/>
    <x v="6"/>
    <x v="5"/>
  </r>
  <r>
    <x v="392"/>
    <x v="392"/>
    <s v="Cédula de ciudadanía"/>
    <x v="390"/>
    <s v="Hombre"/>
    <n v="22"/>
    <b v="1"/>
    <s v="BARRANQUILLA"/>
    <s v="Palmar de Varela (Atlantico)"/>
    <s v="Universidad del Norte"/>
    <m/>
    <s v="Ingeniería Industrial"/>
    <m/>
    <b v="0"/>
    <b v="0"/>
    <s v="Intermedio"/>
    <s v="Avanzad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LinkedIn"/>
    <s v="CREATÓN"/>
    <d v="2026-08-30T00:00:00"/>
    <d v="1899-12-30T14:51:20"/>
    <s v=" 300 4327190"/>
    <s v="Calle 102 9E-35, 080014 Barranquilla, Colombia"/>
    <s v="DP"/>
    <n v="75.2"/>
    <s v="Cata"/>
    <x v="37"/>
    <x v="1"/>
    <s v="OK"/>
    <x v="10"/>
    <x v="380"/>
    <x v="10"/>
    <x v="6"/>
    <x v="5"/>
  </r>
  <r>
    <x v="393"/>
    <x v="393"/>
    <s v="Cédula de ciudadanía"/>
    <x v="391"/>
    <s v="Mujer"/>
    <n v="21"/>
    <b v="1"/>
    <s v="BARRANQUILLA"/>
    <s v="Palmar de Varela (Atlantico)"/>
    <s v="Universidad del Norte"/>
    <m/>
    <s v="Ingeniería Mecánica"/>
    <m/>
    <b v="0"/>
    <b v="0"/>
    <s v="Avanzad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Otros"/>
    <s v="CREATÓN"/>
    <d v="2026-09-06T00:00:00"/>
    <d v="1899-12-30T17:17:07"/>
    <s v=" 305 4050713"/>
    <s v="Calle 40 14-51, 080006 Barranquilla, Colombia"/>
    <s v="DP"/>
    <n v="96.7"/>
    <s v="Cata"/>
    <x v="37"/>
    <x v="1"/>
    <s v="OK "/>
    <x v="29"/>
    <x v="381"/>
    <x v="10"/>
    <x v="6"/>
    <x v="5"/>
  </r>
  <r>
    <x v="394"/>
    <x v="394"/>
    <s v="Cédula de ciudadanía"/>
    <x v="392"/>
    <s v="Hombre"/>
    <n v="22"/>
    <b v="1"/>
    <s v="santa marta"/>
    <s v="Palmar de Varela (Atlantico)"/>
    <s v="Universidad del Magdalena"/>
    <m/>
    <s v="Ingeniería Electrónica"/>
    <m/>
    <b v="0"/>
    <b v="0"/>
    <s v="Básic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Medios Tradicionales"/>
    <s v="CREATÓN"/>
    <d v="2026-09-12T00:00:00"/>
    <d v="1899-12-30T19:01:10"/>
    <s v=" 310 8218310"/>
    <s v="Santa Marta, Colombia"/>
    <s v="DP"/>
    <n v="87.5"/>
    <s v="Cata"/>
    <x v="37"/>
    <x v="1"/>
    <s v="OK "/>
    <x v="24"/>
    <x v="382"/>
    <x v="10"/>
    <x v="6"/>
    <x v="5"/>
  </r>
  <r>
    <x v="395"/>
    <x v="395"/>
    <s v="Cédula de ciudadanía"/>
    <x v="393"/>
    <s v="Mujer"/>
    <n v="21"/>
    <b v="1"/>
    <s v="SABANALARGA"/>
    <s v="Palmar de Varela (Atlantico)"/>
    <s v="Universidad del Atlántico"/>
    <m/>
    <s v="Ingeniería Industrial"/>
    <m/>
    <b v="0"/>
    <b v="0"/>
    <s v="Intermedio"/>
    <s v="Intermedio"/>
    <s v="Producción (Operaciones)"/>
    <m/>
    <m/>
    <s v="Área financiera"/>
    <m/>
    <s v="Talento"/>
    <m/>
    <m/>
    <m/>
    <m/>
    <b v="0"/>
    <b v="0"/>
    <m/>
    <b v="0"/>
    <m/>
    <b v="0"/>
    <m/>
    <b v="0"/>
    <m/>
    <s v="Instagram"/>
    <s v="CREATÓN"/>
    <d v="2026-09-12T00:00:00"/>
    <d v="1899-12-30T20:24:49"/>
    <n v="3016957509"/>
    <s v="Cascajal, Sabanalarga, Colombia"/>
    <s v="DP"/>
    <n v="93.2"/>
    <s v="Cata"/>
    <x v="38"/>
    <x v="1"/>
    <s v="OK"/>
    <x v="10"/>
    <x v="383"/>
    <x v="10"/>
    <x v="6"/>
    <x v="5"/>
  </r>
  <r>
    <x v="396"/>
    <x v="396"/>
    <s v="Cédula de ciudadanía"/>
    <x v="394"/>
    <s v="Hombre"/>
    <n v="21"/>
    <b v="1"/>
    <s v="Candelaria"/>
    <s v="Palmar de Varela (Atlantico)"/>
    <s v="Universidad del Atlántico"/>
    <m/>
    <s v="Contaduría Pública"/>
    <m/>
    <b v="0"/>
    <b v="0"/>
    <s v="Intermedio"/>
    <s v="Intermedio"/>
    <s v="Finanzas"/>
    <m/>
    <m/>
    <m/>
    <m/>
    <s v="Tecnología"/>
    <m/>
    <s v="Finanzas Impuestos"/>
    <m/>
    <m/>
    <b v="0"/>
    <b v="0"/>
    <m/>
    <b v="0"/>
    <m/>
    <b v="0"/>
    <m/>
    <b v="0"/>
    <m/>
    <s v="Instagram"/>
    <s v="CREATÓN"/>
    <d v="2026-09-12T00:00:00"/>
    <d v="1899-12-30T16:39:53"/>
    <s v=" 304 4555434"/>
    <s v="Calle 11 20-63, 084020 Candelaria, Colombia"/>
    <s v="DP"/>
    <n v="73.099999999999994"/>
    <s v="Cata"/>
    <x v="38"/>
    <x v="1"/>
    <s v="OK"/>
    <x v="21"/>
    <x v="384"/>
    <x v="10"/>
    <x v="6"/>
    <x v="5"/>
  </r>
  <r>
    <x v="397"/>
    <x v="397"/>
    <s v="Cédula de ciudadanía"/>
    <x v="395"/>
    <s v="Hombre"/>
    <n v="21"/>
    <b v="1"/>
    <s v="SABANAGRANDE ATLANTICO"/>
    <s v="Palmar de Varela (Atlantico)"/>
    <s v="Otra"/>
    <s v="Universidad de la costa (CUC)"/>
    <s v="Contaduría Pública"/>
    <m/>
    <b v="1"/>
    <b v="0"/>
    <s v="Básico"/>
    <s v="Básico"/>
    <s v="Producción (Operaciones)"/>
    <m/>
    <s v="Finanzas Impuestos"/>
    <m/>
    <m/>
    <s v="Finanzas"/>
    <m/>
    <m/>
    <m/>
    <m/>
    <b v="0"/>
    <b v="0"/>
    <m/>
    <b v="0"/>
    <m/>
    <b v="0"/>
    <m/>
    <b v="0"/>
    <m/>
    <s v="TikTok"/>
    <s v="CREATÓN"/>
    <d v="2026-09-12T00:00:00"/>
    <d v="1899-12-30T15:54:04"/>
    <n v="3174250357"/>
    <s v="Carrera 8 5-36, 083040 Sabanagrande, Colombia"/>
    <s v="DP"/>
    <n v="79.400000000000006"/>
    <s v="Cata"/>
    <x v="38"/>
    <x v="1"/>
    <s v="OK"/>
    <x v="21"/>
    <x v="385"/>
    <x v="10"/>
    <x v="6"/>
    <x v="5"/>
  </r>
  <r>
    <x v="398"/>
    <x v="398"/>
    <s v="Cédula de ciudadanía"/>
    <x v="396"/>
    <s v="Hombre"/>
    <n v="26"/>
    <b v="1"/>
    <m/>
    <s v="Palmar de Varela (Atlantico)"/>
    <s v="SENA"/>
    <m/>
    <s v="Logística"/>
    <m/>
    <b v="0"/>
    <b v="0"/>
    <s v="Intermedio"/>
    <s v="Avanzado"/>
    <s v="Logística"/>
    <m/>
    <m/>
    <m/>
    <m/>
    <s v="Producción (Operaciones)"/>
    <s v="Envase"/>
    <m/>
    <m/>
    <m/>
    <b v="0"/>
    <b v="0"/>
    <m/>
    <b v="0"/>
    <m/>
    <b v="0"/>
    <m/>
    <b v="0"/>
    <m/>
    <s v="Página Web Oficial"/>
    <s v="CREATÓN"/>
    <d v="2026-09-13T00:00:00"/>
    <d v="1899-12-30T19:04:45"/>
    <s v=" 300 1303873"/>
    <s v="El Paraiso, Palmar de Varela, Colombia"/>
    <s v="DP"/>
    <n v="78.099999999999994"/>
    <s v="Cata"/>
    <x v="38"/>
    <x v="1"/>
    <s v="OK"/>
    <x v="15"/>
    <x v="386"/>
    <x v="10"/>
    <x v="6"/>
    <x v="5"/>
  </r>
  <r>
    <x v="399"/>
    <x v="399"/>
    <s v="Cédula de ciudadanía"/>
    <x v="397"/>
    <s v="Hombre"/>
    <n v="21"/>
    <b v="1"/>
    <s v="BARRANQUILLA"/>
    <s v="Barranquilla"/>
    <s v="Corporación Universitaria Americana"/>
    <m/>
    <s v="Ingeniería Industrial"/>
    <m/>
    <b v="1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03T00:00:00"/>
    <d v="1899-12-30T07:29:13"/>
    <s v=" 300 8603362"/>
    <s v="Calle 60 21B-89, 080012 Barranquilla, Colombia"/>
    <s v="DP"/>
    <n v="90"/>
    <s v="Cata"/>
    <x v="38"/>
    <x v="1"/>
    <s v="OK"/>
    <x v="10"/>
    <x v="387"/>
    <x v="10"/>
    <x v="6"/>
    <x v="5"/>
  </r>
  <r>
    <x v="400"/>
    <x v="400"/>
    <s v="Cédula de ciudadanía"/>
    <x v="398"/>
    <s v="Mujer"/>
    <n v="19"/>
    <b v="1"/>
    <s v="Soledad"/>
    <s v="Barranquilla"/>
    <s v="Otra"/>
    <s v="Institución universitaria de Barranquilla"/>
    <s v="Ingeniería Industrial"/>
    <m/>
    <b v="1"/>
    <b v="0"/>
    <s v="Intermedio"/>
    <s v="Intermedio"/>
    <s v="Logística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8-30T00:00:00"/>
    <d v="1899-12-30T10:20:04"/>
    <s v=" 324 4798404"/>
    <s v="Carrera 19 58-02, 083004 Soledad, Colombia"/>
    <s v="DP"/>
    <n v="73.599999999999994"/>
    <s v="Santi"/>
    <x v="38"/>
    <x v="1"/>
    <s v="OK"/>
    <x v="10"/>
    <x v="388"/>
    <x v="10"/>
    <x v="6"/>
    <x v="5"/>
  </r>
  <r>
    <x v="401"/>
    <x v="401"/>
    <s v="Cédula de ciudadanía"/>
    <x v="399"/>
    <s v="Hombre"/>
    <n v="23"/>
    <b v="1"/>
    <s v="Santa Marta"/>
    <s v="Barranquilla"/>
    <s v="Universidad del Magdalena"/>
    <m/>
    <s v="Ingeniería Industrial"/>
    <m/>
    <b v="0"/>
    <b v="0"/>
    <s v="Básico"/>
    <s v="Intermedio"/>
    <s v="Compras"/>
    <m/>
    <m/>
    <m/>
    <m/>
    <s v="Logística"/>
    <m/>
    <m/>
    <m/>
    <m/>
    <b v="0"/>
    <b v="0"/>
    <m/>
    <b v="0"/>
    <m/>
    <b v="0"/>
    <m/>
    <b v="0"/>
    <m/>
    <s v="Página Web Oficial"/>
    <s v="CREATÓN"/>
    <d v="2026-09-13T00:00:00"/>
    <d v="1899-12-30T09:41:42"/>
    <n v="3157085604"/>
    <s v="Calle 46A 20-114, 470005 Santa Marta, Colombia"/>
    <s v="DP"/>
    <n v="73.900000000000006"/>
    <s v="Cata"/>
    <x v="38"/>
    <x v="1"/>
    <s v="OK"/>
    <x v="10"/>
    <x v="389"/>
    <x v="10"/>
    <x v="6"/>
    <x v="5"/>
  </r>
  <r>
    <x v="402"/>
    <x v="402"/>
    <s v="Cédula de ciudadanía"/>
    <x v="400"/>
    <s v="Hombre"/>
    <n v="21"/>
    <b v="1"/>
    <m/>
    <s v="Medellín"/>
    <s v="Universidad EAFIT"/>
    <m/>
    <s v="Administración de Empresas"/>
    <m/>
    <b v="0"/>
    <b v="0"/>
    <s v="Intermedio"/>
    <s v="Básico"/>
    <s v="Marketing"/>
    <m/>
    <m/>
    <m/>
    <m/>
    <s v="Ventas"/>
    <m/>
    <m/>
    <m/>
    <s v="Ventas Comercial"/>
    <b v="0"/>
    <b v="0"/>
    <m/>
    <b v="0"/>
    <m/>
    <b v="0"/>
    <m/>
    <b v="0"/>
    <m/>
    <s v="Otros"/>
    <s v="CREATÓN"/>
    <d v="2026-09-13T00:00:00"/>
    <d v="1899-12-30T13:57:59"/>
    <s v=" 314 8230896"/>
    <s v="Calle 32F 78-152, 050030 Medellin, Colombia"/>
    <s v="DP"/>
    <n v="73"/>
    <s v="Cata"/>
    <x v="39"/>
    <x v="1"/>
    <s v="OK"/>
    <x v="3"/>
    <x v="390"/>
    <x v="9"/>
    <x v="6"/>
    <x v="5"/>
  </r>
  <r>
    <x v="403"/>
    <x v="403"/>
    <s v="Cédula de ciudadanía"/>
    <x v="401"/>
    <s v="Mujer"/>
    <n v="21"/>
    <b v="1"/>
    <m/>
    <s v="Medellín"/>
    <s v="Universidad EAFIT"/>
    <m/>
    <s v="Negocios Internacionales"/>
    <m/>
    <b v="1"/>
    <b v="0"/>
    <s v="Intermedio"/>
    <s v="Intermedio"/>
    <s v="Ventas"/>
    <m/>
    <m/>
    <m/>
    <s v="Canal Moderno"/>
    <s v="Ventas"/>
    <m/>
    <m/>
    <m/>
    <s v="Ventas Comercial"/>
    <b v="0"/>
    <b v="0"/>
    <m/>
    <b v="0"/>
    <m/>
    <b v="0"/>
    <m/>
    <b v="0"/>
    <m/>
    <s v="Otros"/>
    <s v="CREATÓN"/>
    <d v="2026-08-27T00:00:00"/>
    <d v="1899-12-30T10:27:26"/>
    <s v="305 3059203"/>
    <s v="Carrera 77 41-40, 054040 Rionegro, Colombia"/>
    <s v="DP"/>
    <n v="98.1"/>
    <s v="Santi"/>
    <x v="39"/>
    <x v="1"/>
    <s v="OK "/>
    <x v="5"/>
    <x v="391"/>
    <x v="9"/>
    <x v="6"/>
    <x v="5"/>
  </r>
  <r>
    <x v="404"/>
    <x v="404"/>
    <s v="Cédula de ciudadanía"/>
    <x v="402"/>
    <s v="Mujer"/>
    <n v="21"/>
    <b v="1"/>
    <s v="Medellín"/>
    <s v="Medellín"/>
    <s v="Universidad Pontificia Bolivariana"/>
    <m/>
    <s v="Ingeniería Administrativa"/>
    <m/>
    <b v="0"/>
    <b v="0"/>
    <s v="Intermedio"/>
    <s v="Avanzado"/>
    <s v="Ventas"/>
    <m/>
    <m/>
    <m/>
    <s v="Ventas Comercial"/>
    <s v="Ventas"/>
    <m/>
    <m/>
    <m/>
    <s v="BEES"/>
    <b v="0"/>
    <b v="0"/>
    <m/>
    <b v="0"/>
    <m/>
    <b v="0"/>
    <m/>
    <b v="0"/>
    <m/>
    <s v="Medios Tradicionales"/>
    <s v="CREATÓN"/>
    <d v="2026-09-04T00:00:00"/>
    <d v="1899-12-30T05:59:12"/>
    <s v=" 322 5903956"/>
    <s v="Calle 32A 65CC-55, 050030 Medellin, Colombia"/>
    <s v="DP"/>
    <n v="84.4"/>
    <s v="Cata"/>
    <x v="39"/>
    <x v="1"/>
    <s v="OK "/>
    <x v="49"/>
    <x v="392"/>
    <x v="9"/>
    <x v="6"/>
    <x v="5"/>
  </r>
  <r>
    <x v="405"/>
    <x v="405"/>
    <s v="Cédula de ciudadanía"/>
    <x v="403"/>
    <s v="Mujer"/>
    <n v="21"/>
    <b v="1"/>
    <m/>
    <s v="Medellín"/>
    <s v="Universidad Pontificia Bolivariana"/>
    <m/>
    <s v="Negocios Internacionales"/>
    <m/>
    <b v="0"/>
    <b v="0"/>
    <s v="Intermedio"/>
    <s v="Intermedio"/>
    <s v="Ventas"/>
    <m/>
    <m/>
    <m/>
    <s v="Canal Moderno"/>
    <s v="Compras"/>
    <m/>
    <m/>
    <m/>
    <m/>
    <b v="0"/>
    <b v="0"/>
    <m/>
    <b v="0"/>
    <m/>
    <b v="0"/>
    <m/>
    <b v="0"/>
    <m/>
    <s v="LinkedIn"/>
    <s v="CREATÓN"/>
    <d v="2026-08-22T00:00:00"/>
    <d v="1899-12-30T10:13:10"/>
    <n v="3194401899"/>
    <s v="Calle 65F 47-30, 050012 Medellin, Colombia"/>
    <s v="DP"/>
    <n v="93.7"/>
    <s v="Cata"/>
    <x v="39"/>
    <x v="1"/>
    <s v="OK "/>
    <x v="5"/>
    <x v="393"/>
    <x v="9"/>
    <x v="6"/>
    <x v="5"/>
  </r>
  <r>
    <x v="406"/>
    <x v="406"/>
    <s v="Cédula de ciudadanía"/>
    <x v="404"/>
    <s v="Hombre"/>
    <n v="22"/>
    <b v="1"/>
    <s v="LA ESTRELLA, ANTIOQUIA"/>
    <s v="Medellín"/>
    <s v="Universidad de Antioquia"/>
    <m/>
    <s v="Ingeniería Industrial"/>
    <m/>
    <b v="1"/>
    <b v="0"/>
    <s v="Intermedio"/>
    <s v="Avanzado"/>
    <s v="Producción (Operaciones)"/>
    <m/>
    <m/>
    <m/>
    <m/>
    <s v="Ventas"/>
    <m/>
    <m/>
    <m/>
    <s v="Talento Ventas"/>
    <b v="0"/>
    <b v="0"/>
    <m/>
    <b v="0"/>
    <m/>
    <b v="0"/>
    <m/>
    <b v="0"/>
    <m/>
    <s v="Otros"/>
    <s v="CREATÓN"/>
    <d v="2026-09-11T00:00:00"/>
    <d v="1899-12-30T09:25:10"/>
    <s v=" 323 2175901"/>
    <s v="Calle 83C Sur 55-56, 055460 La Estrella, Colombia"/>
    <s v="DP"/>
    <n v="84.4"/>
    <s v="Cata"/>
    <x v="39"/>
    <x v="1"/>
    <s v="OK "/>
    <x v="10"/>
    <x v="394"/>
    <x v="9"/>
    <x v="6"/>
    <x v="5"/>
  </r>
  <r>
    <x v="407"/>
    <x v="407"/>
    <s v="Cédula de ciudadanía"/>
    <x v="405"/>
    <s v="Mujer"/>
    <n v="22"/>
    <b v="1"/>
    <s v="MEDELLIN"/>
    <s v="Medellín"/>
    <s v="Universidad EAFIT"/>
    <m/>
    <s v="Marketing / Mercadeo"/>
    <m/>
    <b v="0"/>
    <b v="0"/>
    <s v="Avanzado"/>
    <s v="Intermedio"/>
    <s v="Marketing"/>
    <m/>
    <m/>
    <m/>
    <m/>
    <s v="Ventas"/>
    <m/>
    <m/>
    <m/>
    <s v="Ventas Comercial"/>
    <b v="0"/>
    <b v="0"/>
    <m/>
    <b v="0"/>
    <m/>
    <b v="0"/>
    <m/>
    <b v="0"/>
    <m/>
    <s v="Otros"/>
    <s v="CREATÓN"/>
    <d v="2026-08-27T00:00:00"/>
    <d v="1899-12-30T13:19:03"/>
    <n v="3195270322"/>
    <s v="Calle 16 Sur 48, Medellin, Colombia"/>
    <s v="DP"/>
    <n v="94.9"/>
    <s v="Santi"/>
    <x v="39"/>
    <x v="1"/>
    <s v="OK "/>
    <x v="4"/>
    <x v="395"/>
    <x v="9"/>
    <x v="6"/>
    <x v="5"/>
  </r>
  <r>
    <x v="408"/>
    <x v="408"/>
    <s v="Cédula de ciudadanía"/>
    <x v="406"/>
    <s v="Mujer"/>
    <n v="22"/>
    <b v="1"/>
    <s v="CALI"/>
    <s v="Medellín"/>
    <s v="Otra"/>
    <s v="Universidad Icesi"/>
    <s v="Marketing / Mercadeo"/>
    <m/>
    <b v="0"/>
    <b v="0"/>
    <s v="Intermedio"/>
    <s v="Avanzado"/>
    <s v="Marketing"/>
    <m/>
    <m/>
    <m/>
    <m/>
    <s v="Ventas"/>
    <m/>
    <m/>
    <m/>
    <s v="Gestión de Ejecución Premium"/>
    <b v="0"/>
    <b v="0"/>
    <m/>
    <b v="0"/>
    <m/>
    <b v="0"/>
    <m/>
    <b v="0"/>
    <m/>
    <s v="LinkedIn"/>
    <s v="CREATÓN"/>
    <d v="2026-08-30T00:00:00"/>
    <d v="1899-12-30T14:51:03"/>
    <n v="3137503885"/>
    <s v="Calle 89 26B-2, 760020 Cali, Colombia"/>
    <s v="DP"/>
    <n v="89.2"/>
    <s v="Cata"/>
    <x v="39"/>
    <x v="1"/>
    <s v="OK "/>
    <x v="4"/>
    <x v="396"/>
    <x v="9"/>
    <x v="6"/>
    <x v="5"/>
  </r>
  <r>
    <x v="409"/>
    <x v="409"/>
    <s v="Cédula de ciudadanía"/>
    <x v="407"/>
    <s v="Mujer"/>
    <n v="20"/>
    <b v="1"/>
    <s v="BUCARAMANGA"/>
    <s v="Medellín"/>
    <s v="Universidad Pontificia Bolivariana"/>
    <m/>
    <s v="Negocios Internacionales"/>
    <m/>
    <b v="0"/>
    <b v="0"/>
    <s v="Intermedio"/>
    <s v="Intermedio"/>
    <s v="Ventas"/>
    <m/>
    <m/>
    <m/>
    <s v="Ventas Comercial"/>
    <s v="Compras"/>
    <m/>
    <m/>
    <m/>
    <m/>
    <b v="0"/>
    <b v="0"/>
    <m/>
    <b v="0"/>
    <m/>
    <b v="0"/>
    <m/>
    <b v="0"/>
    <m/>
    <s v="LinkedIn"/>
    <s v="CREATÓN"/>
    <d v="2026-09-13T00:00:00"/>
    <d v="1899-12-30T19:20:02"/>
    <n v="3102562819"/>
    <s v="Calle 51 23-45, 680003 Bucaramanga, Colombia"/>
    <s v="DP"/>
    <n v="78.7"/>
    <s v="Cata"/>
    <x v="39"/>
    <x v="1"/>
    <s v="OK "/>
    <x v="5"/>
    <x v="397"/>
    <x v="9"/>
    <x v="6"/>
    <x v="5"/>
  </r>
  <r>
    <x v="410"/>
    <x v="410"/>
    <s v="Cédula de ciudadanía"/>
    <x v="408"/>
    <s v="Mujer"/>
    <n v="21"/>
    <b v="1"/>
    <m/>
    <s v="Medellín"/>
    <s v="Universidad EAFIT"/>
    <m/>
    <s v="Negocios Internacionales"/>
    <m/>
    <b v="0"/>
    <b v="0"/>
    <s v="Avanzado"/>
    <s v="Avanzado"/>
    <s v="Logística"/>
    <m/>
    <m/>
    <m/>
    <m/>
    <s v="Ventas"/>
    <m/>
    <m/>
    <m/>
    <s v="Ventas Comercial"/>
    <b v="0"/>
    <b v="0"/>
    <m/>
    <b v="0"/>
    <m/>
    <b v="0"/>
    <m/>
    <b v="0"/>
    <m/>
    <s v="Otros"/>
    <s v="CREATÓN"/>
    <d v="2026-09-13T00:00:00"/>
    <d v="1899-12-30T10:10:22"/>
    <s v="321 7538047"/>
    <s v="Envigado, Colombia"/>
    <s v="DP"/>
    <n v="89.6"/>
    <s v="Cata"/>
    <x v="36"/>
    <x v="1"/>
    <s v="OK"/>
    <x v="5"/>
    <x v="398"/>
    <x v="9"/>
    <x v="6"/>
    <x v="5"/>
  </r>
  <r>
    <x v="411"/>
    <x v="411"/>
    <s v="Cédula de ciudadanía"/>
    <x v="409"/>
    <s v="Hombre"/>
    <n v="26"/>
    <b v="1"/>
    <s v="MEDELLIN"/>
    <s v="Medellín"/>
    <s v="Otra"/>
    <s v="Universidad Católica Luis Amigo"/>
    <s v="Negocios Internacionales"/>
    <m/>
    <b v="0"/>
    <b v="0"/>
    <s v="Básico"/>
    <s v="Intermedio"/>
    <s v="Logística"/>
    <m/>
    <s v="Finanzas Impuestos"/>
    <m/>
    <m/>
    <s v="Finanzas"/>
    <m/>
    <m/>
    <m/>
    <m/>
    <b v="0"/>
    <b v="0"/>
    <m/>
    <b v="0"/>
    <m/>
    <b v="0"/>
    <m/>
    <b v="0"/>
    <m/>
    <s v="LinkedIn"/>
    <s v="CREATÓN"/>
    <d v="2026-09-02T00:00:00"/>
    <d v="1899-12-30T13:13:03"/>
    <n v="3113598719"/>
    <s v="Calle 86B 51-37, 050004 Medellin, Colombia"/>
    <s v="DP"/>
    <n v="92.9"/>
    <s v="Santi"/>
    <x v="36"/>
    <x v="1"/>
    <s v="OK"/>
    <x v="5"/>
    <x v="399"/>
    <x v="9"/>
    <x v="6"/>
    <x v="5"/>
  </r>
  <r>
    <x v="412"/>
    <x v="412"/>
    <s v="Cédula de ciudadanía"/>
    <x v="410"/>
    <s v="Mujer"/>
    <n v="21"/>
    <b v="1"/>
    <s v="BARRANQUILLA"/>
    <s v="Palmar de Varela (Atlantico)"/>
    <s v="Universidad del Norte"/>
    <m/>
    <s v="Ingeniería Industrial"/>
    <m/>
    <b v="1"/>
    <b v="0"/>
    <s v="Intermedio"/>
    <s v="Avanzad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LinkedIn"/>
    <s v="CREATÓN"/>
    <d v="2026-09-09T00:00:00"/>
    <d v="1899-12-30T07:37:09"/>
    <n v="3105274860"/>
    <s v="Barranquilla, Colombia"/>
    <s v="DP"/>
    <n v="80.400000000000006"/>
    <s v="Cata"/>
    <x v="37"/>
    <x v="1"/>
    <s v="OK"/>
    <x v="10"/>
    <x v="400"/>
    <x v="10"/>
    <x v="6"/>
    <x v="5"/>
  </r>
  <r>
    <x v="413"/>
    <x v="413"/>
    <s v="Cédula de ciudadanía"/>
    <x v="411"/>
    <s v="Mujer"/>
    <n v="21"/>
    <b v="1"/>
    <s v="MEDELLIN"/>
    <s v="Medellín"/>
    <s v="Universidad de Medellín"/>
    <m/>
    <s v="Marketing / Mercadeo"/>
    <m/>
    <b v="1"/>
    <b v="0"/>
    <s v="Avanzado"/>
    <s v="Básico"/>
    <s v="Marketing"/>
    <m/>
    <m/>
    <m/>
    <m/>
    <s v="Ventas"/>
    <m/>
    <m/>
    <m/>
    <s v="Talento Ventas"/>
    <b v="0"/>
    <b v="0"/>
    <m/>
    <b v="0"/>
    <m/>
    <b v="0"/>
    <m/>
    <b v="0"/>
    <m/>
    <s v="Otros"/>
    <s v="CREATÓN"/>
    <d v="2026-09-02T00:00:00"/>
    <d v="1899-12-30T14:41:04"/>
    <s v=" 321 8334820"/>
    <s v="Carrera 84B 7-95, 050026 Medellin, Colombia"/>
    <s v="DP"/>
    <n v="82"/>
    <s v="Cata"/>
    <x v="39"/>
    <x v="1"/>
    <s v="OK "/>
    <x v="4"/>
    <x v="401"/>
    <x v="9"/>
    <x v="6"/>
    <x v="5"/>
  </r>
  <r>
    <x v="414"/>
    <x v="414"/>
    <s v="Cédula de ciudadanía"/>
    <x v="412"/>
    <s v="Hombre"/>
    <n v="21"/>
    <b v="1"/>
    <m/>
    <s v="Medellín"/>
    <s v="Otra"/>
    <s v="Universidad Católica Luis Amigó"/>
    <s v="Negocios Internacionales"/>
    <m/>
    <b v="1"/>
    <b v="0"/>
    <s v="Avanzado"/>
    <s v="Intermedio"/>
    <s v="Logística"/>
    <m/>
    <m/>
    <m/>
    <m/>
    <s v="Marketing"/>
    <m/>
    <m/>
    <m/>
    <m/>
    <b v="0"/>
    <b v="0"/>
    <m/>
    <b v="0"/>
    <m/>
    <b v="0"/>
    <m/>
    <b v="0"/>
    <m/>
    <s v="Página Web Oficial"/>
    <s v="CREATÓN"/>
    <d v="2026-08-23T00:00:00"/>
    <d v="1899-12-30T18:39:09"/>
    <n v="3012939394"/>
    <s v="Calle 54 86, Medellin, Colombia"/>
    <s v="DP"/>
    <n v="89.5"/>
    <s v="Cata"/>
    <x v="36"/>
    <x v="2"/>
    <s v="OK"/>
    <x v="5"/>
    <x v="402"/>
    <x v="9"/>
    <x v="6"/>
    <x v="5"/>
  </r>
  <r>
    <x v="415"/>
    <x v="415"/>
    <s v="Cédula de ciudadanía"/>
    <x v="413"/>
    <s v="Mujer"/>
    <n v="21"/>
    <b v="1"/>
    <s v="Medellin"/>
    <s v="Medellín"/>
    <s v="Universidad de Antioquia"/>
    <m/>
    <s v="Administración de Empresas"/>
    <m/>
    <b v="0"/>
    <b v="0"/>
    <s v="Intermedio"/>
    <s v="Intermedio"/>
    <s v="Marketing"/>
    <m/>
    <m/>
    <m/>
    <m/>
    <s v="Logística"/>
    <m/>
    <m/>
    <m/>
    <m/>
    <b v="0"/>
    <b v="0"/>
    <m/>
    <b v="0"/>
    <m/>
    <b v="0"/>
    <m/>
    <b v="0"/>
    <m/>
    <s v="LinkedIn"/>
    <s v="CREATÓN"/>
    <d v="2026-08-25T00:00:00"/>
    <d v="1899-12-30T16:32:07"/>
    <s v=" 310 8795621"/>
    <s v="Calle 65 56-84, 050010 Medellin, Colombia"/>
    <s v="DP"/>
    <n v="97"/>
    <s v="Cata"/>
    <x v="36"/>
    <x v="1"/>
    <s v="OK"/>
    <x v="3"/>
    <x v="403"/>
    <x v="9"/>
    <x v="6"/>
    <x v="5"/>
  </r>
  <r>
    <x v="416"/>
    <x v="416"/>
    <s v="Cédula de ciudadanía"/>
    <x v="414"/>
    <s v="Hombre"/>
    <n v="22"/>
    <b v="1"/>
    <s v="Barranquilla"/>
    <s v="Medellín"/>
    <s v="Universidad del Norte"/>
    <m/>
    <s v="Negocios Internacionales"/>
    <m/>
    <b v="0"/>
    <b v="0"/>
    <s v="Avanzad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Otros"/>
    <s v="CREATÓN"/>
    <d v="2026-09-04T00:00:00"/>
    <d v="1899-12-30T16:11:03"/>
    <s v=" 316 8227783"/>
    <s v="Barranquilla, Colombia"/>
    <s v="DP"/>
    <n v="93.8"/>
    <s v="Cata"/>
    <x v="36"/>
    <x v="0"/>
    <s v="OK"/>
    <x v="5"/>
    <x v="404"/>
    <x v="9"/>
    <x v="6"/>
    <x v="5"/>
  </r>
  <r>
    <x v="417"/>
    <x v="417"/>
    <s v="Cédula de ciudadanía"/>
    <x v="415"/>
    <s v="Mujer"/>
    <n v="21"/>
    <b v="1"/>
    <s v="CARTAGENA"/>
    <s v="Medellín"/>
    <s v="Universidad de Cartagena"/>
    <m/>
    <s v="Ingeniería Industrial"/>
    <m/>
    <b v="0"/>
    <b v="0"/>
    <s v="Intermedio"/>
    <s v="Intermedio"/>
    <s v="Producción (Operaciones)"/>
    <m/>
    <m/>
    <m/>
    <m/>
    <s v="Logística"/>
    <m/>
    <m/>
    <m/>
    <m/>
    <b v="0"/>
    <b v="0"/>
    <m/>
    <b v="0"/>
    <m/>
    <b v="0"/>
    <m/>
    <b v="0"/>
    <m/>
    <s v="Página Web Oficial"/>
    <s v="CREATÓN"/>
    <d v="2026-08-29T00:00:00"/>
    <d v="1899-12-30T12:02:46"/>
    <s v=" 300 6894859"/>
    <s v="Bruselas, Cartagena, Colombia"/>
    <s v="DP"/>
    <n v="95.9"/>
    <s v="Cata"/>
    <x v="36"/>
    <x v="0"/>
    <s v="OK"/>
    <x v="10"/>
    <x v="405"/>
    <x v="9"/>
    <x v="6"/>
    <x v="5"/>
  </r>
  <r>
    <x v="418"/>
    <x v="418"/>
    <s v="Cédula de ciudadanía"/>
    <x v="416"/>
    <s v="Hombre"/>
    <n v="21"/>
    <b v="1"/>
    <m/>
    <s v="Medellín"/>
    <s v="Otra"/>
    <s v="Universidad de Córdoba"/>
    <s v="Ingeniería Industrial"/>
    <m/>
    <b v="0"/>
    <b v="0"/>
    <s v="Intermedio"/>
    <s v="Avanzado"/>
    <s v="Logística"/>
    <m/>
    <m/>
    <m/>
    <m/>
    <s v="Producción (Operaciones)"/>
    <s v="Ingeniería y Servicios"/>
    <m/>
    <m/>
    <m/>
    <b v="0"/>
    <b v="0"/>
    <m/>
    <b v="0"/>
    <m/>
    <b v="0"/>
    <m/>
    <b v="0"/>
    <m/>
    <s v="LinkedIn"/>
    <s v="CREATÓN"/>
    <d v="2026-09-13T00:00:00"/>
    <d v="1899-12-30T15:29:48"/>
    <s v=" 319 3885124"/>
    <s v="Calle 8 Sur 43B-112, 050022 Medellin, Colombia"/>
    <s v="DP"/>
    <n v="73.7"/>
    <s v="Cata"/>
    <x v="36"/>
    <x v="1"/>
    <s v="OK"/>
    <x v="10"/>
    <x v="406"/>
    <x v="9"/>
    <x v="6"/>
    <x v="5"/>
  </r>
  <r>
    <x v="419"/>
    <x v="419"/>
    <s v="Cédula de ciudadanía"/>
    <x v="417"/>
    <s v="Hombre"/>
    <n v="22"/>
    <b v="1"/>
    <s v="SANTA MARTA"/>
    <s v="Palmar de Varela (Atlantico)"/>
    <s v="Universidad del Magdalena"/>
    <m/>
    <s v="Negocios Internacionales"/>
    <m/>
    <b v="1"/>
    <b v="0"/>
    <s v="Avanzado"/>
    <s v="Intermedio"/>
    <s v="Logística"/>
    <m/>
    <m/>
    <m/>
    <m/>
    <s v="Marketing"/>
    <m/>
    <m/>
    <m/>
    <m/>
    <b v="0"/>
    <b v="0"/>
    <m/>
    <b v="0"/>
    <m/>
    <b v="0"/>
    <m/>
    <b v="0"/>
    <m/>
    <s v="Otros"/>
    <s v="CREATÓN"/>
    <d v="2026-09-11T00:00:00"/>
    <d v="1899-12-30T23:23:00"/>
    <n v="3161364210"/>
    <s v="Carrera 37 9C-19, 470002 Santa Marta, Colombia"/>
    <s v="DP"/>
    <n v="79.599999999999994"/>
    <s v="Cata"/>
    <x v="38"/>
    <x v="1"/>
    <s v="OK"/>
    <x v="5"/>
    <x v="407"/>
    <x v="10"/>
    <x v="6"/>
    <x v="5"/>
  </r>
  <r>
    <x v="420"/>
    <x v="420"/>
    <s v="Cédula de ciudadanía"/>
    <x v="418"/>
    <s v="Mujer"/>
    <n v="23"/>
    <b v="1"/>
    <s v="MONTERIA CORDOBA"/>
    <s v="Palmar de Varela (Atlantico)"/>
    <s v="Otra"/>
    <s v="Universidad de Cordoba"/>
    <s v="Ingeniería Industrial"/>
    <m/>
    <b v="0"/>
    <b v="0"/>
    <s v="Básico"/>
    <s v="Básico"/>
    <s v="Producción (Operaciones)"/>
    <m/>
    <m/>
    <m/>
    <m/>
    <s v="Asuntos Corporativos"/>
    <m/>
    <m/>
    <m/>
    <m/>
    <b v="0"/>
    <b v="0"/>
    <m/>
    <b v="0"/>
    <m/>
    <b v="0"/>
    <m/>
    <b v="0"/>
    <m/>
    <s v="Instagram"/>
    <s v="CREATÓN"/>
    <d v="2026-09-09T00:00:00"/>
    <d v="1899-12-30T13:53:12"/>
    <s v=" 320 6461491"/>
    <s v="Calle 77, Monteria, Colombia"/>
    <s v="DP"/>
    <n v="62.7"/>
    <m/>
    <x v="38"/>
    <x v="0"/>
    <s v="OK"/>
    <x v="10"/>
    <x v="408"/>
    <x v="10"/>
    <x v="6"/>
    <x v="5"/>
  </r>
  <r>
    <x v="421"/>
    <x v="421"/>
    <s v="Cédula de ciudadanía"/>
    <x v="419"/>
    <s v="Mujer"/>
    <n v="20"/>
    <b v="1"/>
    <s v="ITAGUI"/>
    <s v="Medellín"/>
    <s v="Universidad EAFIT"/>
    <m/>
    <s v="Administración de Empresas"/>
    <m/>
    <b v="0"/>
    <b v="0"/>
    <s v="Básico"/>
    <s v="Intermedio"/>
    <s v="Marketing"/>
    <m/>
    <m/>
    <s v="Atracción de Talento y Marca Empleadora"/>
    <m/>
    <s v="Talento"/>
    <m/>
    <m/>
    <m/>
    <m/>
    <b v="0"/>
    <b v="0"/>
    <m/>
    <b v="0"/>
    <m/>
    <b v="0"/>
    <m/>
    <b v="0"/>
    <m/>
    <s v="Otros"/>
    <s v="CREATÓN"/>
    <d v="2026-09-03T00:00:00"/>
    <d v="1899-12-30T00:02:42"/>
    <s v=" 312 7794191"/>
    <s v="Calle 49 45-36, 055412 Itagüí, Colombia"/>
    <s v="DP"/>
    <n v="93.3"/>
    <s v="Santi"/>
    <x v="39"/>
    <x v="1"/>
    <s v="OK"/>
    <x v="3"/>
    <x v="409"/>
    <x v="9"/>
    <x v="6"/>
    <x v="5"/>
  </r>
  <r>
    <x v="422"/>
    <x v="422"/>
    <s v="Cédula de ciudadanía"/>
    <x v="420"/>
    <s v="Hombre"/>
    <n v="21"/>
    <b v="1"/>
    <s v="Cali"/>
    <s v="Medellín"/>
    <s v="Otra"/>
    <s v="Universidad Icesi"/>
    <s v="Administración de Empresas"/>
    <m/>
    <b v="0"/>
    <b v="0"/>
    <s v="Intermedio"/>
    <s v="Avanzado"/>
    <s v="Talento"/>
    <m/>
    <m/>
    <m/>
    <m/>
    <s v="Ventas"/>
    <m/>
    <m/>
    <s v="Compensación y Beneficios"/>
    <s v="Talento Ventas"/>
    <b v="0"/>
    <b v="0"/>
    <m/>
    <b v="0"/>
    <m/>
    <b v="0"/>
    <m/>
    <b v="0"/>
    <m/>
    <s v="Otros"/>
    <s v="CREATÓN"/>
    <d v="2026-09-12T00:00:00"/>
    <d v="1899-12-30T11:35:24"/>
    <s v=" 320 3089591"/>
    <s v="Calle 22A 121-223, 760031 Cali, Colombia"/>
    <s v="DP"/>
    <n v="85.7"/>
    <s v="Cata"/>
    <x v="39"/>
    <x v="2"/>
    <s v="OK "/>
    <x v="3"/>
    <x v="410"/>
    <x v="9"/>
    <x v="6"/>
    <x v="5"/>
  </r>
  <r>
    <x v="423"/>
    <x v="423"/>
    <s v="Cédula de ciudadanía"/>
    <x v="421"/>
    <s v="Hombre"/>
    <n v="22"/>
    <b v="1"/>
    <m/>
    <s v="Tocancipá"/>
    <s v="Universidad Militar Nueva Granada"/>
    <m/>
    <s v="Ingeniería Mecatrónica"/>
    <m/>
    <b v="0"/>
    <b v="0"/>
    <s v="Intermedio"/>
    <s v="Avanzado"/>
    <s v="Producción (Operaciones)"/>
    <m/>
    <m/>
    <m/>
    <m/>
    <s v="Tecnología"/>
    <m/>
    <m/>
    <m/>
    <m/>
    <b v="0"/>
    <b v="0"/>
    <m/>
    <b v="0"/>
    <m/>
    <b v="0"/>
    <m/>
    <b v="0"/>
    <m/>
    <s v="LinkedIn"/>
    <s v="CREATÓN"/>
    <d v="2026-08-22T00:00:00"/>
    <d v="1899-12-30T20:46:37"/>
    <s v=" 317 5981002"/>
    <s v="Calle 181B 16-12, 110141 Bogota, D.C., Colombia"/>
    <s v="DP"/>
    <n v="98.4"/>
    <s v="Cata"/>
    <x v="40"/>
    <x v="0"/>
    <s v="OK"/>
    <x v="25"/>
    <x v="411"/>
    <x v="11"/>
    <x v="7"/>
    <x v="2"/>
  </r>
  <r>
    <x v="424"/>
    <x v="424"/>
    <s v="Cédula de ciudadanía"/>
    <x v="422"/>
    <s v="Mujer"/>
    <n v="20"/>
    <b v="1"/>
    <s v="bogotá"/>
    <s v="Tocancipá"/>
    <s v="Otra"/>
    <s v="universidad de ciencias aplicadas y ambientales (U.D.C.A)"/>
    <s v="Química"/>
    <m/>
    <b v="1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Página Web Oficial"/>
    <s v="CREATÓN"/>
    <d v="2026-09-01T00:00:00"/>
    <d v="1899-12-30T16:20:24"/>
    <s v="312 5091792"/>
    <s v="Carrera 111B 142-54, 111141 Bogota, D.C., Colombia"/>
    <s v="DP"/>
    <n v="95.4"/>
    <s v="Santi"/>
    <x v="41"/>
    <x v="1"/>
    <s v="OK"/>
    <x v="26"/>
    <x v="412"/>
    <x v="11"/>
    <x v="7"/>
    <x v="2"/>
  </r>
  <r>
    <x v="425"/>
    <x v="425"/>
    <s v="Cédula de ciudadanía"/>
    <x v="423"/>
    <s v="Mujer"/>
    <n v="22"/>
    <b v="1"/>
    <m/>
    <s v="Tocancipá"/>
    <s v="Universidad Nacional de Colombia"/>
    <m/>
    <s v="Ingeniería Química"/>
    <m/>
    <b v="1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21T00:00:00"/>
    <d v="1899-12-30T13:10:12"/>
    <s v=" 324 3928424"/>
    <s v="Diagonal 4B, Zipaquirá, Colombia"/>
    <s v="DP"/>
    <n v="84.5"/>
    <s v="Santi"/>
    <x v="41"/>
    <x v="1"/>
    <s v="OK"/>
    <x v="28"/>
    <x v="413"/>
    <x v="11"/>
    <x v="7"/>
    <x v="2"/>
  </r>
  <r>
    <x v="426"/>
    <x v="426"/>
    <s v="Cédula de ciudadanía"/>
    <x v="424"/>
    <s v="Mujer"/>
    <n v="22"/>
    <b v="1"/>
    <m/>
    <s v="Tocancipá"/>
    <s v="Universidad de los Andes"/>
    <m/>
    <s v="Ingeniería Química"/>
    <m/>
    <b v="0"/>
    <b v="0"/>
    <s v="Avanzad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8-21T00:00:00"/>
    <d v="1899-12-30T09:57:06"/>
    <n v="3112717077"/>
    <s v="Bogota, D.C., Colombia"/>
    <s v="DP"/>
    <n v="92.7"/>
    <s v="Cata"/>
    <x v="41"/>
    <x v="1"/>
    <s v="OK"/>
    <x v="28"/>
    <x v="414"/>
    <x v="11"/>
    <x v="7"/>
    <x v="2"/>
  </r>
  <r>
    <x v="427"/>
    <x v="427"/>
    <s v="Cédula de ciudadanía"/>
    <x v="425"/>
    <s v="Mujer"/>
    <n v="22"/>
    <b v="1"/>
    <m/>
    <s v="Tocancipá"/>
    <s v="Universidad Nacional de Colombia"/>
    <m/>
    <s v="Ingeniería Química"/>
    <m/>
    <b v="0"/>
    <b v="0"/>
    <s v="Intermedio"/>
    <s v="Avanzad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LinkedIn"/>
    <s v="CREATÓN"/>
    <d v="2026-09-13T00:00:00"/>
    <d v="1899-12-30T13:33:42"/>
    <s v=" 310 3244082"/>
    <s v="Calle 159 54-70, 111156 Bogota, D.C., Colombia"/>
    <s v="DP"/>
    <n v="94.7"/>
    <s v="Cata"/>
    <x v="41"/>
    <x v="1"/>
    <s v="OK"/>
    <x v="28"/>
    <x v="415"/>
    <x v="11"/>
    <x v="7"/>
    <x v="2"/>
  </r>
  <r>
    <x v="428"/>
    <x v="428"/>
    <s v="Cédula de ciudadanía"/>
    <x v="426"/>
    <s v="Mujer"/>
    <n v="24"/>
    <b v="1"/>
    <s v="BOGOTA"/>
    <s v="Tocancipá"/>
    <s v="Universidad Militar Nueva Granada"/>
    <m/>
    <s v="Ingeniería Ambiental"/>
    <m/>
    <b v="1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LinkedIn"/>
    <s v="CREATÓN"/>
    <d v="2026-09-12T00:00:00"/>
    <d v="1899-12-30T12:37:04"/>
    <s v=" 310 6843734"/>
    <s v="Calle 166 8H-56, 110131 Bogota, D.C., Colombia"/>
    <s v="DP"/>
    <n v="71.8"/>
    <s v="Cata"/>
    <x v="41"/>
    <x v="1"/>
    <s v="OK "/>
    <x v="33"/>
    <x v="416"/>
    <x v="11"/>
    <x v="7"/>
    <x v="2"/>
  </r>
  <r>
    <x v="429"/>
    <x v="429"/>
    <s v="Cédula de ciudadanía"/>
    <x v="427"/>
    <s v="Mujer"/>
    <n v="23"/>
    <b v="1"/>
    <m/>
    <s v="Tocancipá"/>
    <s v="Universidad Nacional de Colombia"/>
    <m/>
    <s v="Ingeniería Química"/>
    <m/>
    <b v="1"/>
    <b v="0"/>
    <s v="Intermedio"/>
    <s v="Avanzado"/>
    <s v="Producción (Operaciones)"/>
    <m/>
    <m/>
    <m/>
    <m/>
    <s v="Asuntos Corporativos"/>
    <m/>
    <m/>
    <m/>
    <m/>
    <b v="0"/>
    <b v="0"/>
    <m/>
    <b v="0"/>
    <m/>
    <b v="0"/>
    <m/>
    <b v="0"/>
    <m/>
    <s v="Instagram"/>
    <s v="CREATÓN"/>
    <d v="2026-08-23T00:00:00"/>
    <d v="1899-12-30T18:39:09"/>
    <s v=" 304 4262137"/>
    <s v="Calle 16J 98-79, 110921 Bogota, D.C., Colombia"/>
    <s v="DP"/>
    <n v="97.5"/>
    <s v="Cata"/>
    <x v="41"/>
    <x v="1"/>
    <s v="OK "/>
    <x v="28"/>
    <x v="417"/>
    <x v="11"/>
    <x v="7"/>
    <x v="2"/>
  </r>
  <r>
    <x v="430"/>
    <x v="430"/>
    <s v="Cédula de ciudadanía"/>
    <x v="428"/>
    <s v="Mujer"/>
    <n v="23"/>
    <b v="1"/>
    <s v="Tocancipá cundinamarca"/>
    <s v="Tocancipá"/>
    <s v="Otra"/>
    <s v="Universidad de ciencias aplicadas y ambientales"/>
    <s v="Química"/>
    <m/>
    <b v="1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Página Web Oficial"/>
    <s v="CREATÓN"/>
    <d v="2026-09-02T00:00:00"/>
    <d v="1899-12-30T22:14:10"/>
    <s v="316 3164613"/>
    <s v="Carrera 5 O-53, 251010 Tocancipá, Colombia"/>
    <s v="DP"/>
    <n v="91.5"/>
    <s v="Cata"/>
    <x v="41"/>
    <x v="1"/>
    <s v="OK "/>
    <x v="26"/>
    <x v="418"/>
    <x v="11"/>
    <x v="7"/>
    <x v="2"/>
  </r>
  <r>
    <x v="431"/>
    <x v="431"/>
    <s v="Cédula de ciudadanía"/>
    <x v="429"/>
    <s v="Hombre"/>
    <n v="21"/>
    <b v="1"/>
    <s v="Dosquebradas"/>
    <s v="Tocancipá"/>
    <s v="Universidad Tecnológica de Pereira"/>
    <m/>
    <s v="Otra"/>
    <s v="Ingeniería de manufactura"/>
    <b v="0"/>
    <b v="0"/>
    <s v="Intermedio"/>
    <s v="Básic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Otros"/>
    <s v="CREATÓN"/>
    <d v="2026-08-25T00:00:00"/>
    <d v="1899-12-30T16:32:07"/>
    <s v=" 301 6260541"/>
    <s v="Carrera 17 8-46, 661001 Dosquebradas, Colombia"/>
    <s v="DP"/>
    <n v="80.900000000000006"/>
    <s v="Cata"/>
    <x v="41"/>
    <x v="1"/>
    <s v="OK"/>
    <x v="50"/>
    <x v="419"/>
    <x v="11"/>
    <x v="7"/>
    <x v="2"/>
  </r>
  <r>
    <x v="432"/>
    <x v="432"/>
    <s v="Cédula de ciudadanía"/>
    <x v="430"/>
    <s v="Mujer"/>
    <n v="21"/>
    <b v="1"/>
    <s v="BUCARAMANGA"/>
    <s v="Tocancipá"/>
    <s v="Universidad Industrial de Santander"/>
    <m/>
    <s v="Ingeniería Química"/>
    <m/>
    <b v="0"/>
    <b v="0"/>
    <s v="Básico"/>
    <s v="Básic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8-24T00:00:00"/>
    <d v="1899-12-30T07:17:04"/>
    <s v=" 317 4197224"/>
    <s v="Calle 9A 25-34, 680002 Bucaramanga, Colombia"/>
    <s v="DP"/>
    <n v="93.2"/>
    <s v="Cata"/>
    <x v="40"/>
    <x v="1"/>
    <s v="OK"/>
    <x v="28"/>
    <x v="420"/>
    <x v="11"/>
    <x v="7"/>
    <x v="2"/>
  </r>
  <r>
    <x v="433"/>
    <x v="433"/>
    <s v="Cédula de ciudadanía"/>
    <x v="431"/>
    <s v="Mujer"/>
    <n v="21"/>
    <b v="1"/>
    <s v="COGUA"/>
    <s v="Tocancipá"/>
    <s v="Universidad Militar Nueva Granada"/>
    <m/>
    <s v="Ingeniería Industrial"/>
    <m/>
    <b v="1"/>
    <b v="0"/>
    <s v="Avanzado"/>
    <s v="Avanzado"/>
    <s v="Producción (Operaciones)"/>
    <m/>
    <m/>
    <m/>
    <m/>
    <s v="Compras"/>
    <m/>
    <m/>
    <m/>
    <m/>
    <b v="0"/>
    <b v="0"/>
    <m/>
    <b v="0"/>
    <m/>
    <b v="0"/>
    <m/>
    <b v="0"/>
    <m/>
    <s v="Otros"/>
    <s v="CREATÓN"/>
    <d v="2026-09-13T00:00:00"/>
    <d v="1899-12-30T20:35:03"/>
    <n v="3104776612"/>
    <s v="Vereda Rodamontal, Cogua, Colombia"/>
    <s v="DP"/>
    <n v="77.7"/>
    <s v="Cata"/>
    <x v="40"/>
    <x v="1"/>
    <s v="OK"/>
    <x v="10"/>
    <x v="421"/>
    <x v="11"/>
    <x v="7"/>
    <x v="2"/>
  </r>
  <r>
    <x v="434"/>
    <x v="434"/>
    <s v="Cédula de ciudadanía"/>
    <x v="432"/>
    <s v="Mujer"/>
    <n v="21"/>
    <b v="1"/>
    <s v="Cajica"/>
    <s v="Tocancipá"/>
    <s v="Universidad Militar Nueva Granada"/>
    <m/>
    <s v="Ingeniería Mecatrónica"/>
    <m/>
    <b v="1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1"/>
    <m/>
    <b v="0"/>
    <m/>
    <s v="LinkedIn"/>
    <s v="CREATÓN"/>
    <d v="2026-09-12T00:00:00"/>
    <d v="1899-12-30T15:33:08"/>
    <s v=" 300 4381621"/>
    <s v="Carrera 2 Este 1A-27, 250240 Cajicá, Colombia"/>
    <s v="DP"/>
    <n v="73.8"/>
    <s v="Cata"/>
    <x v="40"/>
    <x v="1"/>
    <s v="OK"/>
    <x v="25"/>
    <x v="422"/>
    <x v="11"/>
    <x v="7"/>
    <x v="2"/>
  </r>
  <r>
    <x v="435"/>
    <x v="435"/>
    <s v="Cédula de ciudadanía"/>
    <x v="433"/>
    <s v="Hombre"/>
    <n v="21"/>
    <b v="1"/>
    <s v="Bogota"/>
    <s v="Tocancipá"/>
    <s v="Otra"/>
    <s v="universidad ean"/>
    <s v="Otra"/>
    <s v="ingenieria mecatronica"/>
    <b v="0"/>
    <b v="0"/>
    <s v="Intermedio"/>
    <s v="Avanzad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CREATÓN"/>
    <d v="2026-08-31T00:00:00"/>
    <d v="1899-12-30T22:09:06"/>
    <s v=" 315 6904793"/>
    <s v="Carrera 17 51-90, 111311 Bogota, D.C., Colombia"/>
    <s v="DP"/>
    <n v="77.5"/>
    <s v="Cata"/>
    <x v="40"/>
    <x v="1"/>
    <s v="OK"/>
    <x v="51"/>
    <x v="423"/>
    <x v="11"/>
    <x v="7"/>
    <x v="2"/>
  </r>
  <r>
    <x v="436"/>
    <x v="436"/>
    <s v="Cédula de ciudadanía"/>
    <x v="434"/>
    <s v="Mujer"/>
    <n v="22"/>
    <b v="1"/>
    <s v="Bogotá"/>
    <s v="Tocancipá"/>
    <s v="Universidad Nacional de Colombia"/>
    <m/>
    <s v="Ingeniería Química"/>
    <m/>
    <b v="0"/>
    <b v="0"/>
    <s v="Básic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8-28T00:00:00"/>
    <d v="1899-12-30T14:37:04"/>
    <s v=" 319 6517955"/>
    <s v="Carrera 10B 49F S-48, 111831 Bogota, D.C., Colombia"/>
    <s v="DP"/>
    <n v="88.6"/>
    <s v="Cata"/>
    <x v="42"/>
    <x v="1"/>
    <s v="OK"/>
    <x v="28"/>
    <x v="424"/>
    <x v="11"/>
    <x v="7"/>
    <x v="2"/>
  </r>
  <r>
    <x v="437"/>
    <x v="437"/>
    <s v="Cédula de ciudadanía"/>
    <x v="435"/>
    <s v="Hombre"/>
    <n v="18"/>
    <b v="1"/>
    <m/>
    <s v="Tocancipá"/>
    <s v="Escuela Colombiana de Ingeniería Julio Garavito"/>
    <m/>
    <s v="Ingeniería Mecánica"/>
    <m/>
    <b v="0"/>
    <b v="0"/>
    <s v="Avanzad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Otros"/>
    <s v="CREATÓN"/>
    <d v="2026-08-22T00:00:00"/>
    <d v="1899-12-30T10:13:10"/>
    <n v="3112427382"/>
    <s v="Vía Cota-Chía, Cota, Colombia"/>
    <s v="DP"/>
    <n v="88.8"/>
    <s v="Cata"/>
    <x v="42"/>
    <x v="1"/>
    <s v="OK"/>
    <x v="29"/>
    <x v="425"/>
    <x v="11"/>
    <x v="7"/>
    <x v="2"/>
  </r>
  <r>
    <x v="438"/>
    <x v="438"/>
    <s v="Cédula de ciudadanía"/>
    <x v="436"/>
    <s v="Hombre"/>
    <n v="21"/>
    <b v="1"/>
    <s v="ZIPAQUIRA"/>
    <s v="Tocancipá"/>
    <s v="Escuela Colombiana de Ingeniería Julio Garavito"/>
    <m/>
    <s v="Ingeniería Eléctrica"/>
    <m/>
    <b v="1"/>
    <b v="0"/>
    <s v="Intermedi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8-25T00:00:00"/>
    <d v="1899-12-30T18:19:10"/>
    <s v=" 310 2167568"/>
    <s v="Calle 24 17-64, 250251 Zipaquirá, Colombia"/>
    <s v="DP"/>
    <n v="75.900000000000006"/>
    <s v="Cata"/>
    <x v="42"/>
    <x v="1"/>
    <s v="OK"/>
    <x v="45"/>
    <x v="426"/>
    <x v="11"/>
    <x v="7"/>
    <x v="2"/>
  </r>
  <r>
    <x v="439"/>
    <x v="439"/>
    <s v="Cédula de ciudadanía"/>
    <x v="437"/>
    <s v="Hombre"/>
    <n v="23"/>
    <b v="1"/>
    <m/>
    <s v="Tocancipá"/>
    <s v="Universidad Militar Nueva Granada"/>
    <m/>
    <s v="Ingeniería Mecatrónica"/>
    <m/>
    <b v="0"/>
    <b v="0"/>
    <s v="Intermedio"/>
    <s v="Intermedio"/>
    <s v="Producción (Operaciones)"/>
    <m/>
    <m/>
    <m/>
    <m/>
    <s v="Tecnología"/>
    <m/>
    <m/>
    <m/>
    <m/>
    <b v="0"/>
    <b v="0"/>
    <m/>
    <b v="0"/>
    <m/>
    <b v="0"/>
    <m/>
    <b v="0"/>
    <m/>
    <s v="Instagram"/>
    <s v="CREATÓN"/>
    <d v="2026-09-10T00:00:00"/>
    <d v="1899-12-30T15:10:44"/>
    <s v=" 313 3207767"/>
    <s v="Siberia, Cota, Colombia"/>
    <s v="DP"/>
    <n v="94.1"/>
    <s v="Cata"/>
    <x v="42"/>
    <x v="1"/>
    <s v="OK"/>
    <x v="25"/>
    <x v="427"/>
    <x v="11"/>
    <x v="7"/>
    <x v="2"/>
  </r>
  <r>
    <x v="440"/>
    <x v="440"/>
    <s v="Cédula de ciudadanía"/>
    <x v="438"/>
    <s v="Mujer"/>
    <n v="21"/>
    <b v="1"/>
    <s v="Bogota"/>
    <s v="Tocancipá"/>
    <s v="Universidad Militar Nueva Granada"/>
    <m/>
    <s v="Ingeniería Mecatrónica"/>
    <m/>
    <b v="0"/>
    <b v="0"/>
    <s v="Intermedio"/>
    <s v="Intermedio"/>
    <s v="Producción (Operaciones)"/>
    <m/>
    <m/>
    <m/>
    <m/>
    <s v="Tecnología"/>
    <m/>
    <m/>
    <m/>
    <m/>
    <b v="0"/>
    <b v="0"/>
    <m/>
    <b v="0"/>
    <m/>
    <b v="0"/>
    <m/>
    <b v="0"/>
    <m/>
    <s v="LinkedIn"/>
    <s v="CREATÓN"/>
    <d v="2026-08-25T00:00:00"/>
    <d v="1899-12-30T09:50:09"/>
    <n v="3156386690"/>
    <s v="Carrera 69D 1 S-51, 110831 Bogota, D.C., Colombia"/>
    <s v="DP"/>
    <n v="94.4"/>
    <s v="Santi"/>
    <x v="42"/>
    <x v="1"/>
    <s v="OK"/>
    <x v="25"/>
    <x v="428"/>
    <x v="11"/>
    <x v="7"/>
    <x v="2"/>
  </r>
  <r>
    <x v="441"/>
    <x v="441"/>
    <s v="Cédula de ciudadanía"/>
    <x v="439"/>
    <s v="Hombre"/>
    <n v="21"/>
    <b v="1"/>
    <s v="Ubate cundinamarca"/>
    <s v="Tocancipá"/>
    <s v="Otra"/>
    <s v="Corporación internacional para el Desarrollo Educativo"/>
    <s v="Ingeniería Eléctrica"/>
    <m/>
    <b v="1"/>
    <b v="0"/>
    <s v="Básico"/>
    <s v="Básic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2T00:00:00"/>
    <d v="1899-12-30T14:29:02"/>
    <n v="3192705164"/>
    <s v="Ubate, Villa de San Diego de Ubate, Colombia"/>
    <s v="DP"/>
    <n v="75"/>
    <s v="Cata"/>
    <x v="43"/>
    <x v="1"/>
    <s v="OK "/>
    <x v="45"/>
    <x v="429"/>
    <x v="12"/>
    <x v="7"/>
    <x v="2"/>
  </r>
  <r>
    <x v="442"/>
    <x v="442"/>
    <s v="Cédula de ciudadanía"/>
    <x v="440"/>
    <s v="Mujer"/>
    <n v="20"/>
    <b v="1"/>
    <s v="ZIPAQUIRA"/>
    <s v="Tocancipá"/>
    <s v="Escuela Colombiana de Ingeniería Julio Garavito"/>
    <m/>
    <s v="Ingeniería Industrial"/>
    <m/>
    <b v="1"/>
    <b v="0"/>
    <s v="Intermedio"/>
    <s v="Intermedio"/>
    <s v="Logística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1T00:00:00"/>
    <d v="1899-12-30T14:48:03"/>
    <n v="3143606567"/>
    <s v="Calle 2 8-98, 250252 Zipaquirá, Colombia"/>
    <s v="DP"/>
    <n v="97"/>
    <s v="Cata"/>
    <x v="43"/>
    <x v="1"/>
    <s v="OK "/>
    <x v="10"/>
    <x v="430"/>
    <x v="12"/>
    <x v="7"/>
    <x v="2"/>
  </r>
  <r>
    <x v="443"/>
    <x v="443"/>
    <s v="Cédula de ciudadanía"/>
    <x v="441"/>
    <s v="Hombre"/>
    <n v="21"/>
    <b v="1"/>
    <s v="Zipaquirá"/>
    <s v="Tocancipá"/>
    <s v="Escuela Colombiana de Ingeniería Julio Garavito"/>
    <m/>
    <s v="Ingeniería Industrial"/>
    <m/>
    <b v="1"/>
    <b v="0"/>
    <s v="Básico"/>
    <s v="Básico"/>
    <s v="Producción (Operaciones)"/>
    <m/>
    <m/>
    <m/>
    <m/>
    <s v="Compras"/>
    <m/>
    <m/>
    <m/>
    <m/>
    <b v="0"/>
    <b v="0"/>
    <m/>
    <b v="0"/>
    <m/>
    <b v="0"/>
    <m/>
    <b v="0"/>
    <m/>
    <s v="Medios Tradicionales"/>
    <s v="CREATÓN"/>
    <d v="2026-08-31T00:00:00"/>
    <d v="1899-12-30T22:09:06"/>
    <s v=" 314 4777000"/>
    <s v="Calle 24A 14A-26, 250251 Zipaquirá, Colombia"/>
    <s v="DP"/>
    <n v="86"/>
    <s v="Cata"/>
    <x v="44"/>
    <x v="1"/>
    <s v="OK"/>
    <x v="10"/>
    <x v="431"/>
    <x v="11"/>
    <x v="7"/>
    <x v="2"/>
  </r>
  <r>
    <x v="444"/>
    <x v="444"/>
    <s v="Cédula de ciudadanía"/>
    <x v="442"/>
    <s v="Mujer"/>
    <n v="26"/>
    <b v="1"/>
    <m/>
    <s v="Tocancipá"/>
    <s v="Universidad Externado de Colombia"/>
    <m/>
    <s v="Administración de Empresas"/>
    <m/>
    <b v="0"/>
    <b v="0"/>
    <s v="Intermedio"/>
    <s v="Intermedio"/>
    <s v="Compras"/>
    <m/>
    <m/>
    <m/>
    <m/>
    <s v="Marketing"/>
    <m/>
    <m/>
    <m/>
    <m/>
    <b v="0"/>
    <b v="0"/>
    <m/>
    <b v="0"/>
    <m/>
    <b v="0"/>
    <m/>
    <b v="0"/>
    <m/>
    <s v="LinkedIn"/>
    <s v="CREATÓN"/>
    <d v="2026-08-22T00:00:00"/>
    <d v="1899-12-30T10:13:10"/>
    <s v=" 316 8290681"/>
    <s v="Calle 3 Sur 5A-30, 250001 Chía, Colombia"/>
    <s v="DP"/>
    <n v="88.5"/>
    <s v="Cata"/>
    <x v="44"/>
    <x v="1"/>
    <s v="OK"/>
    <x v="3"/>
    <x v="432"/>
    <x v="11"/>
    <x v="7"/>
    <x v="2"/>
  </r>
  <r>
    <x v="445"/>
    <x v="445"/>
    <s v="Cédula de ciudadanía"/>
    <x v="443"/>
    <s v="Mujer"/>
    <n v="21"/>
    <b v="1"/>
    <s v="COGUA, CUNDINAMARCA"/>
    <s v="Tocancipá"/>
    <s v="Universidad Militar Nueva Granada"/>
    <m/>
    <s v="Contaduría Pública"/>
    <m/>
    <b v="0"/>
    <b v="0"/>
    <s v="Básico"/>
    <s v="Intermedio"/>
    <s v="Finanzas"/>
    <m/>
    <m/>
    <s v="Área financiera"/>
    <m/>
    <s v="Talento"/>
    <m/>
    <s v="Finanzas Impuestos"/>
    <m/>
    <m/>
    <b v="0"/>
    <b v="0"/>
    <m/>
    <b v="0"/>
    <m/>
    <b v="0"/>
    <m/>
    <b v="0"/>
    <m/>
    <s v="Instagram"/>
    <s v="CREATÓN"/>
    <d v="2026-09-03T00:00:00"/>
    <d v="1899-12-30T09:49:07"/>
    <s v=" 320 9550447"/>
    <s v="Cogua, Colombia"/>
    <s v="DP"/>
    <n v="92.3"/>
    <s v="Santi"/>
    <x v="44"/>
    <x v="1"/>
    <s v="OK"/>
    <x v="21"/>
    <x v="433"/>
    <x v="11"/>
    <x v="7"/>
    <x v="2"/>
  </r>
  <r>
    <x v="446"/>
    <x v="446"/>
    <s v="Cédula de ciudadanía"/>
    <x v="444"/>
    <s v="Mujer"/>
    <n v="18"/>
    <b v="1"/>
    <s v="Tocancipá, Cundinamarca"/>
    <s v="Tocancipá"/>
    <s v="Politécnico Grancolombiano"/>
    <m/>
    <s v="Marketing / Mercadeo"/>
    <m/>
    <b v="1"/>
    <b v="0"/>
    <s v="Avanzado"/>
    <s v="Avanzado"/>
    <s v="Marketing"/>
    <m/>
    <m/>
    <m/>
    <m/>
    <s v="Comunicaciones"/>
    <m/>
    <m/>
    <m/>
    <m/>
    <b v="0"/>
    <b v="0"/>
    <m/>
    <b v="0"/>
    <m/>
    <b v="0"/>
    <m/>
    <b v="0"/>
    <m/>
    <s v="Instagram"/>
    <s v="CREATÓN"/>
    <d v="2026-08-31T00:00:00"/>
    <d v="1899-12-30T08:53:09"/>
    <n v="3013304652"/>
    <s v="Calle 6A-35, 251010 Tocancipá, Colombia"/>
    <s v="DP"/>
    <n v="79.5"/>
    <s v="Cata"/>
    <x v="44"/>
    <x v="1"/>
    <s v="OK"/>
    <x v="4"/>
    <x v="434"/>
    <x v="11"/>
    <x v="7"/>
    <x v="2"/>
  </r>
  <r>
    <x v="447"/>
    <x v="447"/>
    <s v="Cédula de ciudadanía"/>
    <x v="445"/>
    <s v="Mujer"/>
    <n v="21"/>
    <b v="1"/>
    <s v="Briceño"/>
    <s v="Tocancipá"/>
    <s v="Universidad de La Sabana"/>
    <m/>
    <s v="Otra"/>
    <s v="Comunicación audiovisual y multimedios"/>
    <b v="0"/>
    <b v="0"/>
    <s v="Intermedio"/>
    <s v="Intermedio"/>
    <s v="Marketing"/>
    <m/>
    <m/>
    <m/>
    <m/>
    <s v="Comunicaciones"/>
    <m/>
    <m/>
    <m/>
    <m/>
    <b v="0"/>
    <b v="0"/>
    <m/>
    <b v="0"/>
    <m/>
    <b v="0"/>
    <m/>
    <b v="0"/>
    <m/>
    <s v="LinkedIn"/>
    <s v="CREATÓN"/>
    <d v="2026-09-02T00:00:00"/>
    <d v="1899-12-30T06:28:09"/>
    <s v="312 5370247"/>
    <s v="Zipaquirá, Colombia"/>
    <s v="DP"/>
    <n v="95.4"/>
    <s v="Cata"/>
    <x v="44"/>
    <x v="1"/>
    <s v="OK"/>
    <x v="52"/>
    <x v="435"/>
    <x v="11"/>
    <x v="7"/>
    <x v="2"/>
  </r>
  <r>
    <x v="448"/>
    <x v="448"/>
    <s v="Cédula de ciudadanía"/>
    <x v="446"/>
    <s v="Mujer"/>
    <n v="20"/>
    <b v="1"/>
    <m/>
    <s v="Tocancipá"/>
    <s v="Universidad Santo Tomás"/>
    <m/>
    <s v="Negocios Internacionales"/>
    <m/>
    <b v="0"/>
    <b v="0"/>
    <s v="Intermedio"/>
    <s v="Avanzado"/>
    <s v="Logística"/>
    <m/>
    <m/>
    <m/>
    <m/>
    <s v="Producción (Operaciones)"/>
    <s v="Calidad"/>
    <m/>
    <m/>
    <m/>
    <b v="0"/>
    <b v="0"/>
    <m/>
    <b v="0"/>
    <m/>
    <b v="0"/>
    <m/>
    <b v="0"/>
    <m/>
    <s v="Medios Tradicionales"/>
    <s v="CREATÓN"/>
    <d v="2026-08-21T00:00:00"/>
    <d v="1899-12-30T13:10:12"/>
    <s v=" 317 5933601"/>
    <s v="Calle 22 7-20, 150001 Tunja, Colombia"/>
    <s v="DP"/>
    <n v="95.2"/>
    <s v="Cata"/>
    <x v="40"/>
    <x v="1"/>
    <s v="OK"/>
    <x v="5"/>
    <x v="436"/>
    <x v="11"/>
    <x v="7"/>
    <x v="2"/>
  </r>
  <r>
    <x v="449"/>
    <x v="449"/>
    <s v="Cédula de ciudadanía"/>
    <x v="447"/>
    <s v="Hombre"/>
    <n v="23"/>
    <b v="1"/>
    <s v="Cota"/>
    <s v="Tocancipá"/>
    <s v="Universidad Militar Nueva Granada"/>
    <m/>
    <s v="Ingeniería Ambiental"/>
    <m/>
    <b v="0"/>
    <b v="0"/>
    <s v="Intermedio"/>
    <s v="Intermedio"/>
    <s v="Producción (Operaciones)"/>
    <m/>
    <m/>
    <m/>
    <m/>
    <s v="Tecnología"/>
    <m/>
    <m/>
    <m/>
    <m/>
    <b v="0"/>
    <b v="0"/>
    <m/>
    <b v="0"/>
    <m/>
    <b v="0"/>
    <m/>
    <b v="0"/>
    <m/>
    <s v="LinkedIn"/>
    <s v="CREATÓN"/>
    <d v="2026-09-12T00:00:00"/>
    <d v="1899-12-30T13:02:11"/>
    <n v="3147560352"/>
    <s v="Carrera 3, Cota, Colombia"/>
    <s v="DP"/>
    <n v="77.900000000000006"/>
    <s v="Cata"/>
    <x v="40"/>
    <x v="1"/>
    <s v="OK"/>
    <x v="33"/>
    <x v="437"/>
    <x v="11"/>
    <x v="7"/>
    <x v="2"/>
  </r>
  <r>
    <x v="450"/>
    <x v="450"/>
    <s v="Cédula de ciudadanía"/>
    <x v="448"/>
    <s v="Mujer"/>
    <n v="22"/>
    <b v="1"/>
    <m/>
    <s v="Tocancipá"/>
    <s v="Universidad Nacional de Colombia"/>
    <m/>
    <s v="Ingeniería Química"/>
    <m/>
    <b v="0"/>
    <b v="0"/>
    <s v="Intermedio"/>
    <s v="Avanzad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CREATÓN"/>
    <d v="2026-09-12T00:00:00"/>
    <d v="1899-12-30T15:58:03"/>
    <s v=" 313 4821880"/>
    <s v="Calle 19 Sur 69-55, 110831 Bogota, D.C., Colombia"/>
    <s v="DP"/>
    <n v="73.5"/>
    <s v="Cata"/>
    <x v="42"/>
    <x v="1"/>
    <s v="OK"/>
    <x v="28"/>
    <x v="438"/>
    <x v="11"/>
    <x v="7"/>
    <x v="2"/>
  </r>
  <r>
    <x v="451"/>
    <x v="451"/>
    <s v="Cédula de ciudadanía"/>
    <x v="449"/>
    <s v="Hombre"/>
    <n v="20"/>
    <b v="1"/>
    <s v="Zipaquirá"/>
    <s v="Tocancipá"/>
    <s v="Escuela Colombiana de Ingeniería Julio Garavito"/>
    <m/>
    <s v="Ingeniería Mecánica"/>
    <m/>
    <b v="0"/>
    <b v="0"/>
    <s v="Básico"/>
    <s v="Intermedio"/>
    <s v="Producción (Operaciones)"/>
    <m/>
    <m/>
    <m/>
    <m/>
    <s v="Producción (Operaciones)"/>
    <s v="Envase"/>
    <m/>
    <m/>
    <m/>
    <b v="0"/>
    <b v="0"/>
    <m/>
    <b v="0"/>
    <m/>
    <b v="0"/>
    <m/>
    <b v="0"/>
    <m/>
    <s v="Instagram"/>
    <s v="CREATÓN"/>
    <d v="2026-09-13T00:00:00"/>
    <d v="1899-12-30T12:13:24"/>
    <n v="3132579156"/>
    <s v="Transversal 7 22-29, 250251 Zipaquirá, Colombia"/>
    <s v="DP"/>
    <n v="73.8"/>
    <s v="Cata"/>
    <x v="42"/>
    <x v="1"/>
    <s v="OK"/>
    <x v="29"/>
    <x v="439"/>
    <x v="11"/>
    <x v="7"/>
    <x v="2"/>
  </r>
  <r>
    <x v="452"/>
    <x v="452"/>
    <s v="Cédula de ciudadanía"/>
    <x v="450"/>
    <s v="Mujer"/>
    <n v="20"/>
    <b v="1"/>
    <s v="DUITAMA"/>
    <s v="Tocancipá"/>
    <s v="Universidad Santo Tomás"/>
    <m/>
    <s v="Ingeniería Industrial"/>
    <m/>
    <b v="1"/>
    <b v="0"/>
    <s v="Intermedio"/>
    <s v="Intermedio"/>
    <s v="Talento"/>
    <m/>
    <m/>
    <m/>
    <m/>
    <s v="Producción (Operaciones)"/>
    <s v="Calidad"/>
    <m/>
    <s v="Compensación y Beneficios"/>
    <m/>
    <b v="0"/>
    <b v="0"/>
    <m/>
    <b v="0"/>
    <m/>
    <b v="0"/>
    <m/>
    <b v="0"/>
    <m/>
    <s v="Instagram"/>
    <s v="CREATÓN"/>
    <d v="2026-08-31T00:00:00"/>
    <d v="1899-12-30T10:56:15"/>
    <n v="3209135713"/>
    <s v="Calle 22 39-14, 150462 Duitama, Colombia"/>
    <s v="DP"/>
    <n v="84.5"/>
    <s v="Cata"/>
    <x v="43"/>
    <x v="1"/>
    <s v="OK "/>
    <x v="10"/>
    <x v="440"/>
    <x v="12"/>
    <x v="7"/>
    <x v="2"/>
  </r>
  <r>
    <x v="453"/>
    <x v="453"/>
    <s v="Cédula de ciudadanía"/>
    <x v="451"/>
    <s v="Mujer"/>
    <n v="23"/>
    <b v="1"/>
    <s v="Cucuta"/>
    <s v="Tocancipá"/>
    <s v="Universidad Francisco de Paula Santander"/>
    <m/>
    <s v="Ingeniería Industrial"/>
    <m/>
    <b v="0"/>
    <b v="0"/>
    <s v="Intermedio"/>
    <s v="Avanzado"/>
    <s v="Producción (Operaciones)"/>
    <m/>
    <m/>
    <s v="Support"/>
    <m/>
    <s v="Talento"/>
    <m/>
    <m/>
    <m/>
    <m/>
    <b v="0"/>
    <b v="0"/>
    <m/>
    <b v="0"/>
    <m/>
    <b v="0"/>
    <m/>
    <b v="0"/>
    <m/>
    <s v="Página Web Oficial"/>
    <s v="CREATÓN"/>
    <d v="2026-09-12T00:00:00"/>
    <d v="1899-12-30T11:33:06"/>
    <n v="3102549573"/>
    <s v="Avenida 11 0-37, 540003 Cucuta, Colombia"/>
    <s v="DP"/>
    <n v="88.9"/>
    <s v="Cata"/>
    <x v="44"/>
    <x v="1"/>
    <s v="OK"/>
    <x v="10"/>
    <x v="441"/>
    <x v="11"/>
    <x v="7"/>
    <x v="2"/>
  </r>
  <r>
    <x v="454"/>
    <x v="454"/>
    <s v="Cédula de ciudadanía"/>
    <x v="452"/>
    <s v="Mujer"/>
    <n v="21"/>
    <b v="1"/>
    <s v="BUCARAMANGA"/>
    <s v="Tocancipá"/>
    <s v="Universidad Industrial de Santander"/>
    <m/>
    <s v="Ingeniería Química"/>
    <m/>
    <b v="0"/>
    <b v="0"/>
    <s v="Intermedio"/>
    <s v="Avanzado"/>
    <s v="Producción (Operaciones)"/>
    <m/>
    <m/>
    <m/>
    <m/>
    <s v="Logística"/>
    <m/>
    <m/>
    <m/>
    <m/>
    <b v="0"/>
    <b v="0"/>
    <m/>
    <b v="0"/>
    <m/>
    <b v="1"/>
    <m/>
    <b v="0"/>
    <m/>
    <s v="Instagram"/>
    <s v="CREATÓN"/>
    <d v="2026-09-13T00:00:00"/>
    <d v="1899-12-30T11:41:35"/>
    <s v=" 315 6794059"/>
    <s v="Calle 103 23-28, 680004 Bucaramanga, Colombia"/>
    <s v="DP"/>
    <n v="92"/>
    <s v="Cata"/>
    <x v="41"/>
    <x v="1"/>
    <s v="OK "/>
    <x v="28"/>
    <x v="442"/>
    <x v="11"/>
    <x v="7"/>
    <x v="2"/>
  </r>
  <r>
    <x v="455"/>
    <x v="455"/>
    <s v="Cédula de ciudadanía"/>
    <x v="453"/>
    <s v="Mujer"/>
    <n v="21"/>
    <b v="1"/>
    <m/>
    <s v="Tocancipá"/>
    <s v="Pontificia Universidad Javeriana"/>
    <m/>
    <s v="Microbiología"/>
    <m/>
    <b v="0"/>
    <b v="0"/>
    <s v="Avanzado"/>
    <s v="Intermedio"/>
    <s v="Producción (Operaciones)"/>
    <m/>
    <m/>
    <m/>
    <m/>
    <s v="Producción (Operaciones)"/>
    <s v="Ingeniería y Servicios"/>
    <m/>
    <m/>
    <m/>
    <b v="0"/>
    <b v="1"/>
    <m/>
    <b v="0"/>
    <m/>
    <b v="0"/>
    <s v="Abuelo - José Eduardo Medina Macias"/>
    <b v="0"/>
    <m/>
    <s v="Instagram"/>
    <s v="CREATÓN"/>
    <d v="2026-09-13T00:00:00"/>
    <d v="1899-12-30T09:05:07"/>
    <s v=" 310 5968649"/>
    <s v="Calle 13 2C-55, 250020 Funza, Colombia"/>
    <s v="DP"/>
    <n v="70.900000000000006"/>
    <s v="Cata"/>
    <x v="41"/>
    <x v="2"/>
    <s v="OK "/>
    <x v="39"/>
    <x v="443"/>
    <x v="11"/>
    <x v="7"/>
    <x v="2"/>
  </r>
  <r>
    <x v="456"/>
    <x v="456"/>
    <s v="Cédula de ciudadanía"/>
    <x v="454"/>
    <s v="Mujer"/>
    <n v="21"/>
    <b v="1"/>
    <m/>
    <s v="Tocancipá"/>
    <s v="Universidad de los Andes"/>
    <m/>
    <s v="Ingeniería Química"/>
    <m/>
    <b v="0"/>
    <b v="0"/>
    <s v="Intermedi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LinkedIn"/>
    <s v="CREATÓN"/>
    <d v="2026-08-21T00:00:00"/>
    <d v="1899-12-30T09:57:09"/>
    <s v=" 312 4693211"/>
    <s v="250227 Subachoque, Colombia"/>
    <s v="DP"/>
    <n v="95.2"/>
    <s v="Cata"/>
    <x v="40"/>
    <x v="0"/>
    <s v="OK"/>
    <x v="28"/>
    <x v="444"/>
    <x v="11"/>
    <x v="7"/>
    <x v="2"/>
  </r>
  <r>
    <x v="457"/>
    <x v="457"/>
    <s v="Cédula de ciudadanía"/>
    <x v="455"/>
    <s v="Mujer"/>
    <n v="21"/>
    <b v="1"/>
    <s v="TABIO"/>
    <s v="Tocancipá"/>
    <s v="Universidad de La Sabana"/>
    <m/>
    <s v="Ingeniería Química"/>
    <m/>
    <b v="0"/>
    <b v="0"/>
    <s v="Avanzado"/>
    <s v="Avanzad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9-13T00:00:00"/>
    <d v="1899-12-30T12:48:08"/>
    <n v="3046547913"/>
    <s v="Tabio, Colombia"/>
    <s v="DP"/>
    <n v="76.900000000000006"/>
    <s v="Cata"/>
    <x v="40"/>
    <x v="1"/>
    <s v="OK"/>
    <x v="28"/>
    <x v="445"/>
    <x v="11"/>
    <x v="7"/>
    <x v="2"/>
  </r>
  <r>
    <x v="458"/>
    <x v="458"/>
    <s v="Cédula de ciudadanía"/>
    <x v="456"/>
    <s v="Mujer"/>
    <n v="22"/>
    <b v="1"/>
    <s v="BOGOTÁ"/>
    <s v="Tocancipá"/>
    <s v="Otra"/>
    <s v="Fundación Universitaria Agraria de Colombia"/>
    <s v="Ingeniería de Alimentos"/>
    <m/>
    <b v="1"/>
    <b v="0"/>
    <s v="Intermedio"/>
    <s v="Avanzado"/>
    <s v="Producción (Operaciones)"/>
    <m/>
    <m/>
    <m/>
    <m/>
    <s v="Logística"/>
    <m/>
    <m/>
    <m/>
    <m/>
    <b v="0"/>
    <b v="0"/>
    <m/>
    <b v="0"/>
    <m/>
    <b v="0"/>
    <m/>
    <b v="0"/>
    <m/>
    <s v="Instagram"/>
    <s v="CREATÓN"/>
    <d v="2026-09-13T00:00:00"/>
    <d v="1899-12-30T03:00:38"/>
    <s v=" 322 3851073"/>
    <s v="Calle 74A 78-10, 111051 Bogota, D.C., Colombia"/>
    <s v="DP"/>
    <n v="72.400000000000006"/>
    <s v="Cata"/>
    <x v="40"/>
    <x v="2"/>
    <s v="OK"/>
    <x v="40"/>
    <x v="446"/>
    <x v="11"/>
    <x v="7"/>
    <x v="2"/>
  </r>
  <r>
    <x v="459"/>
    <x v="459"/>
    <s v="Cédula de ciudadanía"/>
    <x v="457"/>
    <s v="Hombre"/>
    <n v="21"/>
    <b v="1"/>
    <s v="Chia"/>
    <s v="Tocancipá"/>
    <s v="Universidad de La Sabana"/>
    <m/>
    <s v="Ingeniería Mecánica"/>
    <m/>
    <b v="0"/>
    <b v="0"/>
    <s v="Avanzado"/>
    <s v="Intermedi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Medios Tradicionales"/>
    <s v="CREATÓN"/>
    <d v="2026-09-12T00:00:00"/>
    <d v="1899-12-30T15:14:04"/>
    <s v=" 310 2213837"/>
    <s v="Avenida Pradilla 5-25, 250001 Chía, Colombia"/>
    <s v="DP"/>
    <n v="72"/>
    <s v="Cata"/>
    <x v="40"/>
    <x v="2"/>
    <s v="OK"/>
    <x v="29"/>
    <x v="447"/>
    <x v="11"/>
    <x v="7"/>
    <x v="2"/>
  </r>
  <r>
    <x v="460"/>
    <x v="460"/>
    <s v="Cédula de ciudadanía"/>
    <x v="458"/>
    <s v="Hombre"/>
    <n v="21"/>
    <b v="1"/>
    <s v="Tocancipá"/>
    <s v="Tocancipá"/>
    <s v="Universidad de La Sabana"/>
    <m/>
    <s v="Ingeniería de Software"/>
    <m/>
    <b v="0"/>
    <b v="0"/>
    <s v="Avanzado"/>
    <s v="Avanzado"/>
    <s v="Tecnología"/>
    <m/>
    <m/>
    <m/>
    <m/>
    <s v="Producción (Operaciones)"/>
    <s v="Ingeniería y Servicios"/>
    <m/>
    <m/>
    <m/>
    <b v="0"/>
    <b v="0"/>
    <m/>
    <b v="0"/>
    <m/>
    <b v="0"/>
    <m/>
    <b v="0"/>
    <m/>
    <s v="LinkedIn"/>
    <s v="CREATÓN"/>
    <d v="2026-08-25T00:00:00"/>
    <d v="1899-12-30T13:18:15"/>
    <s v=" 300 2853391"/>
    <s v="Carrera 8 7-46, 251010 Tocancipá, Colombia"/>
    <s v="DP"/>
    <n v="86"/>
    <s v="Cata"/>
    <x v="42"/>
    <x v="1"/>
    <s v="OK"/>
    <x v="19"/>
    <x v="448"/>
    <x v="11"/>
    <x v="7"/>
    <x v="2"/>
  </r>
  <r>
    <x v="461"/>
    <x v="461"/>
    <s v="Cédula de ciudadanía"/>
    <x v="459"/>
    <s v="Hombre"/>
    <n v="22"/>
    <b v="1"/>
    <s v="Bogotá"/>
    <s v="Tocancipá"/>
    <s v="Universidad de los Andes"/>
    <m/>
    <s v="Ingeniería Mecánica"/>
    <m/>
    <b v="0"/>
    <b v="0"/>
    <s v="Avanzado"/>
    <s v="Avanzad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CREATÓN"/>
    <d v="2026-08-24T00:00:00"/>
    <d v="1899-12-30T20:30:09"/>
    <s v=" 321 3813413"/>
    <s v="Carrera 68B 23B, Bogota, D.C., Colombia"/>
    <s v="DP"/>
    <n v="93.4"/>
    <s v="Cata"/>
    <x v="42"/>
    <x v="1"/>
    <s v="OK"/>
    <x v="29"/>
    <x v="449"/>
    <x v="11"/>
    <x v="7"/>
    <x v="2"/>
  </r>
  <r>
    <x v="462"/>
    <x v="462"/>
    <s v="Cédula de ciudadanía"/>
    <x v="460"/>
    <s v="Hombre"/>
    <n v="24"/>
    <b v="1"/>
    <m/>
    <s v="Tocancipá"/>
    <s v="Otra"/>
    <s v="Universidad de Córdoba"/>
    <s v="Ingeniería Mecánica"/>
    <m/>
    <b v="0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Instagram"/>
    <s v="CREATÓN"/>
    <d v="2026-08-21T00:00:00"/>
    <d v="1899-12-30T09:57:07"/>
    <s v=" 300 8840493"/>
    <s v="Cereté, Colombia"/>
    <s v="DP"/>
    <n v="81.400000000000006"/>
    <s v="Cata"/>
    <x v="42"/>
    <x v="1"/>
    <s v="OK"/>
    <x v="29"/>
    <x v="450"/>
    <x v="11"/>
    <x v="7"/>
    <x v="2"/>
  </r>
  <r>
    <x v="463"/>
    <x v="463"/>
    <s v="Cédula de ciudadanía"/>
    <x v="461"/>
    <s v="Mujer"/>
    <n v="22"/>
    <b v="1"/>
    <s v="DUITAMA"/>
    <s v="Tibitó"/>
    <s v="Universidad Pedagógica y Tecnológica de Colombia"/>
    <m/>
    <s v="Otra"/>
    <s v="Administración de Empresas Agropecuarias"/>
    <b v="0"/>
    <b v="0"/>
    <s v="Intermedio"/>
    <s v="Intermedio"/>
    <s v="Tecnología"/>
    <m/>
    <m/>
    <m/>
    <m/>
    <s v="Ventas"/>
    <m/>
    <m/>
    <m/>
    <s v="BEES"/>
    <b v="0"/>
    <b v="0"/>
    <m/>
    <b v="0"/>
    <m/>
    <b v="0"/>
    <m/>
    <b v="0"/>
    <m/>
    <s v="Instagram"/>
    <s v="CREATÓN"/>
    <d v="2026-09-12T00:00:00"/>
    <d v="1899-12-30T09:25:05"/>
    <s v=" 333 7505212"/>
    <s v="Carrera 34 19-133, 150462 Duitama, Colombia"/>
    <s v="DP"/>
    <n v="96.2"/>
    <s v="Cata"/>
    <x v="43"/>
    <x v="1"/>
    <s v="OK "/>
    <x v="53"/>
    <x v="451"/>
    <x v="12"/>
    <x v="7"/>
    <x v="2"/>
  </r>
  <r>
    <x v="464"/>
    <x v="464"/>
    <s v="Cédula de ciudadanía"/>
    <x v="462"/>
    <s v="Mujer"/>
    <n v="20"/>
    <b v="1"/>
    <s v="Zipaquirá"/>
    <s v="Tocancipá"/>
    <s v="Universidad Militar Nueva Granada"/>
    <m/>
    <s v="Administración de Empresas"/>
    <m/>
    <b v="1"/>
    <b v="0"/>
    <s v="Básico"/>
    <s v="Intermedio"/>
    <s v="Logística"/>
    <m/>
    <m/>
    <m/>
    <m/>
    <s v="Producción (Operaciones)"/>
    <s v="Talento"/>
    <m/>
    <m/>
    <m/>
    <b v="0"/>
    <b v="0"/>
    <m/>
    <b v="0"/>
    <m/>
    <b v="0"/>
    <m/>
    <b v="0"/>
    <m/>
    <s v="Instagram"/>
    <s v="CREATÓN"/>
    <d v="2026-09-02T00:00:00"/>
    <d v="1899-12-30T06:28:09"/>
    <s v=" 302 3133177"/>
    <s v="Calle 14 16-35, 250251 Zipaquirá, Colombia"/>
    <s v="DP"/>
    <n v="94.5"/>
    <s v="Cata"/>
    <x v="43"/>
    <x v="0"/>
    <s v="OK "/>
    <x v="3"/>
    <x v="452"/>
    <x v="12"/>
    <x v="7"/>
    <x v="2"/>
  </r>
  <r>
    <x v="465"/>
    <x v="465"/>
    <s v="Cédula de ciudadanía"/>
    <x v="463"/>
    <s v="Hombre"/>
    <n v="24"/>
    <b v="1"/>
    <s v="TUNJA"/>
    <s v="Tocancipá"/>
    <s v="Universidad Pedagógica y Tecnológica de Colombia"/>
    <m/>
    <s v="Ingeniería de Sistemas"/>
    <m/>
    <b v="0"/>
    <b v="0"/>
    <s v="Básico"/>
    <s v="Intermedio"/>
    <s v="Tecnología"/>
    <m/>
    <m/>
    <m/>
    <m/>
    <s v="Tecnología"/>
    <m/>
    <m/>
    <m/>
    <m/>
    <b v="0"/>
    <b v="0"/>
    <m/>
    <b v="0"/>
    <m/>
    <b v="0"/>
    <m/>
    <b v="0"/>
    <m/>
    <s v="LinkedIn"/>
    <s v="CREATÓN"/>
    <d v="2026-08-27T00:00:00"/>
    <d v="1899-12-30T18:17:06"/>
    <s v=" 322 2067541"/>
    <s v="Tunja, Colombia"/>
    <s v="DP"/>
    <n v="93"/>
    <s v="Cata"/>
    <x v="43"/>
    <x v="1"/>
    <s v="OK"/>
    <x v="18"/>
    <x v="453"/>
    <x v="12"/>
    <x v="7"/>
    <x v="2"/>
  </r>
  <r>
    <x v="466"/>
    <x v="466"/>
    <s v="Cédula de ciudadanía"/>
    <x v="464"/>
    <s v="Hombre"/>
    <n v="22"/>
    <b v="1"/>
    <s v="Tunja boyaca"/>
    <s v="Tocancipá"/>
    <s v="Otra"/>
    <s v="Universidad de boyaca"/>
    <s v="Ingeniería de Sistemas"/>
    <m/>
    <b v="1"/>
    <b v="0"/>
    <s v="Básico"/>
    <s v="Intermedio"/>
    <s v="Tecnología"/>
    <m/>
    <m/>
    <m/>
    <m/>
    <s v="Asuntos Corporativos"/>
    <m/>
    <m/>
    <m/>
    <m/>
    <b v="0"/>
    <b v="0"/>
    <m/>
    <b v="0"/>
    <m/>
    <b v="0"/>
    <m/>
    <b v="0"/>
    <m/>
    <s v="Instagram"/>
    <s v="CREATÓN"/>
    <d v="2026-08-30T00:00:00"/>
    <d v="1899-12-30T18:49:09"/>
    <s v=" 314 2209452"/>
    <s v="Carrera 2G-4, 150003 Tunja, Colombia"/>
    <s v="DP"/>
    <n v="90.8"/>
    <s v="Cata"/>
    <x v="43"/>
    <x v="1"/>
    <s v="OK"/>
    <x v="18"/>
    <x v="454"/>
    <x v="12"/>
    <x v="7"/>
    <x v="2"/>
  </r>
  <r>
    <x v="467"/>
    <x v="467"/>
    <s v="Cédula de ciudadanía"/>
    <x v="465"/>
    <s v="Mujer"/>
    <n v="23"/>
    <b v="1"/>
    <s v="TUNJA"/>
    <s v="Tocancipá"/>
    <s v="Universidad Pedagógica y Tecnológica de Colombia"/>
    <m/>
    <s v="Otra"/>
    <s v="Ingeniería de Transporte y Vías"/>
    <b v="0"/>
    <b v="0"/>
    <s v="Intermedio"/>
    <s v="Intermedio"/>
    <s v="Logística"/>
    <m/>
    <m/>
    <m/>
    <m/>
    <s v="Producción (Operaciones)"/>
    <s v="Ingeniería y Servicios"/>
    <m/>
    <m/>
    <m/>
    <b v="0"/>
    <b v="0"/>
    <m/>
    <b v="1"/>
    <m/>
    <b v="0"/>
    <m/>
    <b v="0"/>
    <s v="Hermana - Adriana Lizeth Suárez Rodríguez"/>
    <s v="LinkedIn"/>
    <s v="CREATÓN"/>
    <d v="2026-09-04T00:00:00"/>
    <d v="1899-12-30T05:59:15"/>
    <n v="3174181366"/>
    <s v="Carrera 13 25-12, 150002 Tunja, Colombia"/>
    <s v="DP"/>
    <n v="87.7"/>
    <s v="Cata"/>
    <x v="43"/>
    <x v="2"/>
    <s v="OK"/>
    <x v="54"/>
    <x v="455"/>
    <x v="12"/>
    <x v="7"/>
    <x v="2"/>
  </r>
  <r>
    <x v="468"/>
    <x v="468"/>
    <s v="Cédula de ciudadanía"/>
    <x v="466"/>
    <s v="Hombre"/>
    <n v="23"/>
    <b v="1"/>
    <s v="ZIPAQUIRA"/>
    <s v="Tocancipá"/>
    <s v="Universidad Militar Nueva Granada"/>
    <m/>
    <s v="Administración de Empresas"/>
    <m/>
    <b v="1"/>
    <b v="0"/>
    <s v="Básico"/>
    <s v="Básico"/>
    <s v="Logística"/>
    <m/>
    <m/>
    <m/>
    <m/>
    <s v="Producción (Operaciones)"/>
    <s v="Calidad"/>
    <m/>
    <m/>
    <m/>
    <b v="0"/>
    <b v="0"/>
    <m/>
    <b v="0"/>
    <m/>
    <b v="0"/>
    <m/>
    <b v="0"/>
    <m/>
    <s v="LinkedIn"/>
    <s v="CREATÓN"/>
    <d v="2026-09-02T00:00:00"/>
    <d v="1899-12-30T13:13:03"/>
    <s v="305 4221048"/>
    <s v="Carrera 16A 24-15, 250251 Zipaquirá, Colombia"/>
    <s v="DP"/>
    <n v="80.099999999999994"/>
    <s v="Cata"/>
    <x v="44"/>
    <x v="2"/>
    <s v="OK"/>
    <x v="3"/>
    <x v="456"/>
    <x v="11"/>
    <x v="7"/>
    <x v="2"/>
  </r>
  <r>
    <x v="469"/>
    <x v="469"/>
    <s v="Cédula de ciudadanía"/>
    <x v="467"/>
    <s v="Mujer"/>
    <n v="20"/>
    <b v="1"/>
    <s v="Bogotá"/>
    <s v="Tocancipá"/>
    <s v="Escuela Colombiana de Ingeniería Julio Garavito"/>
    <m/>
    <s v="Ingeniería Industrial"/>
    <m/>
    <b v="1"/>
    <b v="0"/>
    <s v="Intermedio"/>
    <s v="Intermedio"/>
    <s v="Producción (Operaciones)"/>
    <m/>
    <m/>
    <m/>
    <m/>
    <s v="Asuntos Corporativos"/>
    <m/>
    <m/>
    <m/>
    <m/>
    <b v="0"/>
    <b v="0"/>
    <m/>
    <b v="0"/>
    <m/>
    <b v="0"/>
    <m/>
    <b v="0"/>
    <m/>
    <s v="Otros"/>
    <s v="CREATÓN"/>
    <d v="2026-08-31T00:00:00"/>
    <d v="1899-12-30T22:09:05"/>
    <s v="302 8421772"/>
    <s v="Carrera 12B 161-33, 110131 Bogota, D.C., Colombia"/>
    <s v="DP"/>
    <n v="93.1"/>
    <s v="Santi"/>
    <x v="44"/>
    <x v="1"/>
    <s v="OK"/>
    <x v="10"/>
    <x v="457"/>
    <x v="11"/>
    <x v="7"/>
    <x v="2"/>
  </r>
  <r>
    <x v="470"/>
    <x v="470"/>
    <s v="Cédula de ciudadanía"/>
    <x v="468"/>
    <s v="Mujer"/>
    <n v="20"/>
    <b v="1"/>
    <s v="Medellín"/>
    <s v="Medellín"/>
    <s v="Universidad Nacional de Colombia"/>
    <m/>
    <s v="Ingeniería Industrial"/>
    <m/>
    <b v="0"/>
    <b v="0"/>
    <s v="Intermedio"/>
    <s v="Intermedio"/>
    <s v="Logística"/>
    <m/>
    <m/>
    <m/>
    <m/>
    <s v="Producción (Operaciones)"/>
    <s v="Ingeniería y Servicios"/>
    <m/>
    <m/>
    <m/>
    <b v="0"/>
    <b v="0"/>
    <m/>
    <b v="0"/>
    <m/>
    <b v="0"/>
    <m/>
    <b v="0"/>
    <m/>
    <s v="LinkedIn"/>
    <s v="CREATÓN"/>
    <d v="2026-09-04T00:00:00"/>
    <d v="1899-12-30T05:59:13"/>
    <s v=" 322 8949260"/>
    <s v="Calle 70 Sur 38-305, 055450 Sabaneta, Colombia"/>
    <s v="DP"/>
    <n v="84.1"/>
    <s v="Santi"/>
    <x v="45"/>
    <x v="1"/>
    <s v="OK"/>
    <x v="10"/>
    <x v="458"/>
    <x v="13"/>
    <x v="8"/>
    <x v="8"/>
  </r>
  <r>
    <x v="471"/>
    <x v="471"/>
    <s v="Cédula de ciudadanía"/>
    <x v="469"/>
    <s v="Hombre"/>
    <n v="23"/>
    <b v="1"/>
    <s v="MEDELLIN"/>
    <s v="Medellín"/>
    <s v="Universidad Pontificia Bolivariana"/>
    <m/>
    <s v="Ingeniería Química"/>
    <m/>
    <b v="0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Otros"/>
    <s v="PERSONAS DE PRUEBA"/>
    <d v="2026-09-03T00:00:00"/>
    <d v="1899-12-30T13:10:11"/>
    <n v="3006204601"/>
    <s v="Transversal 39A-71, 050031 Medellin, Colombia"/>
    <s v="DP"/>
    <n v="97.2"/>
    <s v="Cata"/>
    <x v="45"/>
    <x v="2"/>
    <s v="OK"/>
    <x v="28"/>
    <x v="459"/>
    <x v="13"/>
    <x v="8"/>
    <x v="8"/>
  </r>
  <r>
    <x v="472"/>
    <x v="472"/>
    <s v="Cédula de ciudadanía"/>
    <x v="470"/>
    <s v="Mujer"/>
    <n v="23"/>
    <b v="1"/>
    <s v="MEDELLIN"/>
    <s v="Medellín"/>
    <s v="Universidad de Antioquia"/>
    <m/>
    <s v="Ingeniería de Alimentos"/>
    <m/>
    <b v="0"/>
    <b v="0"/>
    <s v="Intermedio"/>
    <s v="Básic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Instagram"/>
    <s v="PERSONAS DE PRUEBA"/>
    <d v="2026-08-31T00:00:00"/>
    <d v="1899-12-30T13:31:06"/>
    <s v=" 322 4630169"/>
    <s v="Calle 49DD 83A-68, 050035 Medellin, Colombia"/>
    <s v="DP"/>
    <n v="82.5"/>
    <s v="Cata"/>
    <x v="45"/>
    <x v="2"/>
    <s v="OK"/>
    <x v="40"/>
    <x v="460"/>
    <x v="13"/>
    <x v="8"/>
    <x v="8"/>
  </r>
  <r>
    <x v="473"/>
    <x v="473"/>
    <s v="Cédula de ciudadanía"/>
    <x v="471"/>
    <s v="Mujer"/>
    <n v="22"/>
    <b v="1"/>
    <s v="MEDELLIN"/>
    <s v="Medellín"/>
    <s v="Universidad de Antioquia"/>
    <m/>
    <s v="Ingeniería Química"/>
    <m/>
    <b v="0"/>
    <b v="0"/>
    <s v="Básic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Otros"/>
    <s v="PERSONAS DE PRUEBA"/>
    <d v="2026-09-02T00:00:00"/>
    <d v="1899-12-30T13:01:24"/>
    <s v="320 8896616"/>
    <s v="Carrera 43B 102, Medellin, Colombia"/>
    <s v="DP"/>
    <n v="95.5"/>
    <s v="Cata"/>
    <x v="45"/>
    <x v="2"/>
    <s v="OK"/>
    <x v="28"/>
    <x v="461"/>
    <x v="13"/>
    <x v="8"/>
    <x v="8"/>
  </r>
  <r>
    <x v="474"/>
    <x v="474"/>
    <s v="Cédula de ciudadanía"/>
    <x v="472"/>
    <s v="Mujer"/>
    <n v="25"/>
    <b v="1"/>
    <s v="MEDELLIN"/>
    <s v="Medellín"/>
    <s v="Universidad de Antioquia"/>
    <m/>
    <s v="Ingeniería Ambiental"/>
    <m/>
    <b v="0"/>
    <b v="0"/>
    <s v="Intermedi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Otros"/>
    <s v="PERSONAS DE PRUEBA"/>
    <d v="2026-08-26T00:00:00"/>
    <d v="1899-12-30T13:09:12"/>
    <s v="311 3236803"/>
    <s v="Calle 48B 91A-42, 050035 Medellin, Colombia"/>
    <s v="DP"/>
    <n v="88"/>
    <s v="Cata"/>
    <x v="45"/>
    <x v="2"/>
    <s v="OK"/>
    <x v="33"/>
    <x v="462"/>
    <x v="13"/>
    <x v="8"/>
    <x v="8"/>
  </r>
  <r>
    <x v="475"/>
    <x v="475"/>
    <s v="Cédula de ciudadanía"/>
    <x v="473"/>
    <s v="Mujer"/>
    <n v="21"/>
    <b v="1"/>
    <s v="GUARNE"/>
    <s v="Medellín"/>
    <s v="Universidad Nacional de Colombia"/>
    <m/>
    <s v="Otra"/>
    <s v="Ingeniería Biológica"/>
    <b v="0"/>
    <b v="0"/>
    <s v="Intermedio"/>
    <s v="Básic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Página Web Oficial"/>
    <s v="PERSONAS DE PRUEBA"/>
    <d v="2026-08-28T00:00:00"/>
    <d v="1899-12-30T14:37:04"/>
    <s v=" 312 6440342"/>
    <s v="Carrera 46A 50A-43, 054050 Guarne, Colombia"/>
    <s v="DP"/>
    <n v="83"/>
    <s v="Santi"/>
    <x v="45"/>
    <x v="2"/>
    <s v="OK"/>
    <x v="42"/>
    <x v="463"/>
    <x v="13"/>
    <x v="8"/>
    <x v="8"/>
  </r>
  <r>
    <x v="476"/>
    <x v="476"/>
    <s v="Cédula de ciudadanía"/>
    <x v="474"/>
    <s v="Mujer"/>
    <n v="22"/>
    <b v="1"/>
    <s v="Envigado"/>
    <s v="Medellín"/>
    <s v="Universidad EAFIT"/>
    <m/>
    <s v="Biología"/>
    <m/>
    <b v="0"/>
    <b v="0"/>
    <s v="Intermedio"/>
    <s v="Intermedi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LinkedIn"/>
    <s v="PERSONAS DE PRUEBA"/>
    <d v="2026-08-30T00:00:00"/>
    <d v="1899-12-30T20:50:08"/>
    <n v="3009099493"/>
    <s v="Transversal 32D Sur Diagonal 31B-16, 055420 Envigado, Colombia"/>
    <s v="DP"/>
    <n v="76.8"/>
    <s v="Santi"/>
    <x v="45"/>
    <x v="2"/>
    <s v="OK"/>
    <x v="55"/>
    <x v="464"/>
    <x v="13"/>
    <x v="8"/>
    <x v="8"/>
  </r>
  <r>
    <x v="477"/>
    <x v="477"/>
    <s v="Cédula de ciudadanía"/>
    <x v="475"/>
    <s v="Hombre"/>
    <n v="23"/>
    <b v="1"/>
    <s v="MEDELLIN"/>
    <s v="Medellín"/>
    <s v="Universidad Nacional de Colombia"/>
    <m/>
    <s v="Otra"/>
    <s v="Ingeniería Biológica"/>
    <b v="0"/>
    <b v="0"/>
    <s v="Avanzado"/>
    <s v="Intermedio"/>
    <s v="Producción (Operaciones)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PERSONAS DE PRUEBA"/>
    <d v="2026-09-12T00:00:00"/>
    <d v="1899-12-30T16:25:42"/>
    <n v="3135999743"/>
    <s v="Diagonal 64 52-16, 050034 Medellin, Colombia"/>
    <s v="DP"/>
    <n v="78.5"/>
    <s v="Cata"/>
    <x v="45"/>
    <x v="2"/>
    <s v="OK"/>
    <x v="42"/>
    <x v="465"/>
    <x v="13"/>
    <x v="8"/>
    <x v="8"/>
  </r>
  <r>
    <x v="478"/>
    <x v="478"/>
    <s v="Cédula de ciudadanía"/>
    <x v="476"/>
    <s v="Mujer"/>
    <n v="23"/>
    <b v="1"/>
    <s v="Medellín"/>
    <s v="Medellín"/>
    <s v="Universidad Pontificia Bolivariana"/>
    <m/>
    <s v="Ingeniería Química"/>
    <m/>
    <b v="0"/>
    <b v="0"/>
    <s v="Avanzado"/>
    <s v="Avanzado"/>
    <s v="Producción (Operaciones)"/>
    <m/>
    <m/>
    <m/>
    <m/>
    <s v="Producción (Operaciones)"/>
    <s v="Calidad"/>
    <m/>
    <m/>
    <m/>
    <b v="0"/>
    <b v="0"/>
    <m/>
    <b v="0"/>
    <m/>
    <b v="0"/>
    <m/>
    <b v="0"/>
    <m/>
    <s v="Otros"/>
    <s v="PERSONAS DE PRUEBA"/>
    <d v="2026-08-25T00:00:00"/>
    <d v="1899-12-30T16:32:07"/>
    <s v=" 317 4002460"/>
    <s v="Carrera 48A 12 S-161, 050022 Medellin, Colombia"/>
    <s v="DP"/>
    <n v="89.7"/>
    <s v="Cata"/>
    <x v="45"/>
    <x v="2"/>
    <s v="OK"/>
    <x v="28"/>
    <x v="466"/>
    <x v="13"/>
    <x v="8"/>
    <x v="8"/>
  </r>
  <r>
    <x v="479"/>
    <x v="479"/>
    <s v="Cédula de ciudadanía"/>
    <x v="477"/>
    <s v="Hombre"/>
    <n v="22"/>
    <b v="1"/>
    <s v="MANIZALES"/>
    <s v="Medellín"/>
    <s v="Universidad Nacional de Colombia"/>
    <m/>
    <s v="Ingeniería Química"/>
    <m/>
    <b v="0"/>
    <b v="0"/>
    <s v="Avanzado"/>
    <s v="Intermedio"/>
    <s v="Producción (Operaciones)"/>
    <m/>
    <m/>
    <m/>
    <m/>
    <s v="Producción (Operaciones)"/>
    <s v="Elaboración"/>
    <m/>
    <m/>
    <m/>
    <b v="0"/>
    <b v="0"/>
    <m/>
    <b v="0"/>
    <m/>
    <b v="0"/>
    <m/>
    <b v="0"/>
    <m/>
    <s v="Otros"/>
    <s v="PERSONAS DE PRUEBA"/>
    <d v="2026-08-28T00:00:00"/>
    <d v="1899-12-30T05:48:08"/>
    <s v=" 310 3774795"/>
    <s v="Transversal 72 20-54, 170003 Manizales, Colombia"/>
    <s v="DP"/>
    <n v="93.2"/>
    <s v="Cata"/>
    <x v="45"/>
    <x v="2"/>
    <s v="OK"/>
    <x v="28"/>
    <x v="467"/>
    <x v="13"/>
    <x v="8"/>
    <x v="8"/>
  </r>
  <r>
    <x v="480"/>
    <x v="480"/>
    <s v="Cédula de ciudadanía"/>
    <x v="478"/>
    <s v="Hombre"/>
    <n v="21"/>
    <b v="1"/>
    <m/>
    <s v="Bogotá"/>
    <s v="Universidad del Rosario"/>
    <m/>
    <s v="Finanzas"/>
    <m/>
    <b v="0"/>
    <b v="0"/>
    <s v="Avanzado"/>
    <s v="Avanzado"/>
    <s v="Finanzas"/>
    <m/>
    <m/>
    <m/>
    <m/>
    <s v="Asuntos Corporativos"/>
    <m/>
    <s v="Finanzas Impuestos"/>
    <m/>
    <m/>
    <b v="0"/>
    <b v="0"/>
    <m/>
    <b v="0"/>
    <m/>
    <b v="0"/>
    <m/>
    <b v="0"/>
    <m/>
    <s v="LinkedIn"/>
    <s v="PERSONAS DE PRUEBA"/>
    <d v="2026-09-08T00:00:00"/>
    <d v="1899-12-30T09:50:35"/>
    <s v=" 322 4745812"/>
    <s v="Carrera 71B 71-53, 111061 Bogota, D.C., Colombia"/>
    <s v="DP"/>
    <n v="97.1"/>
    <s v="Cata"/>
    <x v="46"/>
    <x v="2"/>
    <s v="OK"/>
    <x v="2"/>
    <x v="468"/>
    <x v="0"/>
    <x v="8"/>
    <x v="8"/>
  </r>
  <r>
    <x v="481"/>
    <x v="481"/>
    <s v="Cédula de ciudadanía"/>
    <x v="479"/>
    <s v="Mujer"/>
    <n v="22"/>
    <b v="1"/>
    <m/>
    <s v="Bogotá"/>
    <s v="Universidad del Valle"/>
    <m/>
    <s v="Ingeniería Industrial"/>
    <m/>
    <b v="0"/>
    <b v="0"/>
    <s v="Intermedio"/>
    <s v="Avanzado"/>
    <s v="Finanzas"/>
    <m/>
    <m/>
    <m/>
    <m/>
    <s v="Compras"/>
    <m/>
    <s v="Finanzas Impuestos"/>
    <m/>
    <m/>
    <b v="0"/>
    <b v="0"/>
    <m/>
    <b v="0"/>
    <m/>
    <b v="0"/>
    <m/>
    <b v="0"/>
    <m/>
    <s v="Instagram"/>
    <s v="PERSONAS DE PRUEBA"/>
    <d v="2026-09-12T00:00:00"/>
    <d v="1899-12-30T11:55:03"/>
    <s v=" 322 6765803"/>
    <s v="Carrera 5A 32-55, 110311 Bogota, D.C., Colombia"/>
    <s v="DP"/>
    <n v="90"/>
    <s v="Cata"/>
    <x v="46"/>
    <x v="2"/>
    <s v="OK"/>
    <x v="10"/>
    <x v="469"/>
    <x v="0"/>
    <x v="8"/>
    <x v="8"/>
  </r>
  <r>
    <x v="482"/>
    <x v="482"/>
    <s v="Cédula de ciudadanía"/>
    <x v="480"/>
    <s v="Mujer"/>
    <n v="24"/>
    <b v="1"/>
    <s v="VALLEDUPAR"/>
    <s v="Bogotá"/>
    <s v="Otra"/>
    <s v="UNIVERSIDAD POPULAR DEL CESAR"/>
    <s v="Derecho"/>
    <m/>
    <b v="0"/>
    <b v="0"/>
    <s v="Básico"/>
    <s v="Avanzado"/>
    <s v="Asuntos corporativos"/>
    <m/>
    <m/>
    <m/>
    <m/>
    <s v="Asuntos Corporativos"/>
    <m/>
    <m/>
    <m/>
    <m/>
    <b v="0"/>
    <b v="0"/>
    <m/>
    <b v="0"/>
    <m/>
    <b v="1"/>
    <m/>
    <b v="0"/>
    <m/>
    <s v="Otros"/>
    <s v="PERSONAS DE PRUEBA"/>
    <d v="2026-08-30T00:00:00"/>
    <d v="1899-12-30T10:20:04"/>
    <s v=" 324 6016605"/>
    <s v="Valledupar, Colombia"/>
    <s v="DP"/>
    <n v="84.5"/>
    <s v="Cata"/>
    <x v="46"/>
    <x v="2"/>
    <s v="OK"/>
    <x v="8"/>
    <x v="470"/>
    <x v="0"/>
    <x v="8"/>
    <x v="8"/>
  </r>
  <r>
    <x v="483"/>
    <x v="483"/>
    <s v="Cédula de ciudadanía"/>
    <x v="481"/>
    <s v="Mujer"/>
    <n v="20"/>
    <b v="1"/>
    <m/>
    <s v="Bogotá"/>
    <s v="Universidad Santo Tomás"/>
    <m/>
    <s v="Estadística"/>
    <m/>
    <b v="0"/>
    <b v="0"/>
    <s v="Avanzado"/>
    <s v="Avanzado"/>
    <s v="Finanzas"/>
    <m/>
    <m/>
    <m/>
    <m/>
    <s v="Asuntos Corporativos"/>
    <m/>
    <s v="Finanzas Impuestos"/>
    <m/>
    <m/>
    <b v="0"/>
    <b v="0"/>
    <m/>
    <b v="0"/>
    <m/>
    <b v="0"/>
    <m/>
    <b v="0"/>
    <m/>
    <s v="Instagram"/>
    <s v="PERSONAS DE PRUEBA"/>
    <d v="2026-09-13T00:00:00"/>
    <d v="1899-12-30T10:57:47"/>
    <n v="3206944048"/>
    <s v="Carrera 7, Soacha, Colombia"/>
    <s v="DP"/>
    <n v="75.2"/>
    <s v="Cata"/>
    <x v="46"/>
    <x v="2"/>
    <s v="OK"/>
    <x v="0"/>
    <x v="471"/>
    <x v="0"/>
    <x v="8"/>
    <x v="8"/>
  </r>
  <r>
    <x v="484"/>
    <x v="484"/>
    <s v="Cédula de ciudadanía"/>
    <x v="482"/>
    <s v="Hombre"/>
    <n v="21"/>
    <b v="1"/>
    <s v="Bogotá"/>
    <s v="Bogotá"/>
    <s v="Universidad del Rosario"/>
    <m/>
    <s v="Finanzas"/>
    <m/>
    <b v="0"/>
    <b v="0"/>
    <s v="Intermedio"/>
    <s v="Avanzado"/>
    <s v="Finanzas"/>
    <m/>
    <m/>
    <m/>
    <m/>
    <s v="Asuntos Corporativos"/>
    <m/>
    <s v="Finanzas Impuestos"/>
    <m/>
    <m/>
    <b v="0"/>
    <b v="0"/>
    <m/>
    <b v="0"/>
    <m/>
    <b v="0"/>
    <m/>
    <b v="0"/>
    <m/>
    <s v="Otros"/>
    <s v="PERSONAS DE PRUEBA"/>
    <d v="2026-09-12T00:00:00"/>
    <d v="1899-12-30T23:16:54"/>
    <s v="305 8860218"/>
    <s v="Carrera 20 160-25, 110131 Bogota, D.C., Colombia"/>
    <s v="DP"/>
    <n v="73.5"/>
    <s v="Cata"/>
    <x v="46"/>
    <x v="2"/>
    <s v="OK"/>
    <x v="2"/>
    <x v="472"/>
    <x v="0"/>
    <x v="8"/>
    <x v="8"/>
  </r>
  <r>
    <x v="485"/>
    <x v="485"/>
    <s v="Cédula de ciudadanía"/>
    <x v="483"/>
    <s v="Hombre"/>
    <n v="21"/>
    <b v="1"/>
    <s v="BOGOTA"/>
    <s v="Bogotá"/>
    <s v="Universidad de La Sabana"/>
    <m/>
    <s v="Negocios Internacionales"/>
    <m/>
    <b v="0"/>
    <b v="0"/>
    <s v="Avanzado"/>
    <s v="Avanzado"/>
    <s v="Asuntos corporativos"/>
    <m/>
    <m/>
    <m/>
    <m/>
    <s v="Logística"/>
    <m/>
    <m/>
    <m/>
    <m/>
    <b v="0"/>
    <b v="0"/>
    <m/>
    <b v="0"/>
    <m/>
    <b v="0"/>
    <m/>
    <b v="0"/>
    <m/>
    <s v="LinkedIn"/>
    <s v="PERSONAS DE PRUEBA"/>
    <d v="2026-09-12T00:00:00"/>
    <d v="1899-12-30T14:52:04"/>
    <s v="317 7639732"/>
    <s v="Transversal 77 Calle 162, Bogota, D.C., Colombia"/>
    <s v="DP"/>
    <n v="71.8"/>
    <s v="Cata"/>
    <x v="46"/>
    <x v="2"/>
    <s v="OK"/>
    <x v="5"/>
    <x v="473"/>
    <x v="0"/>
    <x v="8"/>
    <x v="8"/>
  </r>
  <r>
    <x v="486"/>
    <x v="486"/>
    <s v="Cédula de ciudadanía"/>
    <x v="484"/>
    <s v="Mujer"/>
    <n v="21"/>
    <b v="1"/>
    <s v="BOGOTA"/>
    <s v="Bogotá"/>
    <s v="Universidad del Rosario"/>
    <m/>
    <s v="Negocios Internacionales"/>
    <m/>
    <b v="0"/>
    <b v="0"/>
    <s v="Intermedio"/>
    <s v="Intermedio"/>
    <s v="Asuntos corporativos"/>
    <m/>
    <m/>
    <m/>
    <m/>
    <s v="Logística"/>
    <m/>
    <m/>
    <m/>
    <m/>
    <b v="0"/>
    <b v="0"/>
    <m/>
    <b v="0"/>
    <m/>
    <b v="0"/>
    <m/>
    <b v="0"/>
    <m/>
    <s v="LinkedIn"/>
    <s v="PERSONAS DE PRUEBA"/>
    <d v="2026-09-12T00:00:00"/>
    <d v="1899-12-30T19:49:11"/>
    <s v=" 311 8143467"/>
    <s v="Carrera 55A 187-51, 111166 Bogota, D.C., Colombia"/>
    <s v="DP"/>
    <n v="87.5"/>
    <s v="Cata"/>
    <x v="46"/>
    <x v="2"/>
    <s v="OK"/>
    <x v="5"/>
    <x v="474"/>
    <x v="0"/>
    <x v="8"/>
    <x v="8"/>
  </r>
  <r>
    <x v="487"/>
    <x v="487"/>
    <s v="Cédula de ciudadanía"/>
    <x v="485"/>
    <s v="Hombre"/>
    <n v="21"/>
    <b v="1"/>
    <m/>
    <s v="Bogotá"/>
    <s v="Pontificia Universidad Javeriana"/>
    <m/>
    <s v="Ingeniería Industrial"/>
    <m/>
    <b v="1"/>
    <b v="0"/>
    <s v="Avanzado"/>
    <s v="Avanzado"/>
    <s v="Logística"/>
    <m/>
    <m/>
    <m/>
    <m/>
    <s v="Asuntos Corporativos"/>
    <m/>
    <m/>
    <m/>
    <m/>
    <b v="0"/>
    <b v="0"/>
    <m/>
    <b v="0"/>
    <m/>
    <b v="0"/>
    <m/>
    <b v="0"/>
    <m/>
    <s v="Otros"/>
    <s v="PERSONAS DE PRUEBA"/>
    <d v="2026-09-12T00:00:00"/>
    <d v="1899-12-30T21:41:50"/>
    <s v=" 323 3367001"/>
    <s v="Bogota, D.C., Colombia"/>
    <s v="DP"/>
    <n v="93.7"/>
    <s v="Cata"/>
    <x v="46"/>
    <x v="2"/>
    <s v="OK"/>
    <x v="10"/>
    <x v="475"/>
    <x v="0"/>
    <x v="8"/>
    <x v="8"/>
  </r>
  <r>
    <x v="488"/>
    <x v="488"/>
    <s v="Cédula de ciudadanía"/>
    <x v="486"/>
    <s v="Hombre"/>
    <n v="21"/>
    <b v="1"/>
    <m/>
    <s v="Bogotá"/>
    <s v="Fundación Universitaria del Área Andina"/>
    <m/>
    <s v="Ingeniería Industrial"/>
    <m/>
    <b v="0"/>
    <b v="0"/>
    <s v="Avanzado"/>
    <s v="Avanzado"/>
    <s v="Producción (Operaciones)"/>
    <m/>
    <m/>
    <m/>
    <m/>
    <s v="Asuntos Corporativos"/>
    <m/>
    <m/>
    <m/>
    <m/>
    <b v="0"/>
    <b v="0"/>
    <m/>
    <b v="0"/>
    <m/>
    <b v="0"/>
    <m/>
    <b v="0"/>
    <m/>
    <s v="LinkedIn"/>
    <s v="PERSONAS DE PRUEBA"/>
    <d v="2026-08-21T00:00:00"/>
    <d v="1899-12-30T09:57:08"/>
    <s v=" 313 5117090"/>
    <s v="Calle 86 114-76, 111011 Bogota, D.C., Colombia"/>
    <s v="DP"/>
    <n v="93.5"/>
    <s v="Cata"/>
    <x v="46"/>
    <x v="2"/>
    <s v="OK"/>
    <x v="10"/>
    <x v="476"/>
    <x v="0"/>
    <x v="8"/>
    <x v="8"/>
  </r>
  <r>
    <x v="489"/>
    <x v="489"/>
    <s v="Cédula de ciudadanía"/>
    <x v="487"/>
    <s v="Mujer"/>
    <n v="21"/>
    <b v="1"/>
    <s v="Bogotá, D.c."/>
    <s v="Bogotá"/>
    <s v="Escuela Colombiana de Ingeniería Julio Garavito"/>
    <m/>
    <s v="Ingeniería Industrial"/>
    <m/>
    <b v="0"/>
    <b v="0"/>
    <s v="Intermedio"/>
    <s v="Intermedio"/>
    <s v="Marketing"/>
    <m/>
    <m/>
    <m/>
    <m/>
    <s v="Asuntos Corporativos"/>
    <m/>
    <m/>
    <m/>
    <m/>
    <b v="0"/>
    <b v="0"/>
    <m/>
    <b v="0"/>
    <m/>
    <b v="0"/>
    <m/>
    <b v="0"/>
    <m/>
    <s v="LinkedIn"/>
    <s v="PERSONAS DE PRUEBA"/>
    <d v="2026-09-09T00:00:00"/>
    <d v="1899-12-30T07:37:08"/>
    <s v=" 313 8394233"/>
    <s v="Carrera 50 130-15, 111111 Bogota, D.C., Colombia"/>
    <s v="DP"/>
    <n v="70.8"/>
    <s v="Cata"/>
    <x v="46"/>
    <x v="2"/>
    <s v="OK"/>
    <x v="10"/>
    <x v="477"/>
    <x v="0"/>
    <x v="8"/>
    <x v="8"/>
  </r>
  <r>
    <x v="490"/>
    <x v="490"/>
    <s v="Cédula de ciudadanía"/>
    <x v="488"/>
    <s v="Hombre"/>
    <n v="23"/>
    <b v="1"/>
    <m/>
    <s v="Bogotá"/>
    <s v="Pontificia Universidad Javeriana"/>
    <m/>
    <s v="Relaciones Internacionales"/>
    <m/>
    <b v="0"/>
    <b v="0"/>
    <s v="Avanzado"/>
    <s v="Intermedio"/>
    <s v="Asuntos corporativos"/>
    <m/>
    <m/>
    <m/>
    <m/>
    <s v="Ventas"/>
    <m/>
    <m/>
    <m/>
    <s v="BEES"/>
    <b v="0"/>
    <b v="0"/>
    <m/>
    <b v="0"/>
    <m/>
    <b v="0"/>
    <m/>
    <b v="0"/>
    <m/>
    <s v="Página Web Oficial"/>
    <s v="PERSONAS DE PRUEBA"/>
    <d v="2026-09-13T00:00:00"/>
    <d v="1899-12-30T15:43:22"/>
    <s v=" 318 8778478"/>
    <s v="Calle 146 13-9, 110121 Bogota, D.C., Colombia"/>
    <s v="DP"/>
    <n v="72.900000000000006"/>
    <s v="Cata"/>
    <x v="46"/>
    <x v="2"/>
    <s v="OK"/>
    <x v="16"/>
    <x v="478"/>
    <x v="0"/>
    <x v="8"/>
    <x v="8"/>
  </r>
  <r>
    <x v="491"/>
    <x v="491"/>
    <s v="Cédula de ciudadanía"/>
    <x v="489"/>
    <s v="Mujer"/>
    <n v="22"/>
    <b v="1"/>
    <s v="MEDELLIN"/>
    <s v="Medellín"/>
    <s v="Universidad Nacional de Colombia"/>
    <m/>
    <s v="Ingeniería Administrativa"/>
    <m/>
    <b v="0"/>
    <b v="0"/>
    <s v="Intermedio"/>
    <s v="Intermedio"/>
    <s v="Talento"/>
    <m/>
    <m/>
    <s v="Área financiera"/>
    <m/>
    <s v="Talento"/>
    <m/>
    <m/>
    <s v="Support"/>
    <m/>
    <b v="0"/>
    <b v="0"/>
    <m/>
    <b v="0"/>
    <m/>
    <b v="0"/>
    <m/>
    <b v="0"/>
    <m/>
    <s v="Otros"/>
    <s v="PERSONAS DE PRUEBA"/>
    <d v="2026-09-02T00:00:00"/>
    <d v="1899-12-30T18:32:08"/>
    <s v=" 315 8066945"/>
    <s v="Calle 86 93A-17, 050041 Medellin, Colombia"/>
    <s v="DP"/>
    <n v="92.1"/>
    <s v="Santi"/>
    <x v="47"/>
    <x v="2"/>
    <s v="OK"/>
    <x v="49"/>
    <x v="479"/>
    <x v="13"/>
    <x v="8"/>
    <x v="8"/>
  </r>
  <r>
    <x v="492"/>
    <x v="492"/>
    <s v="Cédula de ciudadanía"/>
    <x v="490"/>
    <s v="Mujer"/>
    <n v="22"/>
    <b v="1"/>
    <s v="Medellín"/>
    <s v="Medellín"/>
    <s v="Universidad Nacional de Colombia"/>
    <m/>
    <s v="Ingeniería Industrial"/>
    <m/>
    <b v="0"/>
    <b v="0"/>
    <s v="Intermedio"/>
    <s v="Avanzado"/>
    <s v="Asuntos corporativos"/>
    <m/>
    <m/>
    <m/>
    <m/>
    <s v="Producción (Operaciones)"/>
    <s v="Ingeniería y Servicios"/>
    <m/>
    <m/>
    <m/>
    <b v="0"/>
    <b v="0"/>
    <m/>
    <b v="0"/>
    <m/>
    <b v="0"/>
    <m/>
    <b v="0"/>
    <m/>
    <s v="Instagram"/>
    <s v="PERSONAS DE PRUEBA"/>
    <d v="2026-08-31T00:00:00"/>
    <d v="1899-12-30T16:28:14"/>
    <n v="3192800000"/>
    <s v="Carrera 59A 69C, Itagüí, Colombia"/>
    <s v="DP"/>
    <n v="94"/>
    <s v="Santi"/>
    <x v="47"/>
    <x v="2"/>
    <s v="OK"/>
    <x v="10"/>
    <x v="480"/>
    <x v="13"/>
    <x v="8"/>
    <x v="8"/>
  </r>
  <r>
    <x v="493"/>
    <x v="493"/>
    <s v="Cédula de ciudadanía"/>
    <x v="491"/>
    <s v="Hombre"/>
    <n v="22"/>
    <b v="1"/>
    <s v="Medellín"/>
    <s v="Medellín"/>
    <s v="Universidad EAFIT"/>
    <m/>
    <s v="Administración de Empresas"/>
    <m/>
    <b v="0"/>
    <b v="0"/>
    <s v="Intermedio"/>
    <s v="Avanzado"/>
    <s v="Talento"/>
    <m/>
    <m/>
    <m/>
    <m/>
    <s v="Asuntos Corporativos"/>
    <m/>
    <m/>
    <s v="Atracción de Talento y Marca Empleadora"/>
    <m/>
    <b v="0"/>
    <b v="0"/>
    <m/>
    <b v="0"/>
    <m/>
    <b v="0"/>
    <m/>
    <b v="0"/>
    <m/>
    <s v="Instagram"/>
    <s v="PERSONAS DE PRUEBA"/>
    <d v="2026-09-12T00:00:00"/>
    <d v="1899-12-30T15:59:04"/>
    <n v="3135455802"/>
    <s v="Medellin, Colombia"/>
    <s v="DP"/>
    <n v="79.7"/>
    <s v="Cata"/>
    <x v="47"/>
    <x v="2"/>
    <s v="OK"/>
    <x v="3"/>
    <x v="481"/>
    <x v="13"/>
    <x v="8"/>
    <x v="8"/>
  </r>
  <r>
    <x v="494"/>
    <x v="494"/>
    <s v="Cédula de ciudadanía"/>
    <x v="492"/>
    <s v="Mujer"/>
    <n v="21"/>
    <b v="1"/>
    <m/>
    <s v="Medellín"/>
    <s v="Universidad Pontificia Bolivariana"/>
    <m/>
    <s v="Ingeniería Industrial"/>
    <m/>
    <b v="0"/>
    <b v="0"/>
    <s v="Intermedio"/>
    <s v="Avanzado"/>
    <s v="Talento"/>
    <m/>
    <m/>
    <m/>
    <m/>
    <s v="Producción (Operaciones)"/>
    <s v="Calidad"/>
    <m/>
    <s v="Compensación y Beneficios"/>
    <m/>
    <b v="0"/>
    <b v="0"/>
    <m/>
    <b v="0"/>
    <m/>
    <b v="0"/>
    <m/>
    <b v="0"/>
    <m/>
    <s v="Instagram"/>
    <s v="PERSONAS DE PRUEBA"/>
    <d v="2026-09-13T00:00:00"/>
    <d v="1899-12-30T12:05:39"/>
    <s v=" 315 4695560"/>
    <s v="Laureles, Medellin, Colombia"/>
    <s v="DP"/>
    <n v="82.3"/>
    <s v="Cata"/>
    <x v="47"/>
    <x v="2"/>
    <s v="OK"/>
    <x v="10"/>
    <x v="482"/>
    <x v="13"/>
    <x v="8"/>
    <x v="8"/>
  </r>
  <r>
    <x v="495"/>
    <x v="495"/>
    <s v="Cédula de ciudadanía"/>
    <x v="493"/>
    <s v="Mujer"/>
    <n v="25"/>
    <b v="1"/>
    <s v="INGENIERIA ADMINISTRATIVA"/>
    <s v="Medellín"/>
    <s v="Universidad Nacional de Colombia"/>
    <m/>
    <s v="Ingeniería Administrativa"/>
    <m/>
    <b v="0"/>
    <b v="0"/>
    <s v="Avanzado"/>
    <s v="Intermedio"/>
    <s v="Talento"/>
    <m/>
    <m/>
    <m/>
    <m/>
    <s v="Ventas"/>
    <m/>
    <m/>
    <s v="Compensación y Beneficios"/>
    <s v="Canal Moderno"/>
    <b v="0"/>
    <b v="0"/>
    <m/>
    <b v="0"/>
    <m/>
    <b v="0"/>
    <m/>
    <b v="0"/>
    <m/>
    <s v="Página Web Oficial"/>
    <s v="PERSONAS DE PRUEBA"/>
    <d v="2026-09-12T00:00:00"/>
    <d v="1899-12-30T12:18:09"/>
    <n v="3178286241"/>
    <s v="Carrera 99-66e, 050033 Medellin, Colombia"/>
    <s v="DP"/>
    <n v="97.5"/>
    <s v="Cata"/>
    <x v="47"/>
    <x v="2"/>
    <s v="OK"/>
    <x v="49"/>
    <x v="483"/>
    <x v="13"/>
    <x v="8"/>
    <x v="8"/>
  </r>
  <r>
    <x v="496"/>
    <x v="496"/>
    <s v="Cédula de ciudadanía"/>
    <x v="494"/>
    <s v="Mujer"/>
    <n v="21"/>
    <b v="1"/>
    <s v="MONTERIA CORDOBA"/>
    <s v="Medellín"/>
    <s v="Universidad Cooperativa de Colombia"/>
    <m/>
    <s v="Administración de Empresas"/>
    <m/>
    <b v="0"/>
    <b v="0"/>
    <s v="Básico"/>
    <s v="Intermedio"/>
    <s v="Talento"/>
    <m/>
    <m/>
    <m/>
    <m/>
    <s v="Ventas"/>
    <m/>
    <m/>
    <s v="Compensación y Beneficios"/>
    <s v="Ventas Comercial"/>
    <b v="0"/>
    <b v="0"/>
    <m/>
    <b v="0"/>
    <m/>
    <b v="0"/>
    <m/>
    <b v="0"/>
    <m/>
    <s v="Instagram"/>
    <s v="PERSONAS DE PRUEBA"/>
    <d v="2026-08-29T00:00:00"/>
    <d v="1899-12-30T12:01:48"/>
    <s v=" 321 9335836"/>
    <s v="Calle 48A-94, 230002 Monteria, Colombia"/>
    <s v="DP"/>
    <n v="84.6"/>
    <s v="Cata"/>
    <x v="47"/>
    <x v="2"/>
    <s v="OK"/>
    <x v="3"/>
    <x v="484"/>
    <x v="13"/>
    <x v="8"/>
    <x v="8"/>
  </r>
  <r>
    <x v="497"/>
    <x v="497"/>
    <s v="Cédula de ciudadanía"/>
    <x v="495"/>
    <s v="Mujer"/>
    <n v="20"/>
    <b v="1"/>
    <s v="SABANETA"/>
    <s v="Medellín"/>
    <s v="Universidad EAFIT"/>
    <m/>
    <s v="Psicología"/>
    <m/>
    <b v="0"/>
    <b v="0"/>
    <s v="Avanzado"/>
    <s v="Básico"/>
    <s v="Talento"/>
    <m/>
    <m/>
    <s v="Compensación y Beneficios"/>
    <m/>
    <s v="Talento"/>
    <m/>
    <m/>
    <s v="Atracción de Talento y Marca Empleadora"/>
    <m/>
    <b v="0"/>
    <b v="0"/>
    <m/>
    <b v="0"/>
    <m/>
    <b v="0"/>
    <m/>
    <b v="0"/>
    <m/>
    <s v="Otros"/>
    <s v="PERSONAS DE PRUEBA"/>
    <d v="2026-09-12T00:00:00"/>
    <d v="1899-12-30T14:56:03"/>
    <n v="3195991889"/>
    <s v="Calle 77 Sur 35-140, 055450 Sabaneta, Colombia"/>
    <s v="DP"/>
    <n v="78.900000000000006"/>
    <s v="Cata"/>
    <x v="47"/>
    <x v="2"/>
    <s v="OK"/>
    <x v="9"/>
    <x v="485"/>
    <x v="13"/>
    <x v="8"/>
    <x v="8"/>
  </r>
  <r>
    <x v="498"/>
    <x v="498"/>
    <s v="Cédula de ciudadanía"/>
    <x v="496"/>
    <s v="Hombre"/>
    <n v="23"/>
    <b v="1"/>
    <s v="MEDELLIN"/>
    <s v="Medellín"/>
    <s v="Universidad de Antioquia"/>
    <m/>
    <s v="Economía"/>
    <m/>
    <b v="0"/>
    <b v="0"/>
    <s v="Avanzado"/>
    <s v="Avanzado"/>
    <s v="Talento"/>
    <m/>
    <m/>
    <m/>
    <m/>
    <s v="Ventas"/>
    <m/>
    <m/>
    <s v="Área financiera"/>
    <s v="Talento Ventas"/>
    <b v="0"/>
    <b v="0"/>
    <m/>
    <b v="0"/>
    <m/>
    <b v="0"/>
    <m/>
    <b v="0"/>
    <m/>
    <s v="Otros"/>
    <s v="PERSONAS DE PRUEBA"/>
    <d v="2026-09-12T00:00:00"/>
    <d v="1899-12-30T19:36:46"/>
    <s v=" 315 7364602"/>
    <s v="Medellin, Colombia"/>
    <s v="DP"/>
    <n v="70.2"/>
    <s v="Cata"/>
    <x v="47"/>
    <x v="2"/>
    <s v="OK"/>
    <x v="1"/>
    <x v="486"/>
    <x v="13"/>
    <x v="8"/>
    <x v="8"/>
  </r>
  <r>
    <x v="499"/>
    <x v="499"/>
    <s v="Cédula de ciudadanía"/>
    <x v="497"/>
    <s v="Mujer"/>
    <n v="21"/>
    <b v="1"/>
    <m/>
    <s v="Medellín"/>
    <s v="Universidad de Medellín"/>
    <m/>
    <s v="Negocios Internacionales"/>
    <m/>
    <b v="1"/>
    <b v="0"/>
    <s v="Intermedio"/>
    <s v="Básico"/>
    <s v="Talento"/>
    <m/>
    <m/>
    <m/>
    <m/>
    <s v="Ventas"/>
    <m/>
    <m/>
    <s v="Atracción de Talento y Marca Empleadora"/>
    <s v="Talento Ventas"/>
    <b v="0"/>
    <b v="0"/>
    <m/>
    <b v="0"/>
    <m/>
    <b v="0"/>
    <m/>
    <b v="0"/>
    <m/>
    <s v="LinkedIn"/>
    <s v="PERSONAS DE PRUEBA"/>
    <d v="2026-09-12T00:00:00"/>
    <d v="1899-12-30T14:54:06"/>
    <n v="3148502569"/>
    <s v="Calle 31A 78-55, 050030 Medellin, Colombia"/>
    <s v="DP"/>
    <n v="75.3"/>
    <s v="Cata"/>
    <x v="47"/>
    <x v="2"/>
    <s v="OK"/>
    <x v="5"/>
    <x v="487"/>
    <x v="13"/>
    <x v="8"/>
    <x v="8"/>
  </r>
  <r>
    <x v="500"/>
    <x v="500"/>
    <s v="Cédula de ciudadanía"/>
    <x v="498"/>
    <s v="Mujer"/>
    <n v="20"/>
    <b v="1"/>
    <s v="ENVIGADO"/>
    <s v="Medellín"/>
    <s v="Universidad EAFIT"/>
    <m/>
    <s v="Administración de Empresas"/>
    <m/>
    <b v="0"/>
    <b v="0"/>
    <s v="Intermedio"/>
    <s v="Intermedio"/>
    <s v="Talento"/>
    <m/>
    <m/>
    <m/>
    <m/>
    <s v="Comunicaciones"/>
    <m/>
    <m/>
    <s v="Atracción de Talento y Marca Empleadora"/>
    <m/>
    <b v="0"/>
    <b v="0"/>
    <m/>
    <b v="0"/>
    <m/>
    <b v="0"/>
    <m/>
    <b v="0"/>
    <m/>
    <s v="Otros"/>
    <s v="PERSONAS DE PRUEBA"/>
    <d v="2026-09-12T00:00:00"/>
    <d v="1899-12-30T15:58:03"/>
    <s v=" 300 6329432"/>
    <s v="Carrera 42A, Envigado, Colombia"/>
    <s v="DP"/>
    <n v="72.7"/>
    <s v="Cata"/>
    <x v="47"/>
    <x v="2"/>
    <s v="OK"/>
    <x v="3"/>
    <x v="488"/>
    <x v="13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D_1" cacheId="6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6" indent="0" compact="0" compactData="0" multipleFieldFilters="0">
  <location ref="A6" firstHeaderRow="0" firstDataRow="0" firstDataCol="0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h="1"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x="0"/>
        <item h="1" x="10"/>
        <item h="1" x="7"/>
        <item h="1" x="3"/>
        <item h="1" x="4"/>
        <item h="1" x="13"/>
        <item h="1"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81">
    <i>
      <x/>
      <x v="4"/>
      <x v="29"/>
      <x v="9"/>
      <x v="248"/>
      <x v="18"/>
      <x/>
      <x v="5"/>
    </i>
    <i r="1">
      <x v="114"/>
      <x v="157"/>
      <x v="173"/>
      <x v="263"/>
      <x/>
      <x/>
      <x v="5"/>
    </i>
    <i r="1">
      <x v="152"/>
      <x v="100"/>
      <x v="128"/>
      <x v="84"/>
      <x v="18"/>
      <x/>
      <x v="5"/>
    </i>
    <i r="1">
      <x v="179"/>
      <x v="411"/>
      <x v="402"/>
      <x v="422"/>
      <x v="20"/>
      <x/>
      <x v="5"/>
    </i>
    <i r="1">
      <x v="187"/>
      <x v="344"/>
      <x v="301"/>
      <x v="133"/>
      <x v="18"/>
      <x/>
      <x v="5"/>
    </i>
    <i r="1">
      <x v="218"/>
      <x v="464"/>
      <x v="417"/>
      <x v="352"/>
      <x v="20"/>
      <x/>
      <x v="5"/>
    </i>
    <i r="1">
      <x v="223"/>
      <x v="210"/>
      <x v="227"/>
      <x v="249"/>
      <x v="37"/>
      <x/>
      <x v="5"/>
    </i>
    <i r="1">
      <x v="243"/>
      <x v="72"/>
      <x v="82"/>
      <x v="266"/>
      <x v="5"/>
      <x/>
      <x v="5"/>
    </i>
    <i r="1">
      <x v="343"/>
      <x v="272"/>
      <x v="454"/>
      <x v="267"/>
      <x v="18"/>
      <x/>
      <x v="5"/>
    </i>
    <i r="1">
      <x v="364"/>
      <x v="297"/>
      <x v="326"/>
      <x v="105"/>
      <x v="13"/>
      <x/>
      <x v="5"/>
    </i>
    <i r="1">
      <x v="405"/>
      <x v="93"/>
      <x v="95"/>
      <x v="46"/>
      <x v="18"/>
      <x/>
      <x v="5"/>
    </i>
    <i r="1">
      <x v="462"/>
      <x v="172"/>
      <x v="147"/>
      <x v="421"/>
      <x/>
      <x/>
      <x v="5"/>
    </i>
    <i>
      <x v="1"/>
      <x v="23"/>
      <x v="207"/>
      <x v="78"/>
      <x v="400"/>
      <x/>
      <x/>
      <x v="4"/>
    </i>
    <i r="1">
      <x v="34"/>
      <x v="83"/>
      <x v="120"/>
      <x v="66"/>
      <x v="18"/>
      <x/>
      <x v="4"/>
    </i>
    <i r="1">
      <x v="39"/>
      <x v="213"/>
      <x v="203"/>
      <x v="181"/>
      <x v="18"/>
      <x/>
      <x v="4"/>
    </i>
    <i r="1">
      <x v="47"/>
      <x v="216"/>
      <x v="201"/>
      <x v="120"/>
      <x v="14"/>
      <x/>
      <x v="4"/>
    </i>
    <i r="1">
      <x v="184"/>
      <x v="214"/>
      <x v="181"/>
      <x v="230"/>
      <x/>
      <x/>
      <x v="4"/>
    </i>
    <i r="1">
      <x v="238"/>
      <x v="288"/>
      <x v="289"/>
      <x/>
      <x v="47"/>
      <x/>
      <x v="4"/>
    </i>
    <i r="1">
      <x v="256"/>
      <x v="303"/>
      <x v="396"/>
      <x v="361"/>
      <x v="14"/>
      <x/>
      <x v="4"/>
    </i>
    <i r="1">
      <x v="258"/>
      <x v="350"/>
      <x v="116"/>
      <x v="115"/>
      <x v="14"/>
      <x/>
      <x v="4"/>
    </i>
    <i r="1">
      <x v="263"/>
      <x v="175"/>
      <x v="198"/>
      <x v="114"/>
      <x v="37"/>
      <x/>
      <x v="4"/>
    </i>
    <i r="1">
      <x v="447"/>
      <x v="375"/>
      <x v="363"/>
      <x v="132"/>
      <x v="18"/>
      <x/>
      <x v="4"/>
    </i>
    <i r="1">
      <x v="450"/>
      <x v="336"/>
      <x v="411"/>
      <x v="60"/>
      <x v="52"/>
      <x/>
      <x v="4"/>
    </i>
    <i>
      <x v="2"/>
      <x v="9"/>
      <x v="32"/>
      <x v="151"/>
      <x v="328"/>
      <x v="47"/>
      <x/>
      <x v="5"/>
    </i>
    <i r="1">
      <x v="102"/>
      <x v="138"/>
      <x v="163"/>
      <x v="444"/>
      <x v="11"/>
      <x/>
      <x v="5"/>
    </i>
    <i r="1">
      <x v="138"/>
      <x v="283"/>
      <x v="286"/>
      <x v="175"/>
      <x/>
      <x/>
      <x v="5"/>
    </i>
    <i r="1">
      <x v="144"/>
      <x v="293"/>
      <x v="308"/>
      <x v="439"/>
      <x v="48"/>
      <x/>
      <x v="5"/>
    </i>
    <i r="1">
      <x v="188"/>
      <x v="134"/>
      <x v="157"/>
      <x v="351"/>
      <x/>
      <x/>
      <x v="5"/>
    </i>
    <i r="1">
      <x v="209"/>
      <x v="427"/>
      <x v="420"/>
      <x v="209"/>
      <x v="47"/>
      <x/>
      <x v="5"/>
    </i>
    <i r="1">
      <x v="211"/>
      <x v="361"/>
      <x v="346"/>
      <x v="200"/>
      <x/>
      <x/>
      <x v="5"/>
    </i>
    <i r="1">
      <x v="227"/>
      <x v="327"/>
      <x v="320"/>
      <x v="111"/>
      <x v="48"/>
      <x/>
      <x v="5"/>
    </i>
    <i r="1">
      <x v="253"/>
      <x v="139"/>
      <x v="154"/>
      <x v="153"/>
      <x/>
      <x/>
      <x v="5"/>
    </i>
    <i r="1">
      <x v="368"/>
      <x v="387"/>
      <x v="374"/>
      <x v="101"/>
      <x/>
      <x/>
      <x v="5"/>
    </i>
    <i r="1">
      <x v="402"/>
      <x v="414"/>
      <x v="423"/>
      <x v="70"/>
      <x v="48"/>
      <x/>
      <x v="5"/>
    </i>
    <i r="1">
      <x v="433"/>
      <x v="65"/>
      <x v="59"/>
      <x v="180"/>
      <x/>
      <x/>
      <x v="5"/>
    </i>
    <i>
      <x v="7"/>
      <x v="16"/>
      <x v="145"/>
      <x v="170"/>
      <x v="293"/>
      <x v="37"/>
      <x/>
      <x v="4"/>
    </i>
    <i r="1">
      <x v="32"/>
      <x v="122"/>
      <x v="136"/>
      <x v="23"/>
      <x v="37"/>
      <x/>
      <x v="4"/>
    </i>
    <i r="1">
      <x v="137"/>
      <x v="334"/>
      <x v="15"/>
      <x v="423"/>
      <x v="20"/>
      <x/>
      <x v="4"/>
    </i>
    <i r="1">
      <x v="141"/>
      <x v="423"/>
      <x v="419"/>
      <x/>
      <x/>
      <x/>
      <x v="4"/>
    </i>
    <i r="1">
      <x v="164"/>
      <x v="449"/>
      <x v="442"/>
      <x v="26"/>
      <x/>
      <x/>
      <x v="4"/>
    </i>
    <i r="1">
      <x v="213"/>
      <x v="422"/>
      <x v="418"/>
      <x v="177"/>
      <x v="47"/>
      <x/>
      <x v="4"/>
    </i>
    <i r="1">
      <x v="250"/>
      <x v="26"/>
      <x v="40"/>
      <x v="68"/>
      <x/>
      <x/>
      <x v="4"/>
    </i>
    <i r="1">
      <x v="261"/>
      <x v="471"/>
      <x v="471"/>
      <x v="430"/>
      <x v="47"/>
      <x/>
      <x v="4"/>
    </i>
    <i r="1">
      <x v="301"/>
      <x v="123"/>
      <x v="137"/>
      <x v="415"/>
      <x/>
      <x/>
      <x v="4"/>
    </i>
    <i r="1">
      <x v="337"/>
      <x v="94"/>
      <x v="101"/>
      <x v="458"/>
      <x v="37"/>
      <x/>
      <x v="4"/>
    </i>
    <i r="1">
      <x v="370"/>
      <x v="196"/>
      <x v="221"/>
      <x v="403"/>
      <x v="37"/>
      <x/>
      <x v="4"/>
    </i>
    <i r="1">
      <x v="454"/>
      <x v="315"/>
      <x v="328"/>
      <x v="295"/>
      <x v="8"/>
      <x/>
      <x v="4"/>
    </i>
    <i>
      <x v="8"/>
      <x v="15"/>
      <x v="117"/>
      <x v="131"/>
      <x v="126"/>
      <x v="18"/>
      <x/>
      <x v="4"/>
    </i>
    <i r="1">
      <x v="25"/>
      <x v="81"/>
      <x v="88"/>
      <x v="321"/>
      <x/>
      <x/>
      <x v="4"/>
    </i>
    <i r="1">
      <x v="35"/>
      <x v="151"/>
      <x v="174"/>
      <x v="91"/>
      <x v="42"/>
      <x/>
      <x v="4"/>
    </i>
    <i r="1">
      <x v="233"/>
      <x v="43"/>
      <x v="46"/>
      <x v="118"/>
      <x v="37"/>
      <x/>
      <x v="4"/>
    </i>
    <i r="1">
      <x v="234"/>
      <x v="66"/>
      <x v="72"/>
      <x v="433"/>
      <x/>
      <x/>
      <x v="4"/>
    </i>
    <i r="1">
      <x v="273"/>
      <x v="477"/>
      <x v="164"/>
      <x v="330"/>
      <x/>
      <x/>
      <x v="4"/>
    </i>
    <i r="1">
      <x v="275"/>
      <x v="372"/>
      <x v="360"/>
      <x/>
      <x v="37"/>
      <x/>
      <x v="4"/>
    </i>
    <i r="1">
      <x v="330"/>
      <x v="147"/>
      <x v="169"/>
      <x v="37"/>
      <x v="37"/>
      <x/>
      <x v="4"/>
    </i>
    <i r="1">
      <x v="380"/>
      <x v="205"/>
      <x v="223"/>
      <x v="189"/>
      <x v="18"/>
      <x/>
      <x v="4"/>
    </i>
    <i r="1">
      <x v="472"/>
      <x v="159"/>
      <x v="184"/>
      <x v="77"/>
      <x v="37"/>
      <x/>
      <x v="4"/>
    </i>
    <i>
      <x v="9"/>
      <x v="26"/>
      <x v="92"/>
      <x v="94"/>
      <x v="178"/>
      <x v="37"/>
      <x/>
      <x v="5"/>
    </i>
    <i r="1">
      <x v="113"/>
      <x v="18"/>
      <x v="28"/>
      <x v="204"/>
      <x/>
      <x/>
      <x v="5"/>
    </i>
    <i r="1">
      <x v="148"/>
      <x v="222"/>
      <x v="226"/>
      <x v="52"/>
      <x v="48"/>
      <x/>
      <x v="5"/>
    </i>
    <i r="1">
      <x v="212"/>
      <x v="447"/>
      <x v="445"/>
      <x v="135"/>
      <x/>
      <x/>
      <x v="5"/>
    </i>
    <i r="1">
      <x v="214"/>
      <x v="383"/>
      <x v="464"/>
      <x v="406"/>
      <x/>
      <x/>
      <x v="5"/>
    </i>
    <i r="1">
      <x v="225"/>
      <x v="237"/>
      <x v="244"/>
      <x v="155"/>
      <x v="48"/>
      <x/>
      <x v="5"/>
    </i>
    <i r="1">
      <x v="249"/>
      <x v="357"/>
      <x v="297"/>
      <x v="144"/>
      <x/>
      <x/>
      <x v="5"/>
    </i>
    <i r="1">
      <x v="366"/>
      <x v="52"/>
      <x v="56"/>
      <x v="225"/>
      <x v="37"/>
      <x/>
      <x v="5"/>
    </i>
    <i r="1">
      <x v="412"/>
      <x v="23"/>
      <x v="438"/>
      <x v="329"/>
      <x/>
      <x/>
      <x v="5"/>
    </i>
    <i r="1">
      <x v="464"/>
      <x v="295"/>
      <x v="315"/>
      <x v="30"/>
      <x v="37"/>
      <x/>
      <x v="5"/>
    </i>
    <i>
      <x v="10"/>
      <x v="61"/>
      <x v="136"/>
      <x v="480"/>
      <x v="136"/>
      <x v="20"/>
      <x/>
      <x v="5"/>
    </i>
    <i r="1">
      <x v="163"/>
      <x v="468"/>
      <x v="461"/>
      <x v="315"/>
      <x v="20"/>
      <x/>
      <x v="5"/>
    </i>
    <i r="1">
      <x v="169"/>
      <x v="362"/>
      <x v="344"/>
      <x v="4"/>
      <x v="18"/>
      <x/>
      <x v="5"/>
    </i>
    <i r="1">
      <x v="180"/>
      <x v="8"/>
      <x v="18"/>
      <x v="312"/>
      <x v="37"/>
      <x/>
      <x v="5"/>
    </i>
    <i r="1">
      <x v="281"/>
      <x v="431"/>
      <x v="431"/>
      <x v="434"/>
      <x v="18"/>
      <x/>
      <x v="5"/>
    </i>
    <i r="1">
      <x v="300"/>
      <x v="437"/>
      <x v="428"/>
      <x v="349"/>
      <x v="47"/>
      <x/>
      <x v="5"/>
    </i>
    <i r="1">
      <x v="420"/>
      <x v="162"/>
      <x v="204"/>
      <x v="202"/>
      <x v="18"/>
      <x/>
      <x v="5"/>
    </i>
    <i r="1">
      <x v="484"/>
      <x v="279"/>
      <x v="280"/>
      <x v="428"/>
      <x v="13"/>
      <x/>
      <x v="5"/>
    </i>
    <i r="1">
      <x v="494"/>
      <x v="495"/>
      <x v="495"/>
      <x v="483"/>
      <x v="37"/>
      <x/>
      <x v="5"/>
    </i>
    <i r="1">
      <x v="495"/>
      <x v="496"/>
      <x v="496"/>
      <x v="484"/>
      <x v="47"/>
      <x/>
      <x v="5"/>
    </i>
    <i r="1">
      <x v="496"/>
      <x v="497"/>
      <x v="497"/>
      <x v="485"/>
      <x v="37"/>
      <x/>
      <x v="5"/>
    </i>
    <i r="1">
      <x v="497"/>
      <x v="498"/>
      <x v="498"/>
      <x v="486"/>
      <x/>
      <x/>
      <x v="5"/>
    </i>
    <i>
      <x v="11"/>
      <x/>
      <x v="143"/>
      <x v="57"/>
      <x v="168"/>
      <x v="42"/>
      <x/>
      <x v="4"/>
    </i>
    <i r="1">
      <x v="12"/>
      <x v="46"/>
      <x v="48"/>
      <x v="482"/>
      <x v="49"/>
      <x/>
      <x v="4"/>
    </i>
    <i r="1">
      <x v="28"/>
      <x v="191"/>
      <x v="219"/>
      <x v="479"/>
      <x/>
      <x/>
      <x v="4"/>
    </i>
    <i r="1">
      <x v="116"/>
      <x v="343"/>
      <x v="314"/>
      <x v="44"/>
      <x v="46"/>
      <x/>
      <x v="4"/>
    </i>
    <i r="1">
      <x v="133"/>
      <x v="21"/>
      <x v="439"/>
      <x v="369"/>
      <x v="42"/>
      <x/>
      <x v="4"/>
    </i>
    <i r="1">
      <x v="176"/>
      <x v="264"/>
      <x v="267"/>
      <x v="160"/>
      <x v="42"/>
      <x/>
      <x v="4"/>
    </i>
    <i r="1">
      <x v="201"/>
      <x v="154"/>
      <x v="175"/>
      <x v="301"/>
      <x v="11"/>
      <x/>
      <x v="4"/>
    </i>
    <i r="1">
      <x v="242"/>
      <x v="259"/>
      <x v="263"/>
      <x v="432"/>
      <x v="11"/>
      <x/>
      <x v="4"/>
    </i>
    <i r="1">
      <x v="467"/>
      <x v="289"/>
      <x v="290"/>
      <x v="258"/>
      <x/>
      <x/>
      <x v="4"/>
    </i>
    <i>
      <x v="22"/>
      <x v="5"/>
      <x v="155"/>
      <x v="176"/>
      <x v="62"/>
      <x v="47"/>
      <x/>
      <x v="5"/>
    </i>
    <i r="1">
      <x v="13"/>
      <x v="390"/>
      <x v="79"/>
      <x v="440"/>
      <x v="47"/>
      <x/>
      <x v="5"/>
    </i>
    <i r="1">
      <x v="22"/>
      <x v="202"/>
      <x v="220"/>
      <x v="158"/>
      <x/>
      <x/>
      <x v="5"/>
    </i>
    <i r="1">
      <x v="38"/>
      <x v="27"/>
      <x v="397"/>
      <x v="61"/>
      <x/>
      <x/>
      <x v="5"/>
    </i>
    <i r="1">
      <x v="167"/>
      <x v="455"/>
      <x v="457"/>
      <x v="265"/>
      <x v="37"/>
      <x/>
      <x v="5"/>
    </i>
    <i r="1">
      <x v="224"/>
      <x v="25"/>
      <x v="32"/>
      <x v="165"/>
      <x v="47"/>
      <x/>
      <x v="5"/>
    </i>
    <i r="1">
      <x v="245"/>
      <x v="444"/>
      <x v="444"/>
      <x v="171"/>
      <x v="37"/>
      <x/>
      <x v="5"/>
    </i>
    <i r="1">
      <x v="254"/>
      <x v="453"/>
      <x v="436"/>
      <x v="218"/>
      <x v="37"/>
      <x/>
      <x v="5"/>
    </i>
    <i r="1">
      <x v="257"/>
      <x v="481"/>
      <x v="482"/>
      <x/>
      <x v="41"/>
      <x/>
      <x v="5"/>
    </i>
    <i r="1">
      <x v="259"/>
      <x v="271"/>
      <x v="273"/>
      <x v="207"/>
      <x v="9"/>
      <x/>
      <x v="5"/>
    </i>
    <i r="1">
      <x v="403"/>
      <x v="128"/>
      <x v="143"/>
      <x v="373"/>
      <x v="41"/>
      <x/>
      <x v="5"/>
    </i>
    <i>
      <x v="24"/>
      <x v="24"/>
      <x v="443"/>
      <x v="443"/>
      <x v="368"/>
      <x/>
      <x v="3"/>
      <x v="2"/>
    </i>
    <i r="1">
      <x v="36"/>
      <x v="460"/>
      <x v="465"/>
      <x v="152"/>
      <x/>
      <x v="3"/>
      <x v="2"/>
    </i>
    <i r="1">
      <x v="134"/>
      <x v="258"/>
      <x v="262"/>
      <x v="221"/>
      <x v="49"/>
      <x v="3"/>
      <x v="2"/>
    </i>
    <i r="1">
      <x v="146"/>
      <x v="105"/>
      <x v="110"/>
      <x/>
      <x v="49"/>
      <x v="3"/>
      <x v="2"/>
    </i>
    <i r="1">
      <x v="150"/>
      <x v="132"/>
      <x v="149"/>
      <x v="256"/>
      <x/>
      <x v="3"/>
      <x v="2"/>
    </i>
    <i r="1">
      <x v="170"/>
      <x v="49"/>
      <x v="52"/>
      <x v="257"/>
      <x v="11"/>
      <x v="3"/>
      <x v="2"/>
    </i>
    <i r="1">
      <x v="175"/>
      <x v="33"/>
      <x v="38"/>
      <x v="481"/>
      <x v="42"/>
      <x v="3"/>
      <x v="2"/>
    </i>
    <i r="1">
      <x v="182"/>
      <x v="24"/>
      <x v="31"/>
      <x v="408"/>
      <x/>
      <x v="3"/>
      <x v="2"/>
    </i>
    <i r="1">
      <x v="183"/>
      <x v="386"/>
      <x v="398"/>
      <x v="322"/>
      <x v="15"/>
      <x v="3"/>
      <x v="2"/>
    </i>
    <i r="1">
      <x v="189"/>
      <x v="90"/>
      <x v="13"/>
      <x v="260"/>
      <x v="42"/>
      <x v="3"/>
      <x v="2"/>
    </i>
    <i r="1">
      <x v="410"/>
      <x v="127"/>
      <x v="142"/>
      <x v="325"/>
      <x v="11"/>
      <x v="3"/>
      <x v="2"/>
    </i>
    <i>
      <x v="25"/>
      <x v="30"/>
      <x v="338"/>
      <x v="309"/>
      <x v="286"/>
      <x v="11"/>
      <x v="3"/>
      <x v="2"/>
    </i>
    <i r="1">
      <x v="85"/>
      <x v="394"/>
      <x v="384"/>
      <x v="201"/>
      <x v="15"/>
      <x v="3"/>
      <x v="2"/>
    </i>
    <i r="1">
      <x v="120"/>
      <x v="17"/>
      <x v="29"/>
      <x v="294"/>
      <x v="42"/>
      <x v="3"/>
      <x v="2"/>
    </i>
    <i r="1">
      <x v="145"/>
      <x v="189"/>
      <x v="61"/>
      <x v="399"/>
      <x v="49"/>
      <x v="3"/>
      <x v="2"/>
    </i>
    <i r="1">
      <x v="153"/>
      <x v="285"/>
      <x v="288"/>
      <x v="456"/>
      <x v="11"/>
      <x v="3"/>
      <x v="2"/>
    </i>
    <i r="1">
      <x v="158"/>
      <x v="325"/>
      <x v="292"/>
      <x v="11"/>
      <x v="18"/>
      <x v="3"/>
      <x v="2"/>
    </i>
    <i r="1">
      <x v="190"/>
      <x v="317"/>
      <x v="355"/>
      <x v="365"/>
      <x v="47"/>
      <x v="3"/>
      <x v="2"/>
    </i>
    <i r="1">
      <x v="239"/>
      <x v="399"/>
      <x v="385"/>
      <x v="157"/>
      <x v="42"/>
      <x v="3"/>
      <x v="2"/>
    </i>
    <i r="1">
      <x v="241"/>
      <x v="401"/>
      <x v="387"/>
      <x/>
      <x v="49"/>
      <x v="3"/>
      <x v="2"/>
    </i>
    <i r="1">
      <x v="385"/>
      <x v="429"/>
      <x v="339"/>
      <x v="73"/>
      <x v="11"/>
      <x v="3"/>
      <x v="2"/>
    </i>
    <i>
      <x v="26"/>
      <x v="19"/>
      <x v="187"/>
      <x v="218"/>
      <x v="337"/>
      <x v="42"/>
      <x v="3"/>
      <x v="2"/>
    </i>
    <i r="1">
      <x v="124"/>
      <x v="384"/>
      <x v="371"/>
      <x v="239"/>
      <x v="44"/>
      <x v="3"/>
      <x v="2"/>
    </i>
    <i r="1">
      <x v="128"/>
      <x v="472"/>
      <x v="477"/>
      <x/>
      <x v="12"/>
      <x v="3"/>
      <x v="2"/>
    </i>
    <i r="1">
      <x v="139"/>
      <x v="75"/>
      <x v="80"/>
      <x v="442"/>
      <x v="11"/>
      <x v="3"/>
      <x v="2"/>
    </i>
    <i r="1">
      <x v="147"/>
      <x v="239"/>
      <x v="248"/>
      <x v="476"/>
      <x v="11"/>
      <x v="3"/>
      <x v="2"/>
    </i>
    <i r="1">
      <x v="160"/>
      <x v="415"/>
      <x v="410"/>
      <x v="127"/>
      <x v="47"/>
      <x v="3"/>
      <x v="2"/>
    </i>
    <i r="1">
      <x v="185"/>
      <x v="242"/>
      <x v="250"/>
      <x/>
      <x/>
      <x v="3"/>
      <x v="2"/>
    </i>
    <i r="1">
      <x v="232"/>
      <x v="457"/>
      <x v="460"/>
      <x v="57"/>
      <x v="15"/>
      <x v="3"/>
      <x v="2"/>
    </i>
    <i r="1">
      <x v="324"/>
      <x v="363"/>
      <x v="343"/>
      <x v="1"/>
      <x v="47"/>
      <x v="3"/>
      <x v="2"/>
    </i>
    <i r="1">
      <x v="390"/>
      <x v="146"/>
      <x v="171"/>
      <x v="447"/>
      <x v="47"/>
      <x v="3"/>
      <x v="2"/>
    </i>
    <i>
      <x v="27"/>
      <x v="55"/>
      <x v="74"/>
      <x v="379"/>
      <x v="199"/>
      <x v="47"/>
      <x v="3"/>
      <x v="2"/>
    </i>
    <i r="1">
      <x v="140"/>
      <x v="333"/>
      <x v="304"/>
      <x v="161"/>
      <x v="42"/>
      <x v="3"/>
      <x v="2"/>
    </i>
    <i r="1">
      <x v="142"/>
      <x v="54"/>
      <x v="64"/>
      <x v="137"/>
      <x v="11"/>
      <x v="3"/>
      <x v="2"/>
    </i>
    <i r="1">
      <x v="165"/>
      <x v="185"/>
      <x v="211"/>
      <x v="284"/>
      <x v="42"/>
      <x v="3"/>
      <x v="2"/>
    </i>
    <i r="1">
      <x v="181"/>
      <x v="156"/>
      <x v="178"/>
      <x v="143"/>
      <x/>
      <x v="3"/>
      <x v="2"/>
    </i>
    <i r="1">
      <x v="202"/>
      <x v="226"/>
      <x v="238"/>
      <x v="302"/>
      <x v="11"/>
      <x v="3"/>
      <x v="2"/>
    </i>
    <i r="1">
      <x v="205"/>
      <x v="445"/>
      <x v="441"/>
      <x v="372"/>
      <x v="42"/>
      <x v="3"/>
      <x v="2"/>
    </i>
    <i r="1">
      <x v="220"/>
      <x v="252"/>
      <x v="260"/>
      <x v="76"/>
      <x v="11"/>
      <x v="3"/>
      <x v="2"/>
    </i>
    <i r="1">
      <x v="264"/>
      <x v="458"/>
      <x v="475"/>
      <x v="179"/>
      <x/>
      <x v="3"/>
      <x v="2"/>
    </i>
    <i r="1">
      <x v="344"/>
      <x v="326"/>
      <x v="325"/>
      <x v="389"/>
      <x v="47"/>
      <x v="3"/>
      <x v="2"/>
    </i>
    <i r="1">
      <x v="361"/>
      <x v="311"/>
      <x v="317"/>
      <x v="51"/>
      <x/>
      <x v="3"/>
      <x v="2"/>
    </i>
    <i>
      <x v="28"/>
      <x v="40"/>
      <x v="1"/>
      <x v="7"/>
      <x v="346"/>
      <x v="48"/>
      <x/>
      <x v="5"/>
    </i>
    <i r="1">
      <x v="75"/>
      <x v="35"/>
      <x v="39"/>
      <x v="88"/>
      <x v="47"/>
      <x/>
      <x v="5"/>
    </i>
    <i r="1">
      <x v="135"/>
      <x v="265"/>
      <x v="266"/>
      <x v="461"/>
      <x v="48"/>
      <x/>
      <x v="5"/>
    </i>
    <i r="1">
      <x v="157"/>
      <x v="255"/>
      <x v="259"/>
      <x v="194"/>
      <x/>
      <x/>
      <x v="5"/>
    </i>
    <i r="1">
      <x v="173"/>
      <x v="165"/>
      <x v="192"/>
      <x v="121"/>
      <x v="52"/>
      <x/>
      <x v="5"/>
    </i>
    <i r="1">
      <x v="198"/>
      <x v="107"/>
      <x v="111"/>
      <x v="65"/>
      <x/>
      <x/>
      <x v="5"/>
    </i>
    <i r="1">
      <x v="210"/>
      <x v="137"/>
      <x v="153"/>
      <x v="382"/>
      <x v="48"/>
      <x/>
      <x v="5"/>
    </i>
    <i r="1">
      <x v="230"/>
      <x v="106"/>
      <x v="112"/>
      <x v="206"/>
      <x/>
      <x/>
      <x v="5"/>
    </i>
    <i r="1">
      <x v="244"/>
      <x v="15"/>
      <x v="25"/>
      <x v="255"/>
      <x v="11"/>
      <x/>
      <x v="5"/>
    </i>
    <i r="1">
      <x v="351"/>
      <x v="479"/>
      <x v="478"/>
      <x v="219"/>
      <x v="37"/>
      <x/>
      <x v="5"/>
    </i>
    <i r="1">
      <x v="376"/>
      <x v="234"/>
      <x v="245"/>
      <x v="455"/>
      <x v="48"/>
      <x/>
      <x v="5"/>
    </i>
    <i r="1">
      <x v="441"/>
      <x v="47"/>
      <x v="23"/>
      <x v="362"/>
      <x v="48"/>
      <x/>
      <x v="5"/>
    </i>
    <i>
      <x v="29"/>
      <x v="121"/>
      <x v="212"/>
      <x v="229"/>
      <x v="345"/>
      <x v="11"/>
      <x/>
      <x v="4"/>
    </i>
    <i r="1">
      <x v="131"/>
      <x v="308"/>
      <x v="300"/>
      <x v="129"/>
      <x v="11"/>
      <x/>
      <x v="4"/>
    </i>
    <i r="1">
      <x v="136"/>
      <x v="313"/>
      <x v="349"/>
      <x v="268"/>
      <x v="37"/>
      <x/>
      <x v="4"/>
    </i>
    <i r="1">
      <x v="171"/>
      <x v="247"/>
      <x v="261"/>
      <x v="466"/>
      <x v="48"/>
      <x/>
      <x v="4"/>
    </i>
    <i r="1">
      <x v="199"/>
      <x v="305"/>
      <x v="310"/>
      <x v="25"/>
      <x v="48"/>
      <x/>
      <x v="4"/>
    </i>
    <i r="1">
      <x v="200"/>
      <x v="341"/>
      <x v="312"/>
      <x v="104"/>
      <x/>
      <x/>
      <x v="4"/>
    </i>
    <i r="1">
      <x v="216"/>
      <x v="366"/>
      <x v="358"/>
      <x v="338"/>
      <x v="48"/>
      <x/>
      <x v="4"/>
    </i>
    <i r="1">
      <x v="235"/>
      <x v="376"/>
      <x v="376"/>
      <x v="98"/>
      <x/>
      <x/>
      <x v="4"/>
    </i>
    <i r="1">
      <x v="267"/>
      <x v="310"/>
      <x v="283"/>
      <x v="47"/>
      <x v="48"/>
      <x/>
      <x v="4"/>
    </i>
    <i r="1">
      <x v="286"/>
      <x v="149"/>
      <x v="177"/>
      <x v="335"/>
      <x v="48"/>
      <x/>
      <x v="4"/>
    </i>
    <i>
      <x v="34"/>
      <x v="67"/>
      <x v="395"/>
      <x v="383"/>
      <x v="475"/>
      <x v="14"/>
      <x v="8"/>
      <x v="8"/>
    </i>
    <i r="1">
      <x v="117"/>
      <x v="420"/>
      <x v="451"/>
      <x v="343"/>
      <x v="52"/>
      <x v="8"/>
      <x v="8"/>
    </i>
    <i r="1">
      <x v="155"/>
      <x v="369"/>
      <x v="359"/>
      <x v="392"/>
      <x v="19"/>
      <x v="8"/>
      <x v="8"/>
    </i>
    <i r="1">
      <x v="161"/>
      <x v="435"/>
      <x v="430"/>
      <x v="113"/>
      <x v="20"/>
      <x v="8"/>
      <x v="8"/>
    </i>
    <i r="1">
      <x v="206"/>
      <x v="432"/>
      <x v="424"/>
      <x v="443"/>
      <x v="20"/>
      <x v="8"/>
      <x v="8"/>
    </i>
    <i r="1">
      <x v="266"/>
      <x v="206"/>
      <x v="233"/>
      <x v="316"/>
      <x v="47"/>
      <x v="8"/>
      <x v="8"/>
    </i>
    <i r="1">
      <x v="359"/>
      <x v="436"/>
      <x v="434"/>
      <x v="211"/>
      <x v="37"/>
      <x v="8"/>
      <x v="8"/>
    </i>
    <i r="1">
      <x v="387"/>
      <x v="190"/>
      <x v="187"/>
      <x v="464"/>
      <x v="37"/>
      <x v="8"/>
      <x v="8"/>
    </i>
    <i r="1">
      <x v="437"/>
      <x v="284"/>
      <x v="287"/>
      <x v="169"/>
      <x v="47"/>
      <x v="8"/>
      <x v="8"/>
    </i>
    <i r="1">
      <x v="438"/>
      <x v="493"/>
      <x v="43"/>
      <x v="451"/>
      <x v="37"/>
      <x v="8"/>
      <x v="8"/>
    </i>
    <i r="1">
      <x v="470"/>
      <x v="329"/>
      <x v="322"/>
      <x v="217"/>
      <x v="37"/>
      <x v="8"/>
      <x v="8"/>
    </i>
    <i>
      <x v="44"/>
      <x v="37"/>
      <x v="130"/>
      <x v="145"/>
      <x v="401"/>
      <x v="35"/>
      <x/>
      <x v="5"/>
    </i>
    <i r="1">
      <x v="52"/>
      <x v="260"/>
      <x v="472"/>
      <x v="234"/>
      <x v="33"/>
      <x/>
      <x v="5"/>
    </i>
    <i r="1">
      <x v="132"/>
      <x v="131"/>
      <x v="148"/>
      <x v="436"/>
      <x v="32"/>
      <x/>
      <x v="5"/>
    </i>
    <i r="1">
      <x v="186"/>
      <x v="314"/>
      <x v="323"/>
      <x v="159"/>
      <x v="32"/>
      <x/>
      <x v="5"/>
    </i>
    <i r="1">
      <x v="236"/>
      <x v="194"/>
      <x v="189"/>
      <x v="166"/>
      <x v="19"/>
      <x/>
      <x v="5"/>
    </i>
    <i r="1">
      <x v="276"/>
      <x v="245"/>
      <x v="255"/>
      <x v="28"/>
      <x v="7"/>
      <x/>
      <x v="5"/>
    </i>
    <i r="1">
      <x v="375"/>
      <x v="85"/>
      <x v="107"/>
      <x v="164"/>
      <x v="32"/>
      <x/>
      <x v="5"/>
    </i>
  </rowItems>
  <colItems count="1">
    <i/>
  </colItems>
  <pageFields count="2">
    <pageField fld="50" hier="-1"/>
    <pageField fld="46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D_2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22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h="1" x="12"/>
        <item h="1" x="11"/>
        <item h="1" x="5"/>
        <item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6">
    <i>
      <x v="6"/>
      <x v="77"/>
      <x v="400"/>
      <x v="60"/>
      <x v="304"/>
      <x v="50"/>
      <x v="2"/>
      <x/>
    </i>
    <i r="1">
      <x v="93"/>
      <x v="374"/>
      <x v="362"/>
      <x v="16"/>
      <x v="40"/>
      <x v="2"/>
      <x/>
    </i>
    <i r="1">
      <x v="100"/>
      <x v="50"/>
      <x v="378"/>
      <x v="334"/>
      <x v="40"/>
      <x v="2"/>
      <x/>
    </i>
    <i r="1">
      <x v="391"/>
      <x v="379"/>
      <x v="365"/>
      <x v="20"/>
      <x v="40"/>
      <x v="2"/>
      <x/>
    </i>
    <i r="1">
      <x v="394"/>
      <x v="192"/>
      <x v="77"/>
      <x v="331"/>
      <x v="21"/>
      <x v="2"/>
      <x/>
    </i>
    <i r="1">
      <x v="443"/>
      <x v="382"/>
      <x v="373"/>
      <x v="250"/>
      <x v="37"/>
      <x v="2"/>
      <x/>
    </i>
    <i r="1">
      <x v="445"/>
      <x v="268"/>
      <x v="269"/>
      <x v="363"/>
      <x v="50"/>
      <x v="2"/>
      <x/>
    </i>
    <i r="1">
      <x v="461"/>
      <x v="253"/>
      <x v="158"/>
      <x v="450"/>
      <x v="40"/>
      <x v="2"/>
      <x/>
    </i>
    <i>
      <x v="18"/>
      <x v="63"/>
      <x v="44"/>
      <x v="165"/>
      <x v="243"/>
      <x v="37"/>
      <x v="2"/>
      <x/>
    </i>
    <i r="1">
      <x v="72"/>
      <x v="71"/>
      <x v="83"/>
      <x v="383"/>
      <x v="37"/>
      <x v="2"/>
      <x/>
    </i>
    <i r="1">
      <x v="79"/>
      <x v="392"/>
      <x v="103"/>
      <x/>
      <x v="39"/>
      <x v="2"/>
      <x/>
    </i>
    <i r="1">
      <x v="103"/>
      <x v="6"/>
      <x v="17"/>
      <x v="222"/>
      <x v="40"/>
      <x v="2"/>
      <x/>
    </i>
    <i r="1">
      <x v="105"/>
      <x v="62"/>
      <x v="73"/>
      <x v="463"/>
      <x v="37"/>
      <x v="2"/>
      <x/>
    </i>
    <i r="1">
      <x v="397"/>
      <x v="112"/>
      <x v="122"/>
      <x v="151"/>
      <x v="37"/>
      <x v="2"/>
      <x/>
    </i>
    <i r="1">
      <x v="398"/>
      <x v="161"/>
      <x v="109"/>
      <x v="374"/>
      <x v="37"/>
      <x v="2"/>
      <x/>
    </i>
    <i r="1">
      <x v="492"/>
      <x v="360"/>
      <x v="345"/>
      <x v="236"/>
      <x v="38"/>
      <x v="2"/>
      <x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D_3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38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h="1" x="12"/>
        <item h="1" x="11"/>
        <item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32">
    <i>
      <x v="5"/>
      <x v="434"/>
      <x v="419"/>
      <x v="413"/>
      <x v="273"/>
      <x v="27"/>
      <x v="4"/>
      <x v="5"/>
    </i>
    <i r="1">
      <x v="439"/>
      <x v="103"/>
      <x v="105"/>
      <x v="283"/>
      <x v="40"/>
      <x v="4"/>
      <x v="5"/>
    </i>
    <i r="1">
      <x v="456"/>
      <x v="180"/>
      <x v="207"/>
      <x v="198"/>
      <x v="37"/>
      <x v="4"/>
      <x v="5"/>
    </i>
    <i r="1">
      <x v="473"/>
      <x v="355"/>
      <x v="277"/>
      <x v="102"/>
      <x v="37"/>
      <x v="4"/>
      <x v="5"/>
    </i>
    <i r="1">
      <x v="487"/>
      <x v="208"/>
      <x v="215"/>
      <x v="125"/>
      <x v="40"/>
      <x v="4"/>
      <x v="5"/>
    </i>
    <i>
      <x v="15"/>
      <x v="96"/>
      <x v="278"/>
      <x v="352"/>
      <x v="339"/>
      <x v="50"/>
      <x v="4"/>
      <x v="5"/>
    </i>
    <i r="1">
      <x v="290"/>
      <x v="309"/>
      <x v="311"/>
      <x v="14"/>
      <x v="26"/>
      <x v="4"/>
      <x v="5"/>
    </i>
    <i r="1">
      <x v="356"/>
      <x v="306"/>
      <x v="313"/>
      <x v="124"/>
      <x v="29"/>
      <x v="4"/>
      <x v="5"/>
    </i>
    <i r="1">
      <x v="424"/>
      <x v="428"/>
      <x v="421"/>
      <x v="398"/>
      <x v="40"/>
      <x v="4"/>
      <x v="5"/>
    </i>
    <i r="1">
      <x v="428"/>
      <x v="88"/>
      <x v="407"/>
      <x v="380"/>
      <x v="54"/>
      <x v="4"/>
      <x v="5"/>
    </i>
    <i r="1">
      <x v="429"/>
      <x v="291"/>
      <x v="20"/>
      <x v="40"/>
      <x v="37"/>
      <x v="4"/>
      <x v="5"/>
    </i>
    <i r="1">
      <x v="432"/>
      <x v="257"/>
      <x v="257"/>
      <x v="262"/>
      <x v="37"/>
      <x v="4"/>
      <x v="5"/>
    </i>
    <i r="1">
      <x v="446"/>
      <x v="219"/>
      <x v="224"/>
      <x v="478"/>
      <x v="50"/>
      <x v="4"/>
      <x v="5"/>
    </i>
    <i>
      <x v="17"/>
      <x v="101"/>
      <x v="231"/>
      <x v="242"/>
      <x v="274"/>
      <x v="27"/>
      <x v="4"/>
      <x v="5"/>
    </i>
    <i r="1">
      <x v="354"/>
      <x v="367"/>
      <x v="364"/>
      <x v="371"/>
      <x v="27"/>
      <x v="4"/>
      <x v="5"/>
    </i>
    <i r="1">
      <x v="396"/>
      <x v="13"/>
      <x v="401"/>
      <x v="251"/>
      <x v="37"/>
      <x v="4"/>
      <x v="5"/>
    </i>
    <i r="1">
      <x v="425"/>
      <x v="492"/>
      <x v="353"/>
      <x v="311"/>
      <x v="27"/>
      <x v="4"/>
      <x v="5"/>
    </i>
    <i r="1">
      <x v="483"/>
      <x v="290"/>
      <x v="291"/>
      <x v="454"/>
      <x v="35"/>
      <x v="4"/>
      <x v="5"/>
    </i>
    <i r="1">
      <x v="485"/>
      <x v="37"/>
      <x v="3"/>
      <x v="96"/>
      <x v="27"/>
      <x v="4"/>
      <x v="5"/>
    </i>
    <i>
      <x v="19"/>
      <x v="110"/>
      <x v="176"/>
      <x v="199"/>
      <x v="449"/>
      <x v="40"/>
      <x v="4"/>
      <x v="5"/>
    </i>
    <i r="1">
      <x v="436"/>
      <x v="230"/>
      <x v="241"/>
      <x v="192"/>
      <x v="37"/>
      <x v="4"/>
      <x v="5"/>
    </i>
    <i r="1">
      <x v="453"/>
      <x v="408"/>
      <x v="395"/>
      <x v="323"/>
      <x v="32"/>
      <x v="4"/>
      <x v="5"/>
    </i>
    <i r="1">
      <x v="458"/>
      <x v="430"/>
      <x v="425"/>
      <x v="344"/>
      <x v="33"/>
      <x v="4"/>
      <x v="5"/>
    </i>
    <i r="1">
      <x v="459"/>
      <x v="12"/>
      <x v="22"/>
      <x v="259"/>
      <x v="40"/>
      <x v="4"/>
      <x v="5"/>
    </i>
    <i r="1">
      <x v="466"/>
      <x v="409"/>
      <x v="70"/>
      <x v="281"/>
      <x v="32"/>
      <x v="4"/>
      <x v="5"/>
    </i>
    <i r="1">
      <x v="489"/>
      <x v="494"/>
      <x v="235"/>
      <x v="474"/>
      <x v="38"/>
      <x v="4"/>
      <x v="5"/>
    </i>
    <i>
      <x v="36"/>
      <x v="107"/>
      <x v="129"/>
      <x v="144"/>
      <x v="435"/>
      <x v="37"/>
      <x v="4"/>
      <x v="5"/>
    </i>
    <i r="1">
      <x v="122"/>
      <x v="152"/>
      <x v="51"/>
      <x v="291"/>
      <x v="48"/>
      <x v="4"/>
      <x v="5"/>
    </i>
    <i r="1">
      <x v="381"/>
      <x v="482"/>
      <x v="484"/>
      <x v="252"/>
      <x/>
      <x v="4"/>
      <x v="5"/>
    </i>
    <i r="1">
      <x v="449"/>
      <x v="238"/>
      <x v="243"/>
      <x v="359"/>
      <x v="43"/>
      <x v="4"/>
      <x v="5"/>
    </i>
    <i r="1">
      <x v="451"/>
      <x v="98"/>
      <x v="92"/>
      <x v="310"/>
      <x v="42"/>
      <x v="4"/>
      <x v="5"/>
    </i>
    <i r="1">
      <x v="455"/>
      <x v="223"/>
      <x v="237"/>
      <x v="306"/>
      <x v="37"/>
      <x v="4"/>
      <x v="5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D_4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7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x="13"/>
        <item h="1"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">
    <i>
      <x v="13"/>
      <x v="251"/>
      <x v="312"/>
      <x v="338"/>
      <x v="457"/>
      <x v="37"/>
      <x v="8"/>
      <x v="8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TD_5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23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h="1" x="12"/>
        <item h="1" x="11"/>
        <item h="1" x="5"/>
        <item h="1" x="2"/>
        <item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7">
    <i>
      <x v="23"/>
      <x v="228"/>
      <x v="339"/>
      <x v="333"/>
      <x v="419"/>
      <x/>
      <x v="6"/>
      <x v="7"/>
    </i>
    <i r="1">
      <x v="229"/>
      <x v="487"/>
      <x v="488"/>
      <x v="139"/>
      <x/>
      <x v="6"/>
      <x v="7"/>
    </i>
    <i r="1">
      <x v="240"/>
      <x v="292"/>
      <x v="302"/>
      <x v="412"/>
      <x/>
      <x v="6"/>
      <x v="7"/>
    </i>
    <i r="1">
      <x v="284"/>
      <x v="211"/>
      <x v="202"/>
      <x v="411"/>
      <x v="47"/>
      <x v="6"/>
      <x v="7"/>
    </i>
    <i r="1">
      <x v="289"/>
      <x v="173"/>
      <x v="427"/>
      <x v="176"/>
      <x v="47"/>
      <x v="6"/>
      <x v="7"/>
    </i>
    <i r="1">
      <x v="363"/>
      <x v="86"/>
      <x v="394"/>
      <x v="350"/>
      <x v="37"/>
      <x v="6"/>
      <x v="7"/>
    </i>
    <i r="1">
      <x v="471"/>
      <x v="319"/>
      <x v="319"/>
      <x v="414"/>
      <x v="47"/>
      <x v="6"/>
      <x v="7"/>
    </i>
    <i>
      <x v="45"/>
      <x v="33"/>
      <x v="80"/>
      <x v="100"/>
      <x v="460"/>
      <x v="37"/>
      <x v="6"/>
      <x v="7"/>
    </i>
    <i r="1">
      <x v="143"/>
      <x v="166"/>
      <x v="193"/>
      <x v="448"/>
      <x v="23"/>
      <x v="6"/>
      <x v="7"/>
    </i>
    <i r="1">
      <x v="168"/>
      <x v="342"/>
      <x v="299"/>
      <x v="420"/>
      <x v="42"/>
      <x v="6"/>
      <x v="7"/>
    </i>
    <i r="1">
      <x v="193"/>
      <x v="318"/>
      <x v="316"/>
      <x v="357"/>
      <x v="47"/>
      <x v="6"/>
      <x v="7"/>
    </i>
    <i r="1">
      <x v="248"/>
      <x v="448"/>
      <x v="440"/>
      <x v="100"/>
      <x v="47"/>
      <x v="6"/>
      <x v="7"/>
    </i>
    <i r="1">
      <x v="269"/>
      <x v="332"/>
      <x v="327"/>
      <x v="242"/>
      <x/>
      <x v="6"/>
      <x v="7"/>
    </i>
    <i r="1">
      <x v="287"/>
      <x v="321"/>
      <x v="337"/>
      <x v="191"/>
      <x/>
      <x v="6"/>
      <x v="7"/>
    </i>
    <i r="1">
      <x v="296"/>
      <x v="256"/>
      <x v="282"/>
      <x v="358"/>
      <x v="42"/>
      <x v="6"/>
      <x v="7"/>
    </i>
    <i r="1">
      <x v="411"/>
      <x v="476"/>
      <x v="473"/>
      <x v="142"/>
      <x v="47"/>
      <x v="6"/>
      <x v="7"/>
    </i>
    <i r="1">
      <x v="422"/>
      <x v="144"/>
      <x v="166"/>
      <x v="227"/>
      <x v="42"/>
      <x v="6"/>
      <x v="7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TD_6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22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x="10"/>
        <item h="1" x="7"/>
        <item h="1" x="3"/>
        <item h="1" x="4"/>
        <item h="1" x="13"/>
        <item h="1"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6">
    <i>
      <x v="30"/>
      <x v="76"/>
      <x v="169"/>
      <x v="87"/>
      <x v="36"/>
      <x v="37"/>
      <x v="6"/>
      <x v="7"/>
    </i>
    <i r="1">
      <x v="297"/>
      <x v="195"/>
      <x v="348"/>
      <x v="12"/>
      <x v="37"/>
      <x v="6"/>
      <x v="7"/>
    </i>
    <i r="1">
      <x v="317"/>
      <x v="466"/>
      <x v="459"/>
      <x v="107"/>
      <x v="39"/>
      <x v="6"/>
      <x v="7"/>
    </i>
    <i r="1">
      <x v="321"/>
      <x v="69"/>
      <x v="118"/>
      <x v="94"/>
      <x v="37"/>
      <x v="6"/>
      <x v="7"/>
    </i>
    <i r="1">
      <x v="383"/>
      <x v="391"/>
      <x v="377"/>
      <x v="138"/>
      <x v="35"/>
      <x v="6"/>
      <x v="7"/>
    </i>
    <i r="1">
      <x v="435"/>
      <x v="470"/>
      <x v="470"/>
      <x v="146"/>
      <x v="37"/>
      <x v="6"/>
      <x v="7"/>
    </i>
    <i r="1">
      <x v="475"/>
      <x v="158"/>
      <x v="183"/>
      <x v="167"/>
      <x v="37"/>
      <x v="6"/>
      <x v="7"/>
    </i>
    <i r="1">
      <x v="481"/>
      <x v="434"/>
      <x v="429"/>
      <x v="87"/>
      <x v="4"/>
      <x v="6"/>
      <x v="7"/>
    </i>
    <i>
      <x v="31"/>
      <x v="78"/>
      <x v="351"/>
      <x v="47"/>
      <x v="282"/>
      <x v="37"/>
      <x v="6"/>
      <x v="7"/>
    </i>
    <i r="1">
      <x v="318"/>
      <x v="3"/>
      <x v="182"/>
      <x v="22"/>
      <x v="37"/>
      <x v="6"/>
      <x v="7"/>
    </i>
    <i r="1">
      <x v="319"/>
      <x v="489"/>
      <x v="490"/>
      <x v="472"/>
      <x v="37"/>
      <x v="6"/>
      <x v="7"/>
    </i>
    <i r="1">
      <x v="325"/>
      <x v="229"/>
      <x v="240"/>
      <x v="92"/>
      <x v="13"/>
      <x v="6"/>
      <x v="7"/>
    </i>
    <i r="1">
      <x v="384"/>
      <x v="167"/>
      <x v="195"/>
      <x v="299"/>
      <x v="47"/>
      <x v="6"/>
      <x v="7"/>
    </i>
    <i r="1">
      <x v="468"/>
      <x v="356"/>
      <x v="294"/>
      <x v="63"/>
      <x v="37"/>
      <x v="6"/>
      <x v="7"/>
    </i>
    <i r="1">
      <x v="479"/>
      <x v="36"/>
      <x v="41"/>
      <x v="320"/>
      <x v="13"/>
      <x v="6"/>
      <x v="7"/>
    </i>
    <i r="1">
      <x v="480"/>
      <x v="59"/>
      <x v="67"/>
      <x v="3"/>
      <x v="41"/>
      <x v="6"/>
      <x v="7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TD_7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46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x="7"/>
        <item h="1" x="3"/>
        <item h="1" x="4"/>
        <item h="1" x="13"/>
        <item h="1"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40">
    <i>
      <x v="3"/>
      <x v="118"/>
      <x v="353"/>
      <x v="108"/>
      <x v="187"/>
      <x v="40"/>
      <x v="5"/>
      <x v="1"/>
    </i>
    <i r="1">
      <x v="125"/>
      <x v="248"/>
      <x v="96"/>
      <x v="288"/>
      <x v="45"/>
      <x v="5"/>
      <x v="1"/>
    </i>
    <i r="1">
      <x v="295"/>
      <x v="99"/>
      <x v="102"/>
      <x/>
      <x v="29"/>
      <x v="5"/>
      <x v="1"/>
    </i>
    <i r="1">
      <x v="304"/>
      <x v="273"/>
      <x v="399"/>
      <x v="21"/>
      <x v="37"/>
      <x v="5"/>
      <x v="1"/>
    </i>
    <i r="1">
      <x v="326"/>
      <x v="300"/>
      <x v="334"/>
      <x v="2"/>
      <x v="40"/>
      <x v="5"/>
      <x v="1"/>
    </i>
    <i r="1">
      <x v="331"/>
      <x v="261"/>
      <x v="412"/>
      <x v="468"/>
      <x v="40"/>
      <x v="5"/>
      <x v="1"/>
    </i>
    <i r="1">
      <x v="332"/>
      <x v="240"/>
      <x v="253"/>
      <x v="29"/>
      <x v="40"/>
      <x v="5"/>
      <x v="1"/>
    </i>
    <i r="1">
      <x v="333"/>
      <x v="246"/>
      <x v="258"/>
      <x v="238"/>
      <x v="37"/>
      <x v="5"/>
      <x v="1"/>
    </i>
    <i r="1">
      <x v="334"/>
      <x v="178"/>
      <x v="206"/>
      <x v="56"/>
      <x v="40"/>
      <x v="5"/>
      <x v="1"/>
    </i>
    <i r="1">
      <x v="340"/>
      <x v="378"/>
      <x v="357"/>
      <x v="390"/>
      <x v="40"/>
      <x v="5"/>
      <x v="1"/>
    </i>
    <i>
      <x v="16"/>
      <x v="43"/>
      <x v="347"/>
      <x v="329"/>
      <x v="85"/>
      <x v="37"/>
      <x v="5"/>
      <x v="1"/>
    </i>
    <i r="1">
      <x v="49"/>
      <x v="40"/>
      <x v="494"/>
      <x v="8"/>
      <x v="39"/>
      <x v="5"/>
      <x v="1"/>
    </i>
    <i r="1">
      <x v="50"/>
      <x v="451"/>
      <x v="450"/>
      <x v="226"/>
      <x v="39"/>
      <x v="5"/>
      <x v="1"/>
    </i>
    <i r="1">
      <x v="298"/>
      <x v="57"/>
      <x v="66"/>
      <x v="79"/>
      <x v="39"/>
      <x v="5"/>
      <x v="1"/>
    </i>
    <i r="1">
      <x v="306"/>
      <x v="14"/>
      <x v="24"/>
      <x v="27"/>
      <x v="37"/>
      <x v="5"/>
      <x v="1"/>
    </i>
    <i r="1">
      <x v="307"/>
      <x v="4"/>
      <x v="11"/>
      <x v="232"/>
      <x v="35"/>
      <x v="5"/>
      <x v="1"/>
    </i>
    <i r="1">
      <x v="308"/>
      <x v="459"/>
      <x v="462"/>
      <x v="80"/>
      <x v="38"/>
      <x v="5"/>
      <x v="1"/>
    </i>
    <i r="1">
      <x v="309"/>
      <x v="438"/>
      <x v="138"/>
      <x v="264"/>
      <x v="39"/>
      <x v="5"/>
      <x v="1"/>
    </i>
    <i r="1">
      <x v="310"/>
      <x v="244"/>
      <x v="254"/>
      <x v="10"/>
      <x v="39"/>
      <x v="5"/>
      <x v="1"/>
    </i>
    <i r="1">
      <x v="315"/>
      <x v="267"/>
      <x v="270"/>
      <x v="376"/>
      <x v="3"/>
      <x v="5"/>
      <x v="1"/>
    </i>
    <i r="1">
      <x v="491"/>
      <x v="412"/>
      <x v="409"/>
      <x v="93"/>
      <x v="39"/>
      <x v="5"/>
      <x v="1"/>
    </i>
    <i>
      <x v="20"/>
      <x v="112"/>
      <x v="197"/>
      <x v="205"/>
      <x v="18"/>
      <x v="37"/>
      <x v="5"/>
      <x v="1"/>
    </i>
    <i r="1">
      <x v="119"/>
      <x v="124"/>
      <x v="135"/>
      <x v="379"/>
      <x v="40"/>
      <x v="5"/>
      <x v="1"/>
    </i>
    <i r="1">
      <x v="282"/>
      <x v="330"/>
      <x v="350"/>
      <x v="480"/>
      <x v="37"/>
      <x v="5"/>
      <x v="1"/>
    </i>
    <i r="1">
      <x v="302"/>
      <x v="177"/>
      <x v="127"/>
      <x v="95"/>
      <x v="39"/>
      <x v="5"/>
      <x v="1"/>
    </i>
    <i r="1">
      <x v="305"/>
      <x v="104"/>
      <x v="106"/>
      <x v="110"/>
      <x v="32"/>
      <x v="5"/>
      <x v="1"/>
    </i>
    <i r="1">
      <x v="329"/>
      <x v="9"/>
      <x v="167"/>
      <x v="75"/>
      <x v="39"/>
      <x v="5"/>
      <x v="1"/>
    </i>
    <i r="1">
      <x v="357"/>
      <x v="301"/>
      <x v="446"/>
      <x v="35"/>
      <x v="37"/>
      <x v="5"/>
      <x v="1"/>
    </i>
    <i r="1">
      <x v="358"/>
      <x v="335"/>
      <x v="305"/>
      <x v="34"/>
      <x v="37"/>
      <x v="5"/>
      <x v="1"/>
    </i>
    <i r="1">
      <x v="476"/>
      <x v="119"/>
      <x v="351"/>
      <x v="303"/>
      <x v="32"/>
      <x v="5"/>
      <x v="1"/>
    </i>
    <i>
      <x v="40"/>
      <x v="42"/>
      <x v="475"/>
      <x v="340"/>
      <x v="86"/>
      <x/>
      <x v="5"/>
      <x v="1"/>
    </i>
    <i r="1">
      <x v="45"/>
      <x v="480"/>
      <x v="483"/>
      <x v="240"/>
      <x v="18"/>
      <x v="5"/>
      <x v="1"/>
    </i>
    <i r="1">
      <x v="92"/>
      <x v="371"/>
      <x v="368"/>
      <x v="467"/>
      <x v="11"/>
      <x v="5"/>
      <x v="1"/>
    </i>
    <i r="1">
      <x v="312"/>
      <x v="45"/>
      <x v="49"/>
      <x v="453"/>
      <x/>
      <x v="5"/>
      <x v="1"/>
    </i>
    <i r="1">
      <x v="320"/>
      <x v="359"/>
      <x v="342"/>
      <x v="413"/>
      <x v="37"/>
      <x v="5"/>
      <x v="1"/>
    </i>
    <i r="1">
      <x v="323"/>
      <x v="298"/>
      <x v="307"/>
      <x v="41"/>
      <x/>
      <x v="5"/>
      <x v="1"/>
    </i>
    <i r="1">
      <x v="327"/>
      <x v="299"/>
      <x v="69"/>
      <x v="237"/>
      <x v="48"/>
      <x v="5"/>
      <x v="1"/>
    </i>
    <i r="1">
      <x v="336"/>
      <x v="118"/>
      <x v="132"/>
      <x v="473"/>
      <x/>
      <x v="5"/>
      <x v="1"/>
    </i>
    <i r="1">
      <x v="419"/>
      <x v="235"/>
      <x v="246"/>
      <x v="33"/>
      <x v="48"/>
      <x v="5"/>
      <x v="1"/>
    </i>
    <i r="1">
      <x v="477"/>
      <x v="31"/>
      <x v="10"/>
      <x v="45"/>
      <x/>
      <x v="5"/>
      <x v="1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7000000}" name="TD_8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12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h="1" x="12"/>
        <item h="1" x="11"/>
        <item h="1" x="5"/>
        <item h="1" x="2"/>
        <item h="1" x="9"/>
        <item h="1" x="1"/>
        <item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6">
    <i>
      <x v="43"/>
      <x v="27"/>
      <x v="198"/>
      <x v="213"/>
      <x v="418"/>
      <x/>
      <x v="5"/>
      <x v="9"/>
    </i>
    <i r="1">
      <x v="299"/>
      <x v="28"/>
      <x v="146"/>
      <x v="42"/>
      <x v="47"/>
      <x v="5"/>
      <x v="9"/>
    </i>
    <i r="1">
      <x v="316"/>
      <x v="388"/>
      <x v="375"/>
      <x v="74"/>
      <x v="47"/>
      <x v="5"/>
      <x v="9"/>
    </i>
    <i r="1">
      <x v="360"/>
      <x v="148"/>
      <x v="172"/>
      <x v="347"/>
      <x v="47"/>
      <x v="5"/>
      <x v="9"/>
    </i>
    <i r="1">
      <x v="386"/>
      <x v="174"/>
      <x v="197"/>
      <x v="241"/>
      <x v="47"/>
      <x v="5"/>
      <x v="9"/>
    </i>
    <i r="1">
      <x v="389"/>
      <x v="2"/>
      <x v="8"/>
      <x v="324"/>
      <x v="37"/>
      <x v="5"/>
      <x v="9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TD_9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23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x="0"/>
        <item x="1"/>
        <item h="1"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x="3"/>
        <item h="1" x="4"/>
        <item h="1" x="13"/>
        <item h="1"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7">
    <i>
      <x v="12"/>
      <x v="53"/>
      <x v="287"/>
      <x v="285"/>
      <x v="381"/>
      <x v="40"/>
      <x v="9"/>
      <x v="6"/>
    </i>
    <i r="1">
      <x v="108"/>
      <x v="266"/>
      <x v="268"/>
      <x v="391"/>
      <x v="37"/>
      <x v="9"/>
      <x v="6"/>
    </i>
    <i r="1">
      <x v="109"/>
      <x v="163"/>
      <x v="186"/>
      <x v="172"/>
      <x v="37"/>
      <x v="9"/>
      <x v="6"/>
    </i>
    <i r="1">
      <x v="339"/>
      <x v="48"/>
      <x v="50"/>
      <x v="170"/>
      <x v="37"/>
      <x v="9"/>
      <x v="6"/>
    </i>
    <i r="1">
      <x v="342"/>
      <x v="280"/>
      <x v="278"/>
      <x v="416"/>
      <x v="37"/>
      <x v="9"/>
      <x v="6"/>
    </i>
    <i r="1">
      <x v="348"/>
      <x v="218"/>
      <x v="232"/>
      <x v="348"/>
      <x v="37"/>
      <x v="9"/>
      <x v="6"/>
    </i>
    <i r="1">
      <x v="350"/>
      <x v="113"/>
      <x v="125"/>
      <x v="388"/>
      <x v="35"/>
      <x v="9"/>
      <x v="6"/>
    </i>
    <i r="1">
      <x v="463"/>
      <x v="232"/>
      <x v="381"/>
      <x v="277"/>
      <x v="40"/>
      <x v="9"/>
      <x v="6"/>
    </i>
    <i r="1">
      <x v="493"/>
      <x v="500"/>
      <x v="500"/>
      <x v="488"/>
      <x v="25"/>
      <x v="9"/>
      <x v="6"/>
    </i>
    <i r="1">
      <x v="498"/>
      <x v="499"/>
      <x v="499"/>
      <x v="487"/>
      <x v="25"/>
      <x v="9"/>
      <x v="6"/>
    </i>
    <i>
      <x v="35"/>
      <x v="54"/>
      <x v="64"/>
      <x v="453"/>
      <x v="147"/>
      <x v="16"/>
      <x v="9"/>
      <x v="6"/>
    </i>
    <i r="1">
      <x v="58"/>
      <x v="217"/>
      <x v="141"/>
      <x v="182"/>
      <x v="53"/>
      <x v="9"/>
      <x v="6"/>
    </i>
    <i r="1">
      <x v="60"/>
      <x v="385"/>
      <x v="372"/>
      <x v="397"/>
      <x v="37"/>
      <x v="9"/>
      <x v="6"/>
    </i>
    <i r="1">
      <x v="349"/>
      <x v="277"/>
      <x v="274"/>
      <x v="208"/>
      <x v="11"/>
      <x v="9"/>
      <x v="6"/>
    </i>
    <i r="1">
      <x v="352"/>
      <x v="262"/>
      <x v="264"/>
      <x v="197"/>
      <x v="11"/>
      <x v="9"/>
      <x v="6"/>
    </i>
    <i r="1">
      <x v="493"/>
      <x v="233"/>
      <x v="247"/>
      <x v="229"/>
      <x v="11"/>
      <x v="9"/>
      <x v="6"/>
    </i>
    <i r="2">
      <x v="281"/>
      <x v="53"/>
      <x v="370"/>
      <x v="11"/>
      <x v="9"/>
      <x v="6"/>
    </i>
  </rowItems>
  <colItems count="1">
    <i/>
  </colItems>
  <pageFields count="2">
    <pageField fld="50" hier="-1"/>
    <pageField fld="46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TD_10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19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h="1" x="12"/>
        <item h="1" x="11"/>
        <item h="1" x="5"/>
        <item h="1" x="2"/>
        <item h="1" x="9"/>
        <item h="1" x="1"/>
        <item h="1" x="8"/>
        <item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3">
    <i>
      <x v="38"/>
      <x v="392"/>
      <x v="150"/>
      <x v="180"/>
      <x v="196"/>
      <x v="11"/>
      <x v="5"/>
      <x v="7"/>
    </i>
    <i r="1">
      <x v="395"/>
      <x v="170"/>
      <x v="34"/>
      <x v="292"/>
      <x/>
      <x v="5"/>
      <x v="7"/>
    </i>
    <i r="1">
      <x v="414"/>
      <x v="95"/>
      <x v="91"/>
      <x v="290"/>
      <x v="37"/>
      <x v="5"/>
      <x v="7"/>
    </i>
    <i r="1">
      <x v="457"/>
      <x v="354"/>
      <x v="65"/>
      <x v="332"/>
      <x/>
      <x v="5"/>
      <x v="7"/>
    </i>
    <i r="1">
      <x v="488"/>
      <x v="467"/>
      <x v="468"/>
      <x v="305"/>
      <x v="9"/>
      <x v="5"/>
      <x v="7"/>
    </i>
    <i>
      <x v="47"/>
      <x v="64"/>
      <x v="286"/>
      <x v="284"/>
      <x v="426"/>
      <x/>
      <x v="5"/>
      <x v="7"/>
    </i>
    <i r="1">
      <x v="97"/>
      <x v="478"/>
      <x v="479"/>
      <x v="327"/>
      <x v="42"/>
      <x v="5"/>
      <x v="7"/>
    </i>
    <i r="1">
      <x v="106"/>
      <x v="484"/>
      <x v="160"/>
      <x v="150"/>
      <x v="9"/>
      <x v="5"/>
      <x v="7"/>
    </i>
    <i r="1">
      <x v="127"/>
      <x v="109"/>
      <x v="113"/>
      <x v="336"/>
      <x/>
      <x v="5"/>
      <x v="7"/>
    </i>
    <i r="1">
      <x v="426"/>
      <x v="282"/>
      <x v="55"/>
      <x v="162"/>
      <x v="8"/>
      <x v="5"/>
      <x v="7"/>
    </i>
    <i r="1">
      <x v="427"/>
      <x v="322"/>
      <x v="318"/>
      <x v="6"/>
      <x v="42"/>
      <x v="5"/>
      <x v="7"/>
    </i>
    <i r="1">
      <x v="430"/>
      <x v="389"/>
      <x v="370"/>
      <x/>
      <x v="18"/>
      <x v="5"/>
      <x v="7"/>
    </i>
    <i r="1">
      <x v="440"/>
      <x v="19"/>
      <x v="26"/>
      <x v="231"/>
      <x/>
      <x v="5"/>
      <x v="7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A000000}" name="TD_1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21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x="4"/>
        <item h="1" x="13"/>
        <item h="1"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15">
    <i>
      <x v="32"/>
      <x v="56"/>
      <x v="228"/>
      <x v="12"/>
      <x v="276"/>
      <x v="40"/>
      <x v="4"/>
      <x v="6"/>
    </i>
    <i r="1">
      <x v="80"/>
      <x v="78"/>
      <x v="97"/>
      <x v="364"/>
      <x v="39"/>
      <x v="4"/>
      <x v="6"/>
    </i>
    <i r="1">
      <x v="87"/>
      <x v="243"/>
      <x v="252"/>
      <x v="278"/>
      <x v="40"/>
      <x v="4"/>
      <x v="6"/>
    </i>
    <i r="1">
      <x v="88"/>
      <x v="142"/>
      <x v="161"/>
      <x v="244"/>
      <x v="37"/>
      <x v="4"/>
      <x v="6"/>
    </i>
    <i r="1">
      <x v="393"/>
      <x v="55"/>
      <x v="126"/>
      <x v="128"/>
      <x v="37"/>
      <x v="4"/>
      <x v="6"/>
    </i>
    <i r="1">
      <x v="404"/>
      <x v="38"/>
      <x v="37"/>
      <x v="393"/>
      <x v="38"/>
      <x v="4"/>
      <x v="6"/>
    </i>
    <i r="1">
      <x v="406"/>
      <x v="121"/>
      <x v="133"/>
      <x v="342"/>
      <x v="39"/>
      <x v="4"/>
      <x v="6"/>
    </i>
    <i r="1">
      <x v="408"/>
      <x v="413"/>
      <x v="168"/>
      <x v="5"/>
      <x v="39"/>
      <x v="4"/>
      <x v="6"/>
    </i>
    <i r="1">
      <x v="415"/>
      <x v="70"/>
      <x v="159"/>
      <x v="54"/>
      <x v="39"/>
      <x v="4"/>
      <x v="6"/>
    </i>
    <i r="1">
      <x v="478"/>
      <x v="116"/>
      <x v="121"/>
      <x v="39"/>
      <x v="39"/>
      <x v="4"/>
      <x v="6"/>
    </i>
    <i>
      <x v="39"/>
      <x v="81"/>
      <x v="345"/>
      <x v="293"/>
      <x v="340"/>
      <x v="37"/>
      <x v="4"/>
      <x v="6"/>
    </i>
    <i r="1">
      <x v="90"/>
      <x v="251"/>
      <x v="281"/>
      <x v="148"/>
      <x/>
      <x v="4"/>
      <x v="6"/>
    </i>
    <i r="1">
      <x v="407"/>
      <x v="491"/>
      <x v="493"/>
      <x v="387"/>
      <x v="37"/>
      <x v="4"/>
      <x v="6"/>
    </i>
    <i r="1">
      <x v="418"/>
      <x v="473"/>
      <x v="476"/>
      <x v="183"/>
      <x v="47"/>
      <x v="4"/>
      <x v="6"/>
    </i>
    <i r="1">
      <x v="490"/>
      <x v="456"/>
      <x v="458"/>
      <x v="130"/>
      <x/>
      <x v="4"/>
      <x v="6"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B000000}" name="TD_12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39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h="1" x="12"/>
        <item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33">
    <i>
      <x v="4"/>
      <x v="3"/>
      <x v="452"/>
      <x v="455"/>
      <x v="134"/>
      <x v="25"/>
      <x v="7"/>
      <x/>
    </i>
    <i r="1">
      <x v="21"/>
      <x v="120"/>
      <x v="134"/>
      <x v="174"/>
      <x v="40"/>
      <x v="7"/>
      <x/>
    </i>
    <i r="1">
      <x v="70"/>
      <x v="263"/>
      <x v="76"/>
      <x v="289"/>
      <x v="50"/>
      <x v="7"/>
      <x/>
    </i>
    <i r="1">
      <x v="94"/>
      <x v="249"/>
      <x v="265"/>
      <x v="90"/>
      <x v="40"/>
      <x v="7"/>
      <x/>
    </i>
    <i r="1">
      <x v="260"/>
      <x v="274"/>
      <x v="114"/>
      <x v="185"/>
      <x v="50"/>
      <x v="7"/>
      <x/>
    </i>
    <i r="1">
      <x v="271"/>
      <x v="221"/>
      <x v="234"/>
      <x v="470"/>
      <x v="40"/>
      <x v="7"/>
      <x/>
    </i>
    <i r="1">
      <x v="347"/>
      <x v="201"/>
      <x v="217"/>
      <x v="50"/>
      <x v="30"/>
      <x v="7"/>
      <x/>
    </i>
    <i r="1">
      <x v="413"/>
      <x v="236"/>
      <x v="354"/>
      <x v="269"/>
      <x v="40"/>
      <x v="7"/>
      <x/>
    </i>
    <i r="1">
      <x v="460"/>
      <x v="102"/>
      <x v="84"/>
      <x v="119"/>
      <x v="40"/>
      <x v="7"/>
      <x/>
    </i>
    <i>
      <x v="14"/>
      <x v="68"/>
      <x v="39"/>
      <x v="44"/>
      <x v="253"/>
      <x v="25"/>
      <x v="7"/>
      <x/>
    </i>
    <i r="1">
      <x v="130"/>
      <x v="407"/>
      <x v="388"/>
      <x v="99"/>
      <x v="40"/>
      <x v="7"/>
      <x/>
    </i>
    <i r="1">
      <x v="335"/>
      <x v="396"/>
      <x v="33"/>
      <x v="313"/>
      <x v="47"/>
      <x v="7"/>
      <x/>
    </i>
    <i r="1">
      <x v="341"/>
      <x v="68"/>
      <x v="75"/>
      <x v="308"/>
      <x v="40"/>
      <x v="7"/>
      <x/>
    </i>
    <i r="1">
      <x v="369"/>
      <x v="402"/>
      <x v="393"/>
      <x v="145"/>
      <x v="37"/>
      <x v="7"/>
      <x/>
    </i>
    <i r="1">
      <x v="373"/>
      <x v="323"/>
      <x v="256"/>
      <x v="13"/>
      <x v="38"/>
      <x v="7"/>
      <x/>
    </i>
    <i r="1">
      <x v="465"/>
      <x v="73"/>
      <x v="81"/>
      <x v="270"/>
      <x v="22"/>
      <x v="7"/>
      <x/>
    </i>
    <i>
      <x v="21"/>
      <x v="10"/>
      <x v="349"/>
      <x v="331"/>
      <x v="205"/>
      <x v="38"/>
      <x v="7"/>
      <x/>
    </i>
    <i r="1">
      <x v="66"/>
      <x v="181"/>
      <x v="14"/>
      <x v="24"/>
      <x v="39"/>
      <x v="7"/>
      <x/>
    </i>
    <i r="1">
      <x v="111"/>
      <x v="269"/>
      <x v="271"/>
      <x v="354"/>
      <x v="40"/>
      <x v="7"/>
      <x/>
    </i>
    <i r="1">
      <x v="126"/>
      <x v="250"/>
      <x v="279"/>
      <x v="210"/>
      <x v="40"/>
      <x v="7"/>
      <x/>
    </i>
    <i r="1">
      <x v="129"/>
      <x v="215"/>
      <x v="230"/>
      <x v="7"/>
      <x v="33"/>
      <x v="7"/>
      <x/>
    </i>
    <i r="1">
      <x v="151"/>
      <x v="199"/>
      <x v="216"/>
      <x v="404"/>
      <x v="39"/>
      <x v="7"/>
      <x/>
    </i>
    <i r="1">
      <x v="154"/>
      <x v="454"/>
      <x v="456"/>
      <x v="173"/>
      <x v="39"/>
      <x v="7"/>
      <x/>
    </i>
    <i r="1">
      <x v="221"/>
      <x v="77"/>
      <x v="86"/>
      <x v="116"/>
      <x v="36"/>
      <x v="7"/>
      <x/>
    </i>
    <i r="1">
      <x v="279"/>
      <x v="135"/>
      <x v="155"/>
      <x v="279"/>
      <x v="38"/>
      <x v="7"/>
      <x/>
    </i>
    <i r="1">
      <x v="372"/>
      <x v="171"/>
      <x v="196"/>
      <x v="220"/>
      <x v="39"/>
      <x v="7"/>
      <x/>
    </i>
    <i>
      <x v="42"/>
      <x v="159"/>
      <x v="316"/>
      <x v="408"/>
      <x v="186"/>
      <x v="10"/>
      <x v="7"/>
      <x/>
    </i>
    <i r="1">
      <x v="196"/>
      <x v="16"/>
      <x v="356"/>
      <x v="297"/>
      <x/>
      <x v="7"/>
      <x/>
    </i>
    <i r="1">
      <x v="197"/>
      <x v="406"/>
      <x v="391"/>
      <x v="59"/>
      <x v="42"/>
      <x v="7"/>
      <x/>
    </i>
    <i r="1">
      <x v="268"/>
      <x v="91"/>
      <x v="90"/>
      <x v="78"/>
      <x v="37"/>
      <x v="7"/>
      <x/>
    </i>
    <i r="1">
      <x v="272"/>
      <x v="365"/>
      <x v="491"/>
      <x v="385"/>
      <x v="13"/>
      <x v="7"/>
      <x/>
    </i>
    <i r="1">
      <x v="371"/>
      <x v="160"/>
      <x v="185"/>
      <x v="235"/>
      <x v="37"/>
      <x v="7"/>
      <x/>
    </i>
    <i r="1">
      <x v="400"/>
      <x v="111"/>
      <x v="119"/>
      <x v="141"/>
      <x v="37"/>
      <x v="7"/>
      <x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C000000}" name="TD_13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compact="0" compactData="0" multipleFieldFilters="0">
  <location ref="A6:H12" firstHeaderRow="1" firstDataRow="1" firstDataCol="8" rowPageCount="2" colPageCount="1"/>
  <pivotFields count="53">
    <pivotField name="Correo" axis="axisRow" compact="0" outline="0" showAll="0" defaultSubtotal="0">
      <items count="501">
        <item x="153"/>
        <item x="283"/>
        <item x="75"/>
        <item x="261"/>
        <item x="247"/>
        <item x="9"/>
        <item x="472"/>
        <item x="68"/>
        <item x="345"/>
        <item x="16"/>
        <item x="342"/>
        <item x="328"/>
        <item x="274"/>
        <item x="190"/>
        <item x="462"/>
        <item x="29"/>
        <item x="183"/>
        <item x="174"/>
        <item x="139"/>
        <item x="423"/>
        <item x="297"/>
        <item x="416"/>
        <item x="289"/>
        <item x="63"/>
        <item x="321"/>
        <item x="62"/>
        <item x="351"/>
        <item x="87"/>
        <item x="95"/>
        <item x="201"/>
        <item x="264"/>
        <item x="188"/>
        <item x="146"/>
        <item x="448"/>
        <item x="369"/>
        <item x="78"/>
        <item x="85"/>
        <item x="272"/>
        <item x="192"/>
        <item x="98"/>
        <item x="91"/>
        <item x="397"/>
        <item x="8"/>
        <item x="481"/>
        <item x="449"/>
        <item x="417"/>
        <item x="125"/>
        <item x="401"/>
        <item x="49"/>
        <item x="339"/>
        <item x="233"/>
        <item x="292"/>
        <item x="194"/>
        <item x="243"/>
        <item x="498"/>
        <item x="358"/>
        <item x="39"/>
        <item x="143"/>
        <item x="310"/>
        <item x="26"/>
        <item x="173"/>
        <item x="218"/>
        <item x="184"/>
        <item x="499"/>
        <item x="211"/>
        <item x="372"/>
        <item x="325"/>
        <item x="398"/>
        <item x="7"/>
        <item x="356"/>
        <item x="268"/>
        <item x="478"/>
        <item x="38"/>
        <item x="175"/>
        <item x="155"/>
        <item x="432"/>
        <item x="430"/>
        <item x="168"/>
        <item x="114"/>
        <item x="145"/>
        <item x="205"/>
        <item x="435"/>
        <item x="14"/>
        <item x="176"/>
        <item x="427"/>
        <item x="379"/>
        <item x="438"/>
        <item x="388"/>
        <item x="37"/>
        <item x="158"/>
        <item x="469"/>
        <item x="371"/>
        <item x="278"/>
        <item x="89"/>
        <item x="132"/>
        <item x="109"/>
        <item x="361"/>
        <item x="301"/>
        <item x="479"/>
        <item x="79"/>
        <item x="406"/>
        <item x="31"/>
        <item x="313"/>
        <item x="177"/>
        <item x="383"/>
        <item x="253"/>
        <item x="332"/>
        <item x="81"/>
        <item x="315"/>
        <item x="178"/>
        <item x="191"/>
        <item x="65"/>
        <item x="67"/>
        <item x="353"/>
        <item x="424"/>
        <item x="152"/>
        <item x="20"/>
        <item x="456"/>
        <item x="389"/>
        <item x="453"/>
        <item x="19"/>
        <item x="273"/>
        <item x="185"/>
        <item x="265"/>
        <item x="239"/>
        <item x="236"/>
        <item x="276"/>
        <item x="335"/>
        <item x="15"/>
        <item x="477"/>
        <item x="88"/>
        <item x="35"/>
        <item x="343"/>
        <item x="291"/>
        <item x="426"/>
        <item x="330"/>
        <item x="120"/>
        <item x="33"/>
        <item x="364"/>
        <item x="362"/>
        <item x="377"/>
        <item x="245"/>
        <item x="224"/>
        <item x="97"/>
        <item x="306"/>
        <item x="156"/>
        <item x="347"/>
        <item x="108"/>
        <item x="159"/>
        <item x="189"/>
        <item x="474"/>
        <item x="23"/>
        <item x="105"/>
        <item x="147"/>
        <item x="28"/>
        <item x="440"/>
        <item x="1"/>
        <item x="22"/>
        <item x="169"/>
        <item x="275"/>
        <item x="382"/>
        <item x="302"/>
        <item x="441"/>
        <item x="119"/>
        <item x="128"/>
        <item x="179"/>
        <item x="408"/>
        <item x="363"/>
        <item x="270"/>
        <item x="126"/>
        <item x="30"/>
        <item x="225"/>
        <item x="376"/>
        <item x="104"/>
        <item x="36"/>
        <item x="50"/>
        <item x="58"/>
        <item x="73"/>
        <item x="228"/>
        <item x="186"/>
        <item x="336"/>
        <item x="112"/>
        <item x="399"/>
        <item x="390"/>
        <item x="127"/>
        <item x="443"/>
        <item x="229"/>
        <item x="487"/>
        <item x="312"/>
        <item x="157"/>
        <item x="368"/>
        <item x="296"/>
        <item x="59"/>
        <item x="404"/>
        <item x="0"/>
        <item x="419"/>
        <item x="451"/>
        <item x="357"/>
        <item x="115"/>
        <item x="299"/>
        <item x="414"/>
        <item x="93"/>
        <item x="387"/>
        <item x="92"/>
        <item x="138"/>
        <item x="331"/>
        <item x="314"/>
        <item x="295"/>
        <item x="4"/>
        <item x="84"/>
        <item x="465"/>
        <item x="214"/>
        <item x="311"/>
        <item x="346"/>
        <item x="90"/>
        <item x="254"/>
        <item x="461"/>
        <item x="431"/>
        <item x="204"/>
        <item x="142"/>
        <item x="55"/>
        <item x="122"/>
        <item x="471"/>
        <item x="129"/>
        <item x="255"/>
        <item x="86"/>
        <item x="41"/>
        <item x="110"/>
        <item x="3"/>
        <item x="100"/>
        <item x="460"/>
        <item x="294"/>
        <item x="234"/>
        <item x="485"/>
        <item x="425"/>
        <item x="290"/>
        <item x="304"/>
        <item x="277"/>
        <item x="216"/>
        <item x="10"/>
        <item x="396"/>
        <item x="266"/>
        <item x="287"/>
        <item x="279"/>
        <item x="40"/>
        <item x="60"/>
        <item x="340"/>
        <item x="244"/>
        <item x="226"/>
        <item x="308"/>
        <item x="207"/>
        <item x="420"/>
        <item x="271"/>
        <item x="316"/>
        <item x="326"/>
        <item x="102"/>
        <item x="434"/>
        <item x="284"/>
        <item x="360"/>
        <item x="64"/>
        <item x="213"/>
        <item x="72"/>
        <item x="193"/>
        <item x="48"/>
        <item x="242"/>
        <item x="429"/>
        <item x="66"/>
        <item x="51"/>
        <item x="235"/>
        <item x="167"/>
        <item x="354"/>
        <item x="436"/>
        <item x="251"/>
        <item x="53"/>
        <item x="240"/>
        <item x="248"/>
        <item x="370"/>
        <item x="250"/>
        <item x="232"/>
        <item x="450"/>
        <item x="133"/>
        <item x="293"/>
        <item x="407"/>
        <item x="148"/>
        <item x="381"/>
        <item x="230"/>
        <item x="116"/>
        <item x="486"/>
        <item x="198"/>
        <item x="18"/>
        <item x="140"/>
        <item x="286"/>
        <item x="202"/>
        <item x="280"/>
        <item x="395"/>
        <item x="492"/>
        <item x="466"/>
        <item x="131"/>
        <item x="491"/>
        <item x="413"/>
        <item x="74"/>
        <item x="107"/>
        <item x="385"/>
        <item x="134"/>
        <item x="227"/>
        <item x="366"/>
        <item x="162"/>
        <item x="344"/>
        <item x="25"/>
        <item x="203"/>
        <item x="70"/>
        <item x="260"/>
        <item x="71"/>
        <item x="256"/>
        <item x="47"/>
        <item x="43"/>
        <item x="405"/>
        <item x="212"/>
        <item x="350"/>
        <item x="410"/>
        <item x="27"/>
        <item x="160"/>
        <item x="489"/>
        <item x="82"/>
        <item x="378"/>
        <item x="210"/>
        <item x="103"/>
        <item x="402"/>
        <item x="121"/>
        <item x="324"/>
        <item x="2"/>
        <item x="439"/>
        <item x="130"/>
        <item x="386"/>
        <item x="318"/>
        <item x="475"/>
        <item x="497"/>
        <item x="421"/>
        <item x="470"/>
        <item x="197"/>
        <item x="374"/>
        <item x="150"/>
        <item x="338"/>
        <item x="206"/>
        <item x="46"/>
        <item x="180"/>
        <item x="118"/>
        <item x="500"/>
        <item x="392"/>
        <item x="99"/>
        <item x="333"/>
        <item x="334"/>
        <item x="257"/>
        <item x="288"/>
        <item x="454"/>
        <item x="195"/>
        <item x="444"/>
        <item x="319"/>
        <item x="69"/>
        <item x="483"/>
        <item x="34"/>
        <item x="467"/>
        <item x="171"/>
        <item x="113"/>
        <item x="285"/>
        <item x="170"/>
        <item x="349"/>
        <item x="422"/>
        <item x="337"/>
        <item x="181"/>
        <item x="359"/>
        <item x="220"/>
        <item x="241"/>
        <item x="182"/>
        <item x="21"/>
        <item x="348"/>
        <item x="101"/>
        <item x="394"/>
        <item x="172"/>
        <item x="215"/>
        <item x="77"/>
        <item x="231"/>
        <item x="11"/>
        <item x="482"/>
        <item x="199"/>
        <item x="196"/>
        <item x="373"/>
        <item x="200"/>
        <item x="457"/>
        <item x="442"/>
        <item x="80"/>
        <item x="446"/>
        <item x="149"/>
        <item x="433"/>
        <item x="418"/>
        <item x="269"/>
        <item x="17"/>
        <item x="52"/>
        <item x="219"/>
        <item x="317"/>
        <item x="493"/>
        <item x="263"/>
        <item x="12"/>
        <item x="151"/>
        <item x="303"/>
        <item x="384"/>
        <item x="455"/>
        <item x="259"/>
        <item x="447"/>
        <item x="329"/>
        <item x="208"/>
        <item x="111"/>
        <item x="320"/>
        <item x="262"/>
        <item x="5"/>
        <item x="375"/>
        <item x="154"/>
        <item x="13"/>
        <item x="124"/>
        <item x="123"/>
        <item x="24"/>
        <item x="258"/>
        <item x="161"/>
        <item x="117"/>
        <item x="480"/>
        <item x="267"/>
        <item x="300"/>
        <item x="411"/>
        <item x="137"/>
        <item x="391"/>
        <item x="484"/>
        <item x="136"/>
        <item x="6"/>
        <item x="459"/>
        <item x="488"/>
        <item x="496"/>
        <item x="57"/>
        <item x="452"/>
        <item x="42"/>
        <item x="141"/>
        <item x="403"/>
        <item x="217"/>
        <item x="94"/>
        <item x="187"/>
        <item x="144"/>
        <item x="45"/>
        <item x="367"/>
        <item x="476"/>
        <item x="298"/>
        <item x="252"/>
        <item x="327"/>
        <item x="490"/>
        <item x="380"/>
        <item x="246"/>
        <item x="106"/>
        <item x="428"/>
        <item x="437"/>
        <item x="54"/>
        <item x="309"/>
        <item x="393"/>
        <item x="209"/>
        <item x="135"/>
        <item x="323"/>
        <item x="76"/>
        <item x="44"/>
        <item x="223"/>
        <item x="249"/>
        <item x="365"/>
        <item x="355"/>
        <item x="494"/>
        <item x="412"/>
        <item x="32"/>
        <item x="83"/>
        <item x="409"/>
        <item x="463"/>
        <item x="222"/>
        <item x="282"/>
        <item x="221"/>
        <item x="61"/>
        <item x="352"/>
        <item x="96"/>
        <item x="307"/>
        <item x="56"/>
        <item x="341"/>
        <item x="305"/>
        <item x="468"/>
        <item x="495"/>
        <item x="458"/>
        <item x="415"/>
        <item x="464"/>
        <item x="400"/>
        <item x="445"/>
        <item x="473"/>
        <item x="281"/>
        <item x="322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01">
        <item x="472"/>
        <item x="68"/>
        <item x="345"/>
        <item x="399"/>
        <item x="328"/>
        <item x="9"/>
        <item x="174"/>
        <item x="416"/>
        <item x="139"/>
        <item x="363"/>
        <item x="183"/>
        <item x="423"/>
        <item x="289"/>
        <item x="263"/>
        <item x="321"/>
        <item x="62"/>
        <item x="444"/>
        <item x="201"/>
        <item x="95"/>
        <item x="351"/>
        <item x="264"/>
        <item x="141"/>
        <item x="87"/>
        <item x="42"/>
        <item x="188"/>
        <item x="146"/>
        <item x="91"/>
        <item x="52"/>
        <item x="347"/>
        <item x="16"/>
        <item x="78"/>
        <item x="342"/>
        <item x="23"/>
        <item x="192"/>
        <item x="85"/>
        <item x="98"/>
        <item x="397"/>
        <item x="261"/>
        <item x="272"/>
        <item x="449"/>
        <item x="322"/>
        <item x="8"/>
        <item x="417"/>
        <item x="125"/>
        <item x="179"/>
        <item x="339"/>
        <item x="49"/>
        <item x="63"/>
        <item x="233"/>
        <item x="194"/>
        <item x="172"/>
        <item x="498"/>
        <item x="39"/>
        <item x="499"/>
        <item x="211"/>
        <item x="276"/>
        <item x="184"/>
        <item x="325"/>
        <item x="310"/>
        <item x="398"/>
        <item x="420"/>
        <item x="7"/>
        <item x="175"/>
        <item x="478"/>
        <item x="246"/>
        <item x="26"/>
        <item x="38"/>
        <item x="155"/>
        <item x="432"/>
        <item x="389"/>
        <item x="275"/>
        <item x="176"/>
        <item x="14"/>
        <item x="435"/>
        <item x="215"/>
        <item x="205"/>
        <item x="456"/>
        <item x="438"/>
        <item x="301"/>
        <item x="479"/>
        <item x="406"/>
        <item x="37"/>
        <item x="247"/>
        <item x="19"/>
        <item x="379"/>
        <item x="81"/>
        <item x="418"/>
        <item x="158"/>
        <item x="259"/>
        <item x="89"/>
        <item x="190"/>
        <item x="469"/>
        <item x="132"/>
        <item x="109"/>
        <item x="31"/>
        <item x="371"/>
        <item x="151"/>
        <item x="79"/>
        <item x="278"/>
        <item x="313"/>
        <item x="15"/>
        <item x="383"/>
        <item x="427"/>
        <item x="253"/>
        <item x="332"/>
        <item x="191"/>
        <item x="67"/>
        <item x="65"/>
        <item x="477"/>
        <item x="353"/>
        <item x="152"/>
        <item x="453"/>
        <item x="185"/>
        <item x="236"/>
        <item x="239"/>
        <item x="265"/>
        <item x="273"/>
        <item x="35"/>
        <item x="343"/>
        <item x="334"/>
        <item x="426"/>
        <item x="291"/>
        <item x="120"/>
        <item x="33"/>
        <item x="330"/>
        <item x="362"/>
        <item x="377"/>
        <item x="224"/>
        <item x="97"/>
        <item x="306"/>
        <item x="156"/>
        <item x="159"/>
        <item x="189"/>
        <item x="474"/>
        <item x="22"/>
        <item x="440"/>
        <item x="96"/>
        <item x="147"/>
        <item x="119"/>
        <item x="28"/>
        <item x="1"/>
        <item x="77"/>
        <item x="302"/>
        <item x="143"/>
        <item x="408"/>
        <item x="30"/>
        <item x="225"/>
        <item x="126"/>
        <item x="376"/>
        <item x="73"/>
        <item x="336"/>
        <item x="36"/>
        <item x="292"/>
        <item x="186"/>
        <item x="50"/>
        <item x="58"/>
        <item x="228"/>
        <item x="104"/>
        <item x="390"/>
        <item x="127"/>
        <item x="443"/>
        <item x="178"/>
        <item x="138"/>
        <item x="229"/>
        <item x="296"/>
        <item x="59"/>
        <item x="404"/>
        <item x="419"/>
        <item x="312"/>
        <item x="388"/>
        <item x="369"/>
        <item x="451"/>
        <item x="108"/>
        <item x="411"/>
        <item x="357"/>
        <item x="115"/>
        <item x="299"/>
        <item x="335"/>
        <item x="314"/>
        <item x="4"/>
        <item x="295"/>
        <item x="462"/>
        <item x="84"/>
        <item x="465"/>
        <item x="311"/>
        <item x="214"/>
        <item x="441"/>
        <item x="204"/>
        <item x="86"/>
        <item x="218"/>
        <item x="487"/>
        <item x="142"/>
        <item x="168"/>
        <item x="3"/>
        <item x="157"/>
        <item x="392"/>
        <item x="122"/>
        <item x="331"/>
        <item x="346"/>
        <item x="461"/>
        <item x="294"/>
        <item x="431"/>
        <item x="55"/>
        <item x="471"/>
        <item x="0"/>
        <item x="129"/>
        <item x="485"/>
        <item x="114"/>
        <item x="254"/>
        <item x="414"/>
        <item x="110"/>
        <item x="387"/>
        <item x="100"/>
        <item x="92"/>
        <item x="112"/>
        <item x="460"/>
        <item x="93"/>
        <item x="245"/>
        <item x="234"/>
        <item x="255"/>
        <item x="90"/>
        <item x="425"/>
        <item x="41"/>
        <item x="277"/>
        <item x="368"/>
        <item x="304"/>
        <item x="216"/>
        <item x="10"/>
        <item x="274"/>
        <item x="396"/>
        <item x="266"/>
        <item x="287"/>
        <item x="231"/>
        <item x="244"/>
        <item x="60"/>
        <item x="340"/>
        <item x="454"/>
        <item x="40"/>
        <item x="279"/>
        <item x="226"/>
        <item x="316"/>
        <item x="308"/>
        <item x="207"/>
        <item x="271"/>
        <item x="326"/>
        <item x="102"/>
        <item x="360"/>
        <item x="72"/>
        <item x="361"/>
        <item x="429"/>
        <item x="450"/>
        <item x="293"/>
        <item x="213"/>
        <item x="169"/>
        <item x="283"/>
        <item x="64"/>
        <item x="407"/>
        <item x="284"/>
        <item x="193"/>
        <item x="48"/>
        <item x="83"/>
        <item x="320"/>
        <item x="242"/>
        <item x="430"/>
        <item x="51"/>
        <item x="66"/>
        <item x="235"/>
        <item x="354"/>
        <item x="167"/>
        <item x="436"/>
        <item x="251"/>
        <item x="53"/>
        <item x="106"/>
        <item x="317"/>
        <item x="424"/>
        <item x="370"/>
        <item x="248"/>
        <item x="240"/>
        <item x="257"/>
        <item x="133"/>
        <item x="232"/>
        <item x="243"/>
        <item x="358"/>
        <item x="116"/>
        <item x="486"/>
        <item x="198"/>
        <item x="381"/>
        <item x="230"/>
        <item x="18"/>
        <item x="140"/>
        <item x="286"/>
        <item x="297"/>
        <item x="385"/>
        <item x="25"/>
        <item x="303"/>
        <item x="43"/>
        <item x="497"/>
        <item x="103"/>
        <item x="344"/>
        <item x="356"/>
        <item x="318"/>
        <item x="367"/>
        <item x="378"/>
        <item x="17"/>
        <item x="150"/>
        <item x="70"/>
        <item x="256"/>
        <item x="491"/>
        <item x="74"/>
        <item x="260"/>
        <item x="148"/>
        <item x="212"/>
        <item x="470"/>
        <item x="99"/>
        <item x="82"/>
        <item x="121"/>
        <item x="447"/>
        <item x="195"/>
        <item x="405"/>
        <item x="410"/>
        <item x="160"/>
        <item x="421"/>
        <item x="350"/>
        <item x="434"/>
        <item x="75"/>
        <item x="202"/>
        <item x="210"/>
        <item x="27"/>
        <item x="380"/>
        <item x="489"/>
        <item x="333"/>
        <item x="492"/>
        <item x="402"/>
        <item x="227"/>
        <item x="29"/>
        <item x="366"/>
        <item x="111"/>
        <item x="475"/>
        <item x="203"/>
        <item x="386"/>
        <item x="162"/>
        <item x="71"/>
        <item x="413"/>
        <item x="47"/>
        <item x="107"/>
        <item x="280"/>
        <item x="2"/>
        <item x="324"/>
        <item x="130"/>
        <item x="439"/>
        <item x="20"/>
        <item x="401"/>
        <item x="134"/>
        <item x="315"/>
        <item x="372"/>
        <item x="250"/>
        <item x="395"/>
        <item x="131"/>
        <item x="466"/>
        <item x="338"/>
        <item x="180"/>
        <item x="118"/>
        <item x="46"/>
        <item x="206"/>
        <item x="500"/>
        <item x="445"/>
        <item x="69"/>
        <item x="285"/>
        <item x="349"/>
        <item x="483"/>
        <item x="181"/>
        <item x="337"/>
        <item x="34"/>
        <item x="88"/>
        <item x="171"/>
        <item x="113"/>
        <item x="101"/>
        <item x="467"/>
        <item x="319"/>
        <item x="170"/>
        <item x="153"/>
        <item x="422"/>
        <item x="182"/>
        <item x="44"/>
        <item x="220"/>
        <item x="241"/>
        <item x="219"/>
        <item x="21"/>
        <item x="348"/>
        <item x="359"/>
        <item x="145"/>
        <item x="394"/>
        <item x="177"/>
        <item x="11"/>
        <item x="199"/>
        <item x="482"/>
        <item x="448"/>
        <item x="80"/>
        <item x="373"/>
        <item x="196"/>
        <item x="173"/>
        <item x="200"/>
        <item x="433"/>
        <item x="384"/>
        <item x="442"/>
        <item x="149"/>
        <item x="446"/>
        <item x="457"/>
        <item x="269"/>
        <item x="268"/>
        <item x="493"/>
        <item x="12"/>
        <item x="329"/>
        <item x="270"/>
        <item x="117"/>
        <item x="208"/>
        <item x="154"/>
        <item x="375"/>
        <item x="298"/>
        <item x="262"/>
        <item x="490"/>
        <item x="5"/>
        <item x="124"/>
        <item x="123"/>
        <item x="455"/>
        <item x="161"/>
        <item x="452"/>
        <item x="24"/>
        <item x="258"/>
        <item x="197"/>
        <item x="267"/>
        <item x="136"/>
        <item x="480"/>
        <item x="300"/>
        <item x="391"/>
        <item x="484"/>
        <item x="488"/>
        <item x="137"/>
        <item x="364"/>
        <item x="6"/>
        <item x="459"/>
        <item x="496"/>
        <item x="105"/>
        <item x="187"/>
        <item x="144"/>
        <item x="217"/>
        <item x="476"/>
        <item x="45"/>
        <item x="403"/>
        <item x="94"/>
        <item x="252"/>
        <item x="327"/>
        <item x="428"/>
        <item x="57"/>
        <item x="437"/>
        <item x="54"/>
        <item x="309"/>
        <item x="209"/>
        <item x="222"/>
        <item x="323"/>
        <item x="223"/>
        <item x="76"/>
        <item x="249"/>
        <item x="307"/>
        <item x="13"/>
        <item x="365"/>
        <item x="393"/>
        <item x="355"/>
        <item x="135"/>
        <item x="494"/>
        <item x="412"/>
        <item x="32"/>
        <item x="221"/>
        <item x="282"/>
        <item x="463"/>
        <item x="374"/>
        <item x="409"/>
        <item x="128"/>
        <item x="352"/>
        <item x="61"/>
        <item x="341"/>
        <item x="56"/>
        <item x="305"/>
        <item x="468"/>
        <item x="382"/>
        <item x="495"/>
        <item x="458"/>
        <item x="415"/>
        <item x="464"/>
        <item x="400"/>
        <item x="473"/>
        <item x="281"/>
        <item x="288"/>
        <item x="481"/>
        <item x="290"/>
        <item x="163"/>
        <item x="164"/>
        <item x="165"/>
        <item x="166"/>
        <item x="237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name="Cédula" axis="axisRow" compact="0" outline="0" showAll="0" defaultSubtotal="0">
      <items count="499">
        <item x="143"/>
        <item x="150"/>
        <item x="78"/>
        <item x="426"/>
        <item x="16"/>
        <item x="58"/>
        <item x="470"/>
        <item x="302"/>
        <item x="475"/>
        <item x="23"/>
        <item x="437"/>
        <item x="2"/>
        <item x="49"/>
        <item x="145"/>
        <item x="471"/>
        <item x="35"/>
        <item x="30"/>
        <item x="476"/>
        <item x="10"/>
        <item x="204"/>
        <item x="79"/>
        <item x="424"/>
        <item x="55"/>
        <item x="114"/>
        <item x="187"/>
        <item x="37"/>
        <item x="132"/>
        <item x="344"/>
        <item x="142"/>
        <item x="461"/>
        <item x="203"/>
        <item x="469"/>
        <item x="120"/>
        <item x="404"/>
        <item x="19"/>
        <item x="36"/>
        <item x="223"/>
        <item x="156"/>
        <item x="52"/>
        <item x="92"/>
        <item x="68"/>
        <item x="472"/>
        <item x="372"/>
        <item x="322"/>
        <item x="360"/>
        <item x="339"/>
        <item x="155"/>
        <item x="93"/>
        <item x="363"/>
        <item x="320"/>
        <item x="325"/>
        <item x="465"/>
        <item x="83"/>
        <item x="230"/>
        <item x="244"/>
        <item x="215"/>
        <item x="272"/>
        <item x="456"/>
        <item x="243"/>
        <item x="477"/>
        <item x="241"/>
        <item x="96"/>
        <item x="245"/>
        <item x="179"/>
        <item x="379"/>
        <item x="418"/>
        <item x="460"/>
        <item x="480"/>
        <item x="447"/>
        <item x="466"/>
        <item x="428"/>
        <item x="463"/>
        <item x="176"/>
        <item x="239"/>
        <item x="184"/>
        <item x="98"/>
        <item x="386"/>
        <item x="173"/>
        <item x="399"/>
        <item x="177"/>
        <item x="299"/>
        <item x="278"/>
        <item x="496"/>
        <item x="152"/>
        <item x="247"/>
        <item x="199"/>
        <item x="306"/>
        <item x="269"/>
        <item x="300"/>
        <item x="301"/>
        <item x="291"/>
        <item x="298"/>
        <item x="335"/>
        <item x="171"/>
        <item x="427"/>
        <item x="377"/>
        <item x="255"/>
        <item x="350"/>
        <item x="88"/>
        <item x="296"/>
        <item x="172"/>
        <item x="285"/>
        <item x="119"/>
        <item x="174"/>
        <item x="414"/>
        <item x="175"/>
        <item x="380"/>
        <item x="304"/>
        <item x="235"/>
        <item x="229"/>
        <item x="297"/>
        <item x="434"/>
        <item x="329"/>
        <item x="95"/>
        <item x="104"/>
        <item x="75"/>
        <item x="47"/>
        <item x="488"/>
        <item x="313"/>
        <item x="328"/>
        <item x="201"/>
        <item x="100"/>
        <item x="290"/>
        <item x="308"/>
        <item x="220"/>
        <item x="359"/>
        <item x="448"/>
        <item x="351"/>
        <item x="221"/>
        <item x="458"/>
        <item x="455"/>
        <item x="74"/>
        <item x="159"/>
        <item x="141"/>
        <item x="193"/>
        <item x="66"/>
        <item x="99"/>
        <item x="29"/>
        <item x="116"/>
        <item x="205"/>
        <item x="227"/>
        <item x="123"/>
        <item x="211"/>
        <item x="402"/>
        <item x="25"/>
        <item x="218"/>
        <item x="191"/>
        <item x="226"/>
        <item x="41"/>
        <item x="134"/>
        <item x="189"/>
        <item x="459"/>
        <item x="15"/>
        <item x="198"/>
        <item x="435"/>
        <item x="481"/>
        <item x="86"/>
        <item x="64"/>
        <item x="202"/>
        <item x="445"/>
        <item x="208"/>
        <item x="482"/>
        <item x="4"/>
        <item x="135"/>
        <item x="94"/>
        <item x="214"/>
        <item x="440"/>
        <item x="54"/>
        <item x="411"/>
        <item x="46"/>
        <item x="194"/>
        <item x="72"/>
        <item x="76"/>
        <item x="59"/>
        <item x="439"/>
        <item x="192"/>
        <item x="51"/>
        <item x="9"/>
        <item x="90"/>
        <item x="12"/>
        <item x="139"/>
        <item x="228"/>
        <item x="188"/>
        <item x="219"/>
        <item x="112"/>
        <item x="207"/>
        <item x="82"/>
        <item x="107"/>
        <item x="22"/>
        <item x="190"/>
        <item x="195"/>
        <item x="450"/>
        <item x="186"/>
        <item x="403"/>
        <item x="382"/>
        <item x="8"/>
        <item x="442"/>
        <item x="444"/>
        <item x="65"/>
        <item x="70"/>
        <item x="71"/>
        <item x="50"/>
        <item x="216"/>
        <item x="421"/>
        <item x="154"/>
        <item x="217"/>
        <item x="478"/>
        <item x="181"/>
        <item x="454"/>
        <item x="24"/>
        <item x="147"/>
        <item x="118"/>
        <item x="45"/>
        <item x="124"/>
        <item x="44"/>
        <item x="371"/>
        <item x="69"/>
        <item x="498"/>
        <item x="13"/>
        <item x="160"/>
        <item x="213"/>
        <item x="436"/>
        <item x="412"/>
        <item x="110"/>
        <item x="146"/>
        <item x="40"/>
        <item x="7"/>
        <item x="27"/>
        <item x="384"/>
        <item x="413"/>
        <item x="67"/>
        <item x="77"/>
        <item x="209"/>
        <item x="125"/>
        <item x="38"/>
        <item x="101"/>
        <item x="157"/>
        <item x="149"/>
        <item x="18"/>
        <item x="196"/>
        <item x="383"/>
        <item x="200"/>
        <item x="48"/>
        <item x="14"/>
        <item x="62"/>
        <item x="144"/>
        <item x="161"/>
        <item x="3"/>
        <item x="401"/>
        <item x="131"/>
        <item x="91"/>
        <item x="468"/>
        <item x="85"/>
        <item x="28"/>
        <item x="57"/>
        <item x="0"/>
        <item x="17"/>
        <item x="56"/>
        <item x="20"/>
        <item x="53"/>
        <item x="422"/>
        <item x="32"/>
        <item x="489"/>
        <item x="115"/>
        <item x="222"/>
        <item x="5"/>
        <item x="483"/>
        <item x="148"/>
        <item x="467"/>
        <item x="400"/>
        <item x="497"/>
        <item x="423"/>
        <item x="443"/>
        <item x="128"/>
        <item x="158"/>
        <item x="34"/>
        <item x="102"/>
        <item x="1"/>
        <item x="105"/>
        <item x="438"/>
        <item x="453"/>
        <item x="136"/>
        <item x="331"/>
        <item x="491"/>
        <item x="385"/>
        <item x="495"/>
        <item x="73"/>
        <item x="419"/>
        <item x="473"/>
        <item x="409"/>
        <item x="258"/>
        <item x="490"/>
        <item x="373"/>
        <item x="310"/>
        <item x="366"/>
        <item x="311"/>
        <item x="405"/>
        <item x="390"/>
        <item x="323"/>
        <item x="345"/>
        <item x="137"/>
        <item x="33"/>
        <item x="333"/>
        <item x="375"/>
        <item x="315"/>
        <item x="330"/>
        <item x="319"/>
        <item x="326"/>
        <item x="321"/>
        <item x="362"/>
        <item x="324"/>
        <item x="415"/>
        <item x="337"/>
        <item x="151"/>
        <item x="474"/>
        <item x="352"/>
        <item x="346"/>
        <item x="391"/>
        <item x="397"/>
        <item x="398"/>
        <item x="336"/>
        <item x="387"/>
        <item x="376"/>
        <item x="342"/>
        <item x="206"/>
        <item x="394"/>
        <item x="316"/>
        <item x="354"/>
        <item x="347"/>
        <item x="361"/>
        <item x="126"/>
        <item x="318"/>
        <item x="314"/>
        <item x="358"/>
        <item x="312"/>
        <item x="446"/>
        <item x="341"/>
        <item x="31"/>
        <item x="246"/>
        <item x="233"/>
        <item x="317"/>
        <item x="430"/>
        <item x="232"/>
        <item x="106"/>
        <item x="210"/>
        <item x="464"/>
        <item x="457"/>
        <item x="429"/>
        <item x="234"/>
        <item x="240"/>
        <item x="236"/>
        <item x="61"/>
        <item x="242"/>
        <item x="292"/>
        <item x="283"/>
        <item x="262"/>
        <item x="254"/>
        <item x="365"/>
        <item x="364"/>
        <item x="486"/>
        <item x="374"/>
        <item x="212"/>
        <item x="6"/>
        <item x="416"/>
        <item x="103"/>
        <item x="11"/>
        <item x="39"/>
        <item x="494"/>
        <item x="21"/>
        <item x="431"/>
        <item x="122"/>
        <item x="441"/>
        <item x="449"/>
        <item x="432"/>
        <item x="462"/>
        <item x="81"/>
        <item x="60"/>
        <item x="87"/>
        <item x="420"/>
        <item x="249"/>
        <item x="129"/>
        <item x="303"/>
        <item x="89"/>
        <item x="392"/>
        <item x="417"/>
        <item x="197"/>
        <item x="355"/>
        <item x="485"/>
        <item x="309"/>
        <item x="343"/>
        <item x="225"/>
        <item x="170"/>
        <item x="334"/>
        <item x="274"/>
        <item x="168"/>
        <item x="367"/>
        <item x="261"/>
        <item x="185"/>
        <item x="178"/>
        <item x="381"/>
        <item x="451"/>
        <item x="130"/>
        <item x="117"/>
        <item x="97"/>
        <item x="270"/>
        <item x="109"/>
        <item x="289"/>
        <item x="279"/>
        <item x="268"/>
        <item x="492"/>
        <item x="224"/>
        <item x="407"/>
        <item x="42"/>
        <item x="452"/>
        <item x="369"/>
        <item x="273"/>
        <item x="162"/>
        <item x="305"/>
        <item x="280"/>
        <item x="338"/>
        <item x="138"/>
        <item x="281"/>
        <item x="406"/>
        <item x="378"/>
        <item x="256"/>
        <item x="286"/>
        <item x="356"/>
        <item x="348"/>
        <item x="257"/>
        <item x="295"/>
        <item x="357"/>
        <item x="183"/>
        <item x="282"/>
        <item x="26"/>
        <item x="260"/>
        <item x="410"/>
        <item x="264"/>
        <item x="484"/>
        <item x="479"/>
        <item x="251"/>
        <item x="349"/>
        <item x="63"/>
        <item x="250"/>
        <item x="182"/>
        <item x="368"/>
        <item x="167"/>
        <item x="253"/>
        <item x="113"/>
        <item x="263"/>
        <item x="277"/>
        <item x="111"/>
        <item x="276"/>
        <item x="294"/>
        <item x="267"/>
        <item x="121"/>
        <item x="275"/>
        <item x="293"/>
        <item x="370"/>
        <item x="265"/>
        <item x="287"/>
        <item x="425"/>
        <item x="169"/>
        <item x="108"/>
        <item x="231"/>
        <item x="43"/>
        <item x="433"/>
        <item x="266"/>
        <item x="140"/>
        <item x="393"/>
        <item x="153"/>
        <item x="487"/>
        <item x="408"/>
        <item x="127"/>
        <item x="248"/>
        <item x="493"/>
        <item x="388"/>
        <item x="332"/>
        <item x="340"/>
        <item x="271"/>
        <item x="395"/>
        <item x="396"/>
        <item x="389"/>
        <item x="80"/>
        <item x="284"/>
        <item x="133"/>
        <item x="259"/>
        <item x="84"/>
        <item x="252"/>
        <item x="353"/>
        <item x="288"/>
        <item x="307"/>
        <item x="327"/>
        <item x="180"/>
        <item x="238"/>
        <item x="163"/>
        <item x="164"/>
        <item x="165"/>
        <item x="166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Vacante" axis="axisRow" compact="0" outline="0" showAll="0" defaultSubtotal="0">
      <items count="48">
        <item x="0"/>
        <item x="1"/>
        <item x="9"/>
        <item x="32"/>
        <item x="41"/>
        <item x="23"/>
        <item x="14"/>
        <item x="10"/>
        <item x="8"/>
        <item x="2"/>
        <item x="3"/>
        <item x="4"/>
        <item x="20"/>
        <item x="45"/>
        <item x="40"/>
        <item x="24"/>
        <item x="33"/>
        <item x="25"/>
        <item x="15"/>
        <item x="26"/>
        <item x="34"/>
        <item x="42"/>
        <item x="5"/>
        <item x="36"/>
        <item x="16"/>
        <item x="17"/>
        <item x="18"/>
        <item x="19"/>
        <item x="11"/>
        <item x="6"/>
        <item x="37"/>
        <item x="38"/>
        <item x="27"/>
        <item x="43"/>
        <item x="46"/>
        <item x="21"/>
        <item x="28"/>
        <item x="12"/>
        <item x="29"/>
        <item x="22"/>
        <item x="30"/>
        <item x="47"/>
        <item x="44"/>
        <item x="31"/>
        <item x="7"/>
        <item x="39"/>
        <item x="13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0"/>
        <item x="1"/>
        <item x="2"/>
      </items>
    </pivotField>
    <pivotField compact="0" outline="0" showAll="0" defaultSubtotal="0"/>
    <pivotField axis="axisRow" compact="0" outline="0" showAll="0" defaultSubtotal="0">
      <items count="56">
        <item x="3"/>
        <item x="53"/>
        <item x="6"/>
        <item x="46"/>
        <item x="48"/>
        <item x="7"/>
        <item x="55"/>
        <item x="20"/>
        <item x="22"/>
        <item x="14"/>
        <item x="52"/>
        <item x="12"/>
        <item x="32"/>
        <item x="21"/>
        <item x="8"/>
        <item x="17"/>
        <item x="36"/>
        <item x="23"/>
        <item x="1"/>
        <item x="0"/>
        <item x="2"/>
        <item x="27"/>
        <item x="51"/>
        <item x="49"/>
        <item x="34"/>
        <item x="33"/>
        <item x="42"/>
        <item x="38"/>
        <item x="47"/>
        <item x="40"/>
        <item x="50"/>
        <item x="43"/>
        <item x="18"/>
        <item x="19"/>
        <item x="54"/>
        <item x="24"/>
        <item x="45"/>
        <item x="10"/>
        <item x="25"/>
        <item x="29"/>
        <item x="28"/>
        <item x="15"/>
        <item x="4"/>
        <item x="44"/>
        <item x="31"/>
        <item x="39"/>
        <item x="11"/>
        <item x="5"/>
        <item x="9"/>
        <item x="13"/>
        <item x="26"/>
        <item x="30"/>
        <item x="16"/>
        <item x="35"/>
        <item x="41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9">
        <item x="2"/>
        <item x="198"/>
        <item x="307"/>
        <item x="386"/>
        <item x="43"/>
        <item x="260"/>
        <item x="339"/>
        <item x="448"/>
        <item x="311"/>
        <item x="73"/>
        <item x="315"/>
        <item x="194"/>
        <item x="380"/>
        <item x="422"/>
        <item x="250"/>
        <item x="365"/>
        <item x="166"/>
        <item x="488"/>
        <item x="320"/>
        <item x="405"/>
        <item x="165"/>
        <item x="306"/>
        <item x="387"/>
        <item x="116"/>
        <item x="450"/>
        <item x="66"/>
        <item x="90"/>
        <item x="310"/>
        <item x="98"/>
        <item x="305"/>
        <item x="40"/>
        <item x="459"/>
        <item x="353"/>
        <item x="329"/>
        <item x="354"/>
        <item x="355"/>
        <item x="376"/>
        <item x="121"/>
        <item x="464"/>
        <item x="263"/>
        <item x="287"/>
        <item x="333"/>
        <item x="336"/>
        <item x="177"/>
        <item x="44"/>
        <item x="331"/>
        <item x="105"/>
        <item x="143"/>
        <item x="76"/>
        <item x="82"/>
        <item x="419"/>
        <item x="203"/>
        <item x="38"/>
        <item x="125"/>
        <item x="265"/>
        <item x="356"/>
        <item x="303"/>
        <item x="200"/>
        <item x="402"/>
        <item x="434"/>
        <item x="107"/>
        <item x="49"/>
        <item x="54"/>
        <item x="383"/>
        <item x="350"/>
        <item x="61"/>
        <item x="17"/>
        <item x="368"/>
        <item x="87"/>
        <item x="452"/>
        <item x="113"/>
        <item x="300"/>
        <item x="366"/>
        <item x="190"/>
        <item x="337"/>
        <item x="351"/>
        <item x="204"/>
        <item x="122"/>
        <item x="457"/>
        <item x="314"/>
        <item x="312"/>
        <item x="338"/>
        <item x="302"/>
        <item x="254"/>
        <item x="14"/>
        <item x="313"/>
        <item x="362"/>
        <item x="379"/>
        <item x="94"/>
        <item x="284"/>
        <item x="417"/>
        <item x="33"/>
        <item x="384"/>
        <item x="318"/>
        <item x="377"/>
        <item x="324"/>
        <item x="251"/>
        <item x="72"/>
        <item x="97"/>
        <item x="445"/>
        <item x="391"/>
        <item x="19"/>
        <item x="240"/>
        <item x="153"/>
        <item x="67"/>
        <item x="99"/>
        <item x="7"/>
        <item x="381"/>
        <item x="10"/>
        <item x="456"/>
        <item x="321"/>
        <item x="25"/>
        <item x="358"/>
        <item x="472"/>
        <item x="111"/>
        <item x="18"/>
        <item x="426"/>
        <item x="447"/>
        <item x="120"/>
        <item x="415"/>
        <item x="89"/>
        <item x="55"/>
        <item x="467"/>
        <item x="0"/>
        <item x="246"/>
        <item x="244"/>
        <item x="32"/>
        <item x="199"/>
        <item x="266"/>
        <item x="70"/>
        <item x="299"/>
        <item x="443"/>
        <item x="109"/>
        <item x="103"/>
        <item x="416"/>
        <item x="42"/>
        <item x="92"/>
        <item x="202"/>
        <item x="382"/>
        <item x="403"/>
        <item x="8"/>
        <item x="441"/>
        <item x="397"/>
        <item x="218"/>
        <item x="126"/>
        <item x="421"/>
        <item x="400"/>
        <item x="236"/>
        <item x="283"/>
        <item x="6"/>
        <item x="370"/>
        <item x="179"/>
        <item x="213"/>
        <item x="26"/>
        <item x="301"/>
        <item x="37"/>
        <item x="175"/>
        <item x="189"/>
        <item x="52"/>
        <item x="78"/>
        <item x="48"/>
        <item x="217"/>
        <item x="347"/>
        <item x="462"/>
        <item x="77"/>
        <item x="141"/>
        <item x="152"/>
        <item x="378"/>
        <item x="138"/>
        <item x="474"/>
        <item x="223"/>
        <item x="139"/>
        <item x="219"/>
        <item x="425"/>
        <item x="414"/>
        <item x="112"/>
        <item x="399"/>
        <item x="119"/>
        <item x="127"/>
        <item x="212"/>
        <item x="24"/>
        <item x="88"/>
        <item x="235"/>
        <item x="272"/>
        <item x="444"/>
        <item x="412"/>
        <item x="435"/>
        <item x="304"/>
        <item x="463"/>
        <item x="124"/>
        <item x="229"/>
        <item x="409"/>
        <item x="256"/>
        <item x="146"/>
        <item x="60"/>
        <item x="239"/>
        <item x="325"/>
        <item x="232"/>
        <item x="285"/>
        <item x="206"/>
        <item x="114"/>
        <item x="192"/>
        <item x="133"/>
        <item x="71"/>
        <item x="91"/>
        <item x="427"/>
        <item x="63"/>
        <item x="50"/>
        <item x="230"/>
        <item x="22"/>
        <item x="438"/>
        <item x="476"/>
        <item x="288"/>
        <item x="5"/>
        <item x="367"/>
        <item x="286"/>
        <item x="84"/>
        <item x="477"/>
        <item x="53"/>
        <item x="57"/>
        <item x="439"/>
        <item x="186"/>
        <item x="169"/>
        <item x="481"/>
        <item x="465"/>
        <item x="36"/>
        <item x="316"/>
        <item x="396"/>
        <item x="454"/>
        <item x="234"/>
        <item x="108"/>
        <item x="340"/>
        <item x="317"/>
        <item x="85"/>
        <item x="79"/>
        <item x="431"/>
        <item x="174"/>
        <item x="345"/>
        <item x="348"/>
        <item x="211"/>
        <item x="330"/>
        <item x="346"/>
        <item x="390"/>
        <item x="173"/>
        <item x="292"/>
        <item x="83"/>
        <item x="148"/>
        <item x="430"/>
        <item x="15"/>
        <item x="106"/>
        <item x="176"/>
        <item x="253"/>
        <item x="295"/>
        <item x="437"/>
        <item x="487"/>
        <item x="58"/>
        <item x="183"/>
        <item x="187"/>
        <item x="135"/>
        <item x="279"/>
        <item x="184"/>
        <item x="482"/>
        <item x="274"/>
        <item x="100"/>
        <item x="352"/>
        <item x="51"/>
        <item x="13"/>
        <item x="102"/>
        <item x="95"/>
        <item x="442"/>
        <item x="423"/>
        <item x="486"/>
        <item x="479"/>
        <item x="252"/>
        <item x="277"/>
        <item x="242"/>
        <item x="264"/>
        <item x="221"/>
        <item x="261"/>
        <item x="428"/>
        <item x="147"/>
        <item x="258"/>
        <item x="389"/>
        <item x="243"/>
        <item x="205"/>
        <item x="9"/>
        <item x="195"/>
        <item x="1"/>
        <item x="349"/>
        <item x="418"/>
        <item x="359"/>
        <item x="282"/>
        <item x="357"/>
        <item x="28"/>
        <item x="193"/>
        <item x="117"/>
        <item x="404"/>
        <item x="432"/>
        <item x="180"/>
        <item x="407"/>
        <item x="75"/>
        <item x="47"/>
        <item x="207"/>
        <item x="323"/>
        <item x="168"/>
        <item x="344"/>
        <item x="267"/>
        <item x="466"/>
        <item x="420"/>
        <item x="298"/>
        <item x="268"/>
        <item x="278"/>
        <item x="134"/>
        <item x="436"/>
        <item x="411"/>
        <item x="130"/>
        <item x="473"/>
        <item x="237"/>
        <item x="178"/>
        <item x="455"/>
        <item x="385"/>
        <item x="34"/>
        <item x="210"/>
        <item x="259"/>
        <item x="334"/>
        <item x="214"/>
        <item x="483"/>
        <item x="341"/>
        <item x="21"/>
        <item x="39"/>
        <item x="123"/>
        <item x="163"/>
        <item x="360"/>
        <item x="145"/>
        <item x="167"/>
        <item x="69"/>
        <item x="342"/>
        <item x="196"/>
        <item x="65"/>
        <item x="247"/>
        <item x="270"/>
        <item x="4"/>
        <item x="281"/>
        <item x="478"/>
        <item x="257"/>
        <item x="96"/>
        <item x="64"/>
        <item x="364"/>
        <item x="224"/>
        <item x="132"/>
        <item x="406"/>
        <item x="20"/>
        <item x="12"/>
        <item x="155"/>
        <item x="424"/>
        <item x="429"/>
        <item x="480"/>
        <item x="393"/>
        <item x="395"/>
        <item x="269"/>
        <item x="485"/>
        <item x="16"/>
        <item x="59"/>
        <item x="162"/>
        <item x="291"/>
        <item x="188"/>
        <item x="129"/>
        <item x="410"/>
        <item x="181"/>
        <item x="136"/>
        <item x="233"/>
        <item x="275"/>
        <item x="208"/>
        <item x="93"/>
        <item x="172"/>
        <item x="157"/>
        <item x="343"/>
        <item x="408"/>
        <item x="150"/>
        <item x="319"/>
        <item x="249"/>
        <item x="220"/>
        <item x="142"/>
        <item x="171"/>
        <item x="461"/>
        <item x="433"/>
        <item x="255"/>
        <item x="271"/>
        <item x="226"/>
        <item x="201"/>
        <item x="308"/>
        <item x="225"/>
        <item x="471"/>
        <item x="262"/>
        <item x="81"/>
        <item x="440"/>
        <item x="371"/>
        <item x="231"/>
        <item x="248"/>
        <item x="209"/>
        <item x="110"/>
        <item x="151"/>
        <item x="86"/>
        <item x="118"/>
        <item x="449"/>
        <item x="80"/>
        <item x="41"/>
        <item x="156"/>
        <item x="182"/>
        <item x="363"/>
        <item x="297"/>
        <item x="375"/>
        <item x="373"/>
        <item x="327"/>
        <item x="398"/>
        <item x="31"/>
        <item x="222"/>
        <item x="241"/>
        <item x="335"/>
        <item x="374"/>
        <item x="401"/>
        <item x="104"/>
        <item x="11"/>
        <item x="27"/>
        <item x="484"/>
        <item x="293"/>
        <item x="369"/>
        <item x="453"/>
        <item x="128"/>
        <item x="361"/>
        <item x="30"/>
        <item x="144"/>
        <item x="45"/>
        <item x="35"/>
        <item x="131"/>
        <item x="296"/>
        <item x="154"/>
        <item x="101"/>
        <item x="446"/>
        <item x="23"/>
        <item x="140"/>
        <item x="460"/>
        <item x="197"/>
        <item x="468"/>
        <item x="115"/>
        <item x="238"/>
        <item x="273"/>
        <item x="215"/>
        <item x="392"/>
        <item x="289"/>
        <item x="164"/>
        <item x="469"/>
        <item x="290"/>
        <item x="328"/>
        <item x="276"/>
        <item x="56"/>
        <item x="191"/>
        <item x="458"/>
        <item x="29"/>
        <item x="74"/>
        <item x="394"/>
        <item x="62"/>
        <item x="294"/>
        <item x="170"/>
        <item x="475"/>
        <item x="149"/>
        <item x="68"/>
        <item x="326"/>
        <item x="309"/>
        <item x="372"/>
        <item x="413"/>
        <item x="3"/>
        <item x="388"/>
        <item x="332"/>
        <item x="280"/>
        <item x="470"/>
        <item x="216"/>
        <item x="451"/>
        <item x="245"/>
        <item x="137"/>
        <item x="322"/>
        <item x="185"/>
        <item x="46"/>
        <item x="158"/>
        <item x="159"/>
        <item x="160"/>
        <item x="161"/>
        <item x="227"/>
        <item x="2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4">
        <item h="1" x="0"/>
        <item h="1" x="10"/>
        <item h="1" x="7"/>
        <item h="1" x="3"/>
        <item h="1" x="4"/>
        <item h="1" x="13"/>
        <item x="12"/>
        <item h="1" x="11"/>
        <item h="1" x="5"/>
        <item h="1" x="2"/>
        <item h="1" x="9"/>
        <item h="1" x="1"/>
        <item h="1" x="8"/>
        <item h="1" x="6"/>
      </items>
    </pivotField>
    <pivotField axis="axisRow" compact="0" outline="0" showAll="0" defaultSubtotal="0">
      <items count="10">
        <item x="0"/>
        <item m="1" x="9"/>
        <item x="1"/>
        <item x="2"/>
        <item x="4"/>
        <item x="5"/>
        <item x="6"/>
        <item x="7"/>
        <item x="8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6"/>
        <item x="3"/>
        <item m="1" x="9"/>
        <item x="1"/>
        <item x="0"/>
        <item x="4"/>
        <item x="5"/>
        <item x="8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45"/>
    <field x="3"/>
    <field x="1"/>
    <field x="0"/>
    <field x="49"/>
    <field x="48"/>
    <field x="51"/>
    <field x="52"/>
  </rowFields>
  <rowItems count="6">
    <i>
      <x v="33"/>
      <x v="29"/>
      <x v="474"/>
      <x v="474"/>
      <x v="477"/>
      <x v="1"/>
      <x v="7"/>
      <x/>
    </i>
    <i r="1">
      <x v="71"/>
      <x v="183"/>
      <x v="210"/>
      <x v="427"/>
      <x v="32"/>
      <x v="7"/>
      <x/>
    </i>
    <i r="1">
      <x v="166"/>
      <x v="404"/>
      <x v="389"/>
      <x v="247"/>
      <x v="37"/>
      <x v="7"/>
      <x/>
    </i>
    <i r="1">
      <x v="174"/>
      <x v="186"/>
      <x v="162"/>
      <x v="355"/>
      <x v="36"/>
      <x v="7"/>
      <x/>
    </i>
    <i r="1">
      <x v="191"/>
      <x v="426"/>
      <x v="437"/>
      <x v="395"/>
      <x v="37"/>
      <x v="7"/>
      <x/>
    </i>
    <i r="1">
      <x v="345"/>
      <x v="358"/>
      <x v="296"/>
      <x v="228"/>
      <x v="32"/>
      <x v="7"/>
      <x/>
    </i>
  </rowItems>
  <colItems count="1">
    <i/>
  </colItems>
  <pageFields count="2">
    <pageField fld="50" hier="-1"/>
    <pageField fld="46" item="1" hier="-1"/>
  </pageFields>
  <pivotTableStyleInfo name="PivotStyleMedium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181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estra" displayName="TablaMaestra" ref="A1:BA512">
  <autoFilter ref="A1:BA512" xr:uid="{00000000-000C-0000-FFFF-FFFF00000000}"/>
  <sortState xmlns:xlrd2="http://schemas.microsoft.com/office/spreadsheetml/2017/richdata2" ref="A2:BA502">
    <sortCondition ref="AZ1:AZ502"/>
  </sortState>
  <tableColumns count="53">
    <tableColumn id="1" xr3:uid="{00000000-0010-0000-0000-000001000000}" name="Correo del candidato"/>
    <tableColumn id="2" xr3:uid="{00000000-0010-0000-0000-000002000000}" name="Nombre del candidato"/>
    <tableColumn id="3" xr3:uid="{00000000-0010-0000-0000-000003000000}" name="Tipo de identificación"/>
    <tableColumn id="4" xr3:uid="{00000000-0010-0000-0000-000004000000}" name="Número de documento de identificación"/>
    <tableColumn id="5" xr3:uid="{00000000-0010-0000-0000-000005000000}" name="Género con el que te identificas"/>
    <tableColumn id="6" xr3:uid="{00000000-0010-0000-0000-000006000000}" name="¿Cuál es tu edad?"/>
    <tableColumn id="7" xr3:uid="{00000000-0010-0000-0000-000007000000}" name="¿Actualmente estás cursando un pregrado universitario?"/>
    <tableColumn id="8" xr3:uid="{00000000-0010-0000-0000-000008000000}" name="Ciudad en la que resides actualmente"/>
    <tableColumn id="9" xr3:uid="{00000000-0010-0000-0000-000009000000}" name="Lugar en el que estarías dispuesto/a a realizar tus prácticas"/>
    <tableColumn id="10" xr3:uid="{00000000-0010-0000-0000-00000A000000}" name="A que universidad perteneces"/>
    <tableColumn id="11" xr3:uid="{00000000-0010-0000-0000-00000B000000}" name="¿Cuál?."/>
    <tableColumn id="12" xr3:uid="{00000000-0010-0000-0000-00000C000000}" name="Nombre del programa académico"/>
    <tableColumn id="13" xr3:uid="{00000000-0010-0000-0000-00000D000000}" name="¿Cuál?"/>
    <tableColumn id="14" xr3:uid="{00000000-0010-0000-0000-00000E000000}" name="¿Debes cursar asignaturas durante la realización de tus prácticas?"/>
    <tableColumn id="15" xr3:uid="{00000000-0010-0000-0000-00000F000000}" name="¿Anteriormente ha tenido vinculación como aprendiz SENA?"/>
    <tableColumn id="16" xr3:uid="{00000000-0010-0000-0000-000010000000}" name="Nivel de inglés"/>
    <tableColumn id="17" xr3:uid="{00000000-0010-0000-0000-000011000000}" name="Nivel de manejo de Excel"/>
    <tableColumn id="18" xr3:uid="{00000000-0010-0000-0000-000012000000}" name="Primer área de interés para realizar la práctica"/>
    <tableColumn id="19" xr3:uid="{00000000-0010-0000-0000-000013000000}" name="Vacantes Producción (Operaciones)"/>
    <tableColumn id="20" xr3:uid="{00000000-0010-0000-0000-000014000000}" name="Vacantes Finanzas"/>
    <tableColumn id="21" xr3:uid="{00000000-0010-0000-0000-000015000000}" name="Vacantes Talento"/>
    <tableColumn id="22" xr3:uid="{00000000-0010-0000-0000-000016000000}" name="Vacantes Ventas"/>
    <tableColumn id="23" xr3:uid="{00000000-0010-0000-0000-000017000000}" name="Segunda área de interés para realizar la práctica"/>
    <tableColumn id="24" xr3:uid="{00000000-0010-0000-0000-000018000000}" name="Vacantes Producción (Operaciones)2"/>
    <tableColumn id="25" xr3:uid="{00000000-0010-0000-0000-000019000000}" name="Vacantes Finanzas3"/>
    <tableColumn id="26" xr3:uid="{00000000-0010-0000-0000-00001A000000}" name="Vacantes Talento4"/>
    <tableColumn id="27" xr3:uid="{00000000-0010-0000-0000-00001B000000}" name="Vacantes Ventas5"/>
    <tableColumn id="28" xr3:uid="{00000000-0010-0000-0000-00001C000000}" name="¿Has trabajado anteriormente para nuestra compañía?"/>
    <tableColumn id="29" xr3:uid="{00000000-0010-0000-0000-00001D000000}" name="¿Tienes algún familiar laborado con la compañía?"/>
    <tableColumn id="30" xr3:uid="{00000000-0010-0000-0000-00001E000000}" name="Si tu respuesta fue &quot;Sí&quot;, indica el parentesco y nombre completo (Ejemplo: Madre – Rosa Elena Medina Delgado):"/>
    <tableColumn id="31" xr3:uid="{00000000-0010-0000-0000-00001F000000}" name="¿Tienes algún familiar que sea o labore con un proveedor de la compañía?"/>
    <tableColumn id="32" xr3:uid="{00000000-0010-0000-0000-000020000000}" name="Si tu respuesta fue &quot;Sí&quot;, indica e parentesco y nombre completo (Ejemplo: Madre - Rosa Elena Medina Delgado):"/>
    <tableColumn id="33" xr3:uid="{00000000-0010-0000-0000-000021000000}" name="¿Tienes algún familiar que sea o labore con un cliente de la compañía?"/>
    <tableColumn id="34" xr3:uid="{00000000-0010-0000-0000-000022000000}" name="Si tu respuesta fue &quot;Sí&quot;, indica el parentesco y nombre completo (Ejemplo: Madre - Rosa Elena Medina Delgado):"/>
    <tableColumn id="35" xr3:uid="{00000000-0010-0000-0000-000023000000}" name="¿Tienes algún familiar que sea o labore con la competencia de la compañía?"/>
    <tableColumn id="36" xr3:uid="{00000000-0010-0000-0000-000024000000}" name="Si tu respuesta fue &quot;Sí&quot;, indica el parentesco y nombre completo (Ejemplo: Madre -  Rosa Elena Medina Delgado):"/>
    <tableColumn id="37" xr3:uid="{00000000-0010-0000-0000-000025000000}" name="¿Por qué medio te enteraste de nuestra convocatoria?"/>
    <tableColumn id="38" xr3:uid="{00000000-0010-0000-0000-000026000000}" name="Nombre de la etapa"/>
    <tableColumn id="39" xr3:uid="{00000000-0010-0000-0000-000027000000}" name="Día "/>
    <tableColumn id="40" xr3:uid="{00000000-0010-0000-0000-000028000000}" name="Hora"/>
    <tableColumn id="41" xr3:uid="{00000000-0010-0000-0000-000029000000}" name="Teléfono"/>
    <tableColumn id="42" xr3:uid="{00000000-0010-0000-0000-00002A000000}" name="Dirección"/>
    <tableColumn id="43" xr3:uid="{00000000-0010-0000-0000-00002B000000}" name="Magneto ERI"/>
    <tableColumn id="44" xr3:uid="{00000000-0010-0000-0000-00002C000000}" name="Magneto %"/>
    <tableColumn id="45" xr3:uid="{00000000-0010-0000-0000-00002D000000}" name="Encargado"/>
    <tableColumn id="46" xr3:uid="{00000000-0010-0000-0000-00002E000000}" name="Vacante sugerida"/>
    <tableColumn id="47" xr3:uid="{00000000-0010-0000-0000-00002F000000}" name="Confirmación "/>
    <tableColumn id="48" xr3:uid="{00000000-0010-0000-0000-000030000000}" name="Comentarios"/>
    <tableColumn id="49" xr3:uid="{00000000-0010-0000-0000-000031000000}" name="Carrera"/>
    <tableColumn id="50" xr3:uid="{00000000-0010-0000-0000-000032000000}" name="Teléfono contacto"/>
    <tableColumn id="51" xr3:uid="{00000000-0010-0000-0000-000033000000}" name="Site"/>
    <tableColumn id="52" xr3:uid="{00000000-0010-0000-0000-000034000000}" name="Fecha creatón"/>
    <tableColumn id="53" xr3:uid="{00000000-0010-0000-0000-000035000000}" name="Horario creat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Vacantes" displayName="TablaVacantes" ref="A1:F55">
  <autoFilter ref="A1:F55" xr:uid="{00000000-0009-0000-0100-000002000000}"/>
  <tableColumns count="6">
    <tableColumn id="1" xr3:uid="{00000000-0010-0000-0100-000001000000}" name="Vacante"/>
    <tableColumn id="2" xr3:uid="{00000000-0010-0000-0100-000002000000}" name="Ubicación / Planta (funnel)"/>
    <tableColumn id="3" xr3:uid="{00000000-0010-0000-0100-000003000000}" name="Site"/>
    <tableColumn id="4" xr3:uid="{00000000-0010-0000-0100-000004000000}" name="Fecha creatón"/>
    <tableColumn id="5" xr3:uid="{00000000-0010-0000-0100-000005000000}" name="Horario creatón"/>
    <tableColumn id="6" xr3:uid="{00000000-0010-0000-0100-000006000000}" name="Fecha creatón (texto origi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12"/>
  <sheetViews>
    <sheetView workbookViewId="0">
      <pane xSplit="2" ySplit="1" topLeftCell="AR424" activePane="bottomRight" state="frozen"/>
      <selection pane="topRight"/>
      <selection pane="bottomLeft"/>
      <selection pane="bottomRight" activeCell="AZ390" sqref="AZ390"/>
    </sheetView>
  </sheetViews>
  <sheetFormatPr baseColWidth="10" defaultColWidth="8.83203125" defaultRowHeight="13" x14ac:dyDescent="0.15"/>
  <cols>
    <col min="1" max="2" width="18" customWidth="1"/>
    <col min="3" max="3" width="19.83203125" customWidth="1"/>
    <col min="4" max="4" width="33.33203125" customWidth="1"/>
    <col min="5" max="5" width="28.83203125" customWidth="1"/>
    <col min="6" max="6" width="15.33203125" customWidth="1"/>
    <col min="7" max="7" width="40" customWidth="1"/>
    <col min="8" max="8" width="32.33203125" customWidth="1"/>
    <col min="9" max="9" width="40" customWidth="1"/>
    <col min="10" max="10" width="25.1640625" customWidth="1"/>
    <col min="11" max="11" width="12" customWidth="1"/>
    <col min="12" max="12" width="26.1640625" customWidth="1"/>
    <col min="13" max="13" width="12" customWidth="1"/>
    <col min="14" max="15" width="40" customWidth="1"/>
    <col min="16" max="16" width="13.5" customWidth="1"/>
    <col min="17" max="17" width="21.6640625" customWidth="1"/>
    <col min="18" max="18" width="40" customWidth="1"/>
    <col min="19" max="19" width="29.6640625" customWidth="1"/>
    <col min="20" max="20" width="15.33203125" customWidth="1"/>
    <col min="21" max="21" width="14.33203125" customWidth="1"/>
    <col min="22" max="22" width="13.5" customWidth="1"/>
    <col min="23" max="23" width="40" customWidth="1"/>
    <col min="24" max="24" width="30.6640625" customWidth="1"/>
    <col min="25" max="25" width="16.1640625" customWidth="1"/>
    <col min="26" max="26" width="15.33203125" customWidth="1"/>
    <col min="27" max="27" width="14.33203125" customWidth="1"/>
    <col min="28" max="37" width="40" customWidth="1"/>
    <col min="38" max="38" width="16.1640625" customWidth="1"/>
    <col min="39" max="45" width="12" customWidth="1"/>
    <col min="46" max="46" width="14.33203125" customWidth="1"/>
    <col min="47" max="49" width="12" customWidth="1"/>
    <col min="50" max="50" width="15.33203125" customWidth="1"/>
    <col min="51" max="51" width="22.83203125" bestFit="1" customWidth="1"/>
    <col min="52" max="52" width="12" customWidth="1"/>
    <col min="53" max="53" width="13.5" customWidth="1"/>
  </cols>
  <sheetData>
    <row r="1" spans="1:53" ht="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15">
      <c r="A2" t="s">
        <v>53</v>
      </c>
      <c r="B2" t="s">
        <v>54</v>
      </c>
      <c r="C2" t="s">
        <v>55</v>
      </c>
      <c r="D2">
        <v>1031641933</v>
      </c>
      <c r="E2" t="s">
        <v>56</v>
      </c>
      <c r="F2">
        <v>22</v>
      </c>
      <c r="G2" t="b">
        <v>1</v>
      </c>
      <c r="I2" t="s">
        <v>57</v>
      </c>
      <c r="J2" t="s">
        <v>58</v>
      </c>
      <c r="L2" t="s">
        <v>59</v>
      </c>
      <c r="N2" t="b">
        <v>1</v>
      </c>
      <c r="O2" t="b">
        <v>0</v>
      </c>
      <c r="P2" t="s">
        <v>60</v>
      </c>
      <c r="Q2" t="s">
        <v>61</v>
      </c>
      <c r="R2" t="s">
        <v>62</v>
      </c>
      <c r="U2" t="s">
        <v>63</v>
      </c>
      <c r="W2" t="s">
        <v>64</v>
      </c>
      <c r="AB2" t="b">
        <v>0</v>
      </c>
      <c r="AC2" t="b">
        <v>0</v>
      </c>
      <c r="AE2" t="b">
        <v>0</v>
      </c>
      <c r="AG2" t="b">
        <v>0</v>
      </c>
      <c r="AI2" t="b">
        <v>0</v>
      </c>
      <c r="AK2" t="s">
        <v>65</v>
      </c>
      <c r="AL2" t="s">
        <v>66</v>
      </c>
      <c r="AM2" s="3">
        <v>46278</v>
      </c>
      <c r="AN2" s="4">
        <v>0.80265046296296294</v>
      </c>
      <c r="AO2" t="s">
        <v>67</v>
      </c>
      <c r="AP2" t="s">
        <v>68</v>
      </c>
      <c r="AQ2" t="s">
        <v>69</v>
      </c>
      <c r="AR2">
        <v>74.5</v>
      </c>
      <c r="AS2" t="s">
        <v>70</v>
      </c>
      <c r="AT2" t="s">
        <v>71</v>
      </c>
      <c r="AU2" t="s">
        <v>72</v>
      </c>
      <c r="AV2" t="s">
        <v>73</v>
      </c>
      <c r="AW2" t="str">
        <f t="shared" ref="AW2:AW65" si="0">IF(L2="Otra",IF(M2="","Otra",M2&amp;""),L2&amp;"")</f>
        <v>Estadística</v>
      </c>
      <c r="AX2" t="str">
        <f t="shared" ref="AX2:AX65" si="1">IF(OR(AO2="",AO2=0),"",TRIM(AO2))</f>
        <v>310 3824756</v>
      </c>
      <c r="AY2" t="str">
        <f>IFERROR(INDEX(Vacantes!$C:$C,MATCH(AT2,Vacantes!$A:$A,0)),"")</f>
        <v>127</v>
      </c>
      <c r="AZ2" t="str">
        <f>IFERROR(INDEX(Vacantes!$D:$D,MATCH(AT2,Vacantes!$A:$A,0)),"")</f>
        <v>13 de octubre de 2026</v>
      </c>
      <c r="BA2" t="str">
        <f>IFERROR(INDEX(Vacantes!$E:$E,MATCH(AT2,Vacantes!$A:$A,0)),"")</f>
        <v>7:30 a.m. a 11:30 a.m.</v>
      </c>
    </row>
    <row r="3" spans="1:53" x14ac:dyDescent="0.15">
      <c r="A3" t="s">
        <v>74</v>
      </c>
      <c r="B3" t="s">
        <v>75</v>
      </c>
      <c r="C3" t="s">
        <v>55</v>
      </c>
      <c r="D3">
        <v>1034516871</v>
      </c>
      <c r="E3" t="s">
        <v>76</v>
      </c>
      <c r="F3">
        <v>21</v>
      </c>
      <c r="G3" t="b">
        <v>1</v>
      </c>
      <c r="H3" t="s">
        <v>77</v>
      </c>
      <c r="I3" t="s">
        <v>57</v>
      </c>
      <c r="J3" t="s">
        <v>78</v>
      </c>
      <c r="L3" t="s">
        <v>79</v>
      </c>
      <c r="N3" t="b">
        <v>0</v>
      </c>
      <c r="O3" t="b">
        <v>0</v>
      </c>
      <c r="P3" t="s">
        <v>61</v>
      </c>
      <c r="Q3" t="s">
        <v>60</v>
      </c>
      <c r="R3" t="s">
        <v>80</v>
      </c>
      <c r="W3" t="s">
        <v>81</v>
      </c>
      <c r="Y3" t="s">
        <v>82</v>
      </c>
      <c r="AB3" t="b">
        <v>0</v>
      </c>
      <c r="AC3" t="b">
        <v>0</v>
      </c>
      <c r="AE3" t="b">
        <v>0</v>
      </c>
      <c r="AG3" t="b">
        <v>0</v>
      </c>
      <c r="AI3" t="b">
        <v>0</v>
      </c>
      <c r="AK3" t="s">
        <v>65</v>
      </c>
      <c r="AL3" t="s">
        <v>66</v>
      </c>
      <c r="AM3" s="3">
        <v>46265</v>
      </c>
      <c r="AN3" s="4">
        <v>0.56325231481481486</v>
      </c>
      <c r="AO3" t="s">
        <v>83</v>
      </c>
      <c r="AP3" t="s">
        <v>84</v>
      </c>
      <c r="AQ3" t="s">
        <v>69</v>
      </c>
      <c r="AR3">
        <v>79.7</v>
      </c>
      <c r="AS3" t="s">
        <v>85</v>
      </c>
      <c r="AT3" t="s">
        <v>71</v>
      </c>
      <c r="AU3" t="s">
        <v>72</v>
      </c>
      <c r="AV3" t="s">
        <v>73</v>
      </c>
      <c r="AW3" t="str">
        <f t="shared" si="0"/>
        <v>Economía</v>
      </c>
      <c r="AX3" t="str">
        <f t="shared" si="1"/>
        <v>316 2398383</v>
      </c>
      <c r="AY3" t="str">
        <f>IFERROR(INDEX(Vacantes!$C:$C,MATCH(AT3,Vacantes!$A:$A,0)),"")</f>
        <v>127</v>
      </c>
      <c r="AZ3" t="str">
        <f>IFERROR(INDEX(Vacantes!$D:$D,MATCH(AT3,Vacantes!$A:$A,0)),"")</f>
        <v>13 de octubre de 2026</v>
      </c>
      <c r="BA3" t="str">
        <f>IFERROR(INDEX(Vacantes!$E:$E,MATCH(AT3,Vacantes!$A:$A,0)),"")</f>
        <v>7:30 a.m. a 11:30 a.m.</v>
      </c>
    </row>
    <row r="4" spans="1:53" x14ac:dyDescent="0.15">
      <c r="A4" t="s">
        <v>86</v>
      </c>
      <c r="B4" t="s">
        <v>87</v>
      </c>
      <c r="C4" t="s">
        <v>55</v>
      </c>
      <c r="D4">
        <v>1000364978</v>
      </c>
      <c r="E4" t="s">
        <v>56</v>
      </c>
      <c r="F4">
        <v>25</v>
      </c>
      <c r="G4" t="b">
        <v>1</v>
      </c>
      <c r="H4" t="s">
        <v>88</v>
      </c>
      <c r="I4" t="s">
        <v>57</v>
      </c>
      <c r="J4" t="s">
        <v>78</v>
      </c>
      <c r="L4" t="s">
        <v>79</v>
      </c>
      <c r="N4" t="b">
        <v>0</v>
      </c>
      <c r="O4" t="b">
        <v>0</v>
      </c>
      <c r="P4" t="s">
        <v>61</v>
      </c>
      <c r="Q4" t="s">
        <v>60</v>
      </c>
      <c r="R4" t="s">
        <v>80</v>
      </c>
      <c r="W4" t="s">
        <v>89</v>
      </c>
      <c r="Y4" t="s">
        <v>82</v>
      </c>
      <c r="AB4" t="b">
        <v>0</v>
      </c>
      <c r="AC4" t="b">
        <v>0</v>
      </c>
      <c r="AE4" t="b">
        <v>0</v>
      </c>
      <c r="AG4" t="b">
        <v>0</v>
      </c>
      <c r="AI4" t="b">
        <v>0</v>
      </c>
      <c r="AK4" t="s">
        <v>65</v>
      </c>
      <c r="AL4" t="s">
        <v>66</v>
      </c>
      <c r="AM4" s="3">
        <v>46266</v>
      </c>
      <c r="AN4" s="4">
        <v>0.45931712962962962</v>
      </c>
      <c r="AO4">
        <v>0</v>
      </c>
      <c r="AP4" t="s">
        <v>90</v>
      </c>
      <c r="AQ4" t="s">
        <v>69</v>
      </c>
      <c r="AR4">
        <v>89.6</v>
      </c>
      <c r="AS4" t="s">
        <v>70</v>
      </c>
      <c r="AT4" t="s">
        <v>89</v>
      </c>
      <c r="AU4" t="s">
        <v>72</v>
      </c>
      <c r="AV4" t="s">
        <v>73</v>
      </c>
      <c r="AW4" t="str">
        <f t="shared" si="0"/>
        <v>Economía</v>
      </c>
      <c r="AX4" t="str">
        <f t="shared" si="1"/>
        <v/>
      </c>
      <c r="AY4" t="str">
        <f>IFERROR(INDEX(Vacantes!$C:$C,MATCH(AT4,Vacantes!$A:$A,0)),"")</f>
        <v>127</v>
      </c>
      <c r="AZ4" t="str">
        <f>IFERROR(INDEX(Vacantes!$D:$D,MATCH(AT4,Vacantes!$A:$A,0)),"")</f>
        <v>13 de octubre de 2026</v>
      </c>
      <c r="BA4" t="str">
        <f>IFERROR(INDEX(Vacantes!$E:$E,MATCH(AT4,Vacantes!$A:$A,0)),"")</f>
        <v>1:30 p.m. a 5:30 p.m.</v>
      </c>
    </row>
    <row r="5" spans="1:53" x14ac:dyDescent="0.15">
      <c r="A5" t="s">
        <v>91</v>
      </c>
      <c r="B5" t="s">
        <v>92</v>
      </c>
      <c r="C5" t="s">
        <v>55</v>
      </c>
      <c r="D5">
        <v>1027525480</v>
      </c>
      <c r="E5" t="s">
        <v>56</v>
      </c>
      <c r="F5">
        <v>20</v>
      </c>
      <c r="G5" t="b">
        <v>1</v>
      </c>
      <c r="I5" t="s">
        <v>57</v>
      </c>
      <c r="J5" t="s">
        <v>58</v>
      </c>
      <c r="L5" t="s">
        <v>59</v>
      </c>
      <c r="N5" t="b">
        <v>1</v>
      </c>
      <c r="O5" t="b">
        <v>0</v>
      </c>
      <c r="P5" t="s">
        <v>60</v>
      </c>
      <c r="Q5" t="s">
        <v>61</v>
      </c>
      <c r="R5" t="s">
        <v>62</v>
      </c>
      <c r="U5" t="s">
        <v>93</v>
      </c>
      <c r="W5" t="s">
        <v>64</v>
      </c>
      <c r="AB5" t="b">
        <v>0</v>
      </c>
      <c r="AC5" t="b">
        <v>0</v>
      </c>
      <c r="AE5" t="b">
        <v>0</v>
      </c>
      <c r="AG5" t="b">
        <v>0</v>
      </c>
      <c r="AI5" t="b">
        <v>0</v>
      </c>
      <c r="AK5" t="s">
        <v>94</v>
      </c>
      <c r="AL5" t="s">
        <v>66</v>
      </c>
      <c r="AM5" s="3">
        <v>46255</v>
      </c>
      <c r="AN5" s="4">
        <v>0.45004629629629628</v>
      </c>
      <c r="AO5" t="s">
        <v>95</v>
      </c>
      <c r="AP5" t="s">
        <v>96</v>
      </c>
      <c r="AQ5" t="s">
        <v>69</v>
      </c>
      <c r="AR5">
        <v>90.8</v>
      </c>
      <c r="AS5" t="s">
        <v>85</v>
      </c>
      <c r="AT5" t="s">
        <v>97</v>
      </c>
      <c r="AU5" t="s">
        <v>72</v>
      </c>
      <c r="AV5" t="s">
        <v>73</v>
      </c>
      <c r="AW5" t="str">
        <f t="shared" si="0"/>
        <v>Estadística</v>
      </c>
      <c r="AX5" t="str">
        <f t="shared" si="1"/>
        <v>324 4326262</v>
      </c>
      <c r="AY5" t="str">
        <f>IFERROR(INDEX(Vacantes!$C:$C,MATCH(AT5,Vacantes!$A:$A,0)),"")</f>
        <v>127</v>
      </c>
      <c r="AZ5" t="str">
        <f>IFERROR(INDEX(Vacantes!$D:$D,MATCH(AT5,Vacantes!$A:$A,0)),"")</f>
        <v>13 de octubre de 2026</v>
      </c>
      <c r="BA5" t="str">
        <f>IFERROR(INDEX(Vacantes!$E:$E,MATCH(AT5,Vacantes!$A:$A,0)),"")</f>
        <v>7:30 a.m. a 11:30 a.m.</v>
      </c>
    </row>
    <row r="6" spans="1:53" x14ac:dyDescent="0.15">
      <c r="A6" t="s">
        <v>98</v>
      </c>
      <c r="B6" t="s">
        <v>99</v>
      </c>
      <c r="C6" t="s">
        <v>55</v>
      </c>
      <c r="D6">
        <v>1013259327</v>
      </c>
      <c r="E6" t="s">
        <v>56</v>
      </c>
      <c r="F6">
        <v>21</v>
      </c>
      <c r="G6" t="b">
        <v>1</v>
      </c>
      <c r="I6" t="s">
        <v>57</v>
      </c>
      <c r="J6" t="s">
        <v>100</v>
      </c>
      <c r="L6" t="s">
        <v>80</v>
      </c>
      <c r="N6" t="b">
        <v>0</v>
      </c>
      <c r="O6" t="b">
        <v>0</v>
      </c>
      <c r="P6" t="s">
        <v>60</v>
      </c>
      <c r="Q6" t="s">
        <v>61</v>
      </c>
      <c r="R6" t="s">
        <v>80</v>
      </c>
      <c r="W6" t="s">
        <v>81</v>
      </c>
      <c r="Y6" t="s">
        <v>82</v>
      </c>
      <c r="AB6" t="b">
        <v>0</v>
      </c>
      <c r="AC6" t="b">
        <v>0</v>
      </c>
      <c r="AE6" t="b">
        <v>0</v>
      </c>
      <c r="AG6" t="b">
        <v>0</v>
      </c>
      <c r="AI6" t="b">
        <v>0</v>
      </c>
      <c r="AK6" t="s">
        <v>65</v>
      </c>
      <c r="AL6" t="s">
        <v>66</v>
      </c>
      <c r="AM6" s="3">
        <v>46255</v>
      </c>
      <c r="AN6" s="4">
        <v>0.41468749999999999</v>
      </c>
      <c r="AO6">
        <v>0</v>
      </c>
      <c r="AP6" t="s">
        <v>101</v>
      </c>
      <c r="AQ6" t="s">
        <v>69</v>
      </c>
      <c r="AR6">
        <v>93.3</v>
      </c>
      <c r="AS6" t="s">
        <v>70</v>
      </c>
      <c r="AT6" t="s">
        <v>102</v>
      </c>
      <c r="AU6" t="s">
        <v>72</v>
      </c>
      <c r="AV6" t="s">
        <v>73</v>
      </c>
      <c r="AW6" t="str">
        <f t="shared" si="0"/>
        <v>Finanzas</v>
      </c>
      <c r="AX6" t="str">
        <f t="shared" si="1"/>
        <v/>
      </c>
      <c r="AY6" t="str">
        <f>IFERROR(INDEX(Vacantes!$C:$C,MATCH(AT6,Vacantes!$A:$A,0)),"")</f>
        <v>127</v>
      </c>
      <c r="AZ6" t="str">
        <f>IFERROR(INDEX(Vacantes!$D:$D,MATCH(AT6,Vacantes!$A:$A,0)),"")</f>
        <v>13 de octubre de 2026</v>
      </c>
      <c r="BA6" t="str">
        <f>IFERROR(INDEX(Vacantes!$E:$E,MATCH(AT6,Vacantes!$A:$A,0)),"")</f>
        <v>7:30 a.m. a 11:30 a.m.</v>
      </c>
    </row>
    <row r="7" spans="1:53" x14ac:dyDescent="0.15">
      <c r="A7" t="s">
        <v>103</v>
      </c>
      <c r="B7" t="s">
        <v>104</v>
      </c>
      <c r="C7" t="s">
        <v>55</v>
      </c>
      <c r="D7">
        <v>1032876688</v>
      </c>
      <c r="E7" t="s">
        <v>56</v>
      </c>
      <c r="F7">
        <v>21</v>
      </c>
      <c r="G7" t="b">
        <v>1</v>
      </c>
      <c r="H7" t="s">
        <v>105</v>
      </c>
      <c r="I7" t="s">
        <v>57</v>
      </c>
      <c r="J7" t="s">
        <v>106</v>
      </c>
      <c r="L7" t="s">
        <v>107</v>
      </c>
      <c r="N7" t="b">
        <v>0</v>
      </c>
      <c r="O7" t="b">
        <v>0</v>
      </c>
      <c r="P7" t="s">
        <v>61</v>
      </c>
      <c r="Q7" t="s">
        <v>61</v>
      </c>
      <c r="R7" t="s">
        <v>108</v>
      </c>
      <c r="W7" t="s">
        <v>109</v>
      </c>
      <c r="AA7" t="s">
        <v>110</v>
      </c>
      <c r="AB7" t="b">
        <v>0</v>
      </c>
      <c r="AC7" t="b">
        <v>0</v>
      </c>
      <c r="AE7" t="b">
        <v>0</v>
      </c>
      <c r="AG7" t="b">
        <v>0</v>
      </c>
      <c r="AI7" t="b">
        <v>0</v>
      </c>
      <c r="AK7" t="s">
        <v>94</v>
      </c>
      <c r="AL7" t="s">
        <v>66</v>
      </c>
      <c r="AM7" s="3">
        <v>46258</v>
      </c>
      <c r="AN7" s="4">
        <v>0.39797453703703711</v>
      </c>
      <c r="AO7" t="s">
        <v>111</v>
      </c>
      <c r="AP7" t="s">
        <v>112</v>
      </c>
      <c r="AQ7" t="s">
        <v>69</v>
      </c>
      <c r="AR7">
        <v>84.3</v>
      </c>
      <c r="AS7" t="s">
        <v>85</v>
      </c>
      <c r="AT7" t="s">
        <v>113</v>
      </c>
      <c r="AU7" t="s">
        <v>72</v>
      </c>
      <c r="AV7" t="s">
        <v>73</v>
      </c>
      <c r="AW7" t="str">
        <f t="shared" si="0"/>
        <v>Administración de Empresas</v>
      </c>
      <c r="AX7" t="str">
        <f t="shared" si="1"/>
        <v>318 8147439</v>
      </c>
      <c r="AY7" t="str">
        <f>IFERROR(INDEX(Vacantes!$C:$C,MATCH(AT7,Vacantes!$A:$A,0)),"")</f>
        <v>127</v>
      </c>
      <c r="AZ7" t="str">
        <f>IFERROR(INDEX(Vacantes!$D:$D,MATCH(AT7,Vacantes!$A:$A,0)),"")</f>
        <v>13 de octubre de 2026</v>
      </c>
      <c r="BA7" t="str">
        <f>IFERROR(INDEX(Vacantes!$E:$E,MATCH(AT7,Vacantes!$A:$A,0)),"")</f>
        <v>1:30 p.m. a 5:30 p.m.</v>
      </c>
    </row>
    <row r="8" spans="1:53" x14ac:dyDescent="0.15">
      <c r="A8" t="s">
        <v>114</v>
      </c>
      <c r="B8" t="s">
        <v>115</v>
      </c>
      <c r="C8" t="s">
        <v>55</v>
      </c>
      <c r="D8">
        <v>1066872533</v>
      </c>
      <c r="E8" t="s">
        <v>76</v>
      </c>
      <c r="F8">
        <v>18</v>
      </c>
      <c r="G8" t="b">
        <v>1</v>
      </c>
      <c r="H8" t="s">
        <v>116</v>
      </c>
      <c r="I8" t="s">
        <v>57</v>
      </c>
      <c r="J8" t="s">
        <v>58</v>
      </c>
      <c r="L8" t="s">
        <v>117</v>
      </c>
      <c r="N8" t="b">
        <v>0</v>
      </c>
      <c r="O8" t="b">
        <v>0</v>
      </c>
      <c r="P8" t="s">
        <v>60</v>
      </c>
      <c r="Q8" t="s">
        <v>60</v>
      </c>
      <c r="R8" t="s">
        <v>108</v>
      </c>
      <c r="W8" t="s">
        <v>113</v>
      </c>
      <c r="AB8" t="b">
        <v>0</v>
      </c>
      <c r="AC8" t="b">
        <v>0</v>
      </c>
      <c r="AE8" t="b">
        <v>0</v>
      </c>
      <c r="AG8" t="b">
        <v>0</v>
      </c>
      <c r="AI8" t="b">
        <v>0</v>
      </c>
      <c r="AK8" t="s">
        <v>94</v>
      </c>
      <c r="AL8" t="s">
        <v>66</v>
      </c>
      <c r="AM8" s="3">
        <v>46277</v>
      </c>
      <c r="AN8" s="4">
        <v>0.79758101851851848</v>
      </c>
      <c r="AO8" t="s">
        <v>118</v>
      </c>
      <c r="AP8" t="s">
        <v>119</v>
      </c>
      <c r="AQ8" t="s">
        <v>69</v>
      </c>
      <c r="AR8">
        <v>73.2</v>
      </c>
      <c r="AS8" t="s">
        <v>70</v>
      </c>
      <c r="AT8" t="s">
        <v>113</v>
      </c>
      <c r="AU8" t="s">
        <v>72</v>
      </c>
      <c r="AV8" t="s">
        <v>73</v>
      </c>
      <c r="AW8" t="str">
        <f t="shared" si="0"/>
        <v>Marketing / Mercadeo</v>
      </c>
      <c r="AX8" t="str">
        <f t="shared" si="1"/>
        <v>313 6263013</v>
      </c>
      <c r="AY8" t="str">
        <f>IFERROR(INDEX(Vacantes!$C:$C,MATCH(AT8,Vacantes!$A:$A,0)),"")</f>
        <v>127</v>
      </c>
      <c r="AZ8" t="str">
        <f>IFERROR(INDEX(Vacantes!$D:$D,MATCH(AT8,Vacantes!$A:$A,0)),"")</f>
        <v>13 de octubre de 2026</v>
      </c>
      <c r="BA8" t="str">
        <f>IFERROR(INDEX(Vacantes!$E:$E,MATCH(AT8,Vacantes!$A:$A,0)),"")</f>
        <v>1:30 p.m. a 5:30 p.m.</v>
      </c>
    </row>
    <row r="9" spans="1:53" x14ac:dyDescent="0.15">
      <c r="A9" t="s">
        <v>129</v>
      </c>
      <c r="B9" t="s">
        <v>130</v>
      </c>
      <c r="C9" t="s">
        <v>55</v>
      </c>
      <c r="D9">
        <v>1023372339</v>
      </c>
      <c r="E9" t="s">
        <v>76</v>
      </c>
      <c r="F9">
        <v>20</v>
      </c>
      <c r="G9" t="b">
        <v>1</v>
      </c>
      <c r="H9" t="s">
        <v>131</v>
      </c>
      <c r="I9" t="s">
        <v>57</v>
      </c>
      <c r="J9" t="s">
        <v>132</v>
      </c>
      <c r="K9" t="s">
        <v>133</v>
      </c>
      <c r="L9" t="s">
        <v>134</v>
      </c>
      <c r="N9" t="b">
        <v>0</v>
      </c>
      <c r="O9" t="b">
        <v>0</v>
      </c>
      <c r="P9" t="s">
        <v>60</v>
      </c>
      <c r="Q9" t="s">
        <v>60</v>
      </c>
      <c r="R9" t="s">
        <v>135</v>
      </c>
      <c r="W9" t="s">
        <v>108</v>
      </c>
      <c r="AB9" t="b">
        <v>0</v>
      </c>
      <c r="AC9" t="b">
        <v>0</v>
      </c>
      <c r="AE9" t="b">
        <v>0</v>
      </c>
      <c r="AG9" t="b">
        <v>0</v>
      </c>
      <c r="AI9" t="b">
        <v>0</v>
      </c>
      <c r="AK9" t="s">
        <v>65</v>
      </c>
      <c r="AL9" t="s">
        <v>66</v>
      </c>
      <c r="AM9" s="3">
        <v>46277</v>
      </c>
      <c r="AN9" s="4">
        <v>0.97130787037037036</v>
      </c>
      <c r="AO9">
        <v>3106091858</v>
      </c>
      <c r="AP9" t="s">
        <v>136</v>
      </c>
      <c r="AQ9" t="s">
        <v>69</v>
      </c>
      <c r="AR9">
        <v>75.2</v>
      </c>
      <c r="AS9" t="s">
        <v>70</v>
      </c>
      <c r="AT9" t="s">
        <v>137</v>
      </c>
      <c r="AU9" t="s">
        <v>72</v>
      </c>
      <c r="AV9" t="s">
        <v>73</v>
      </c>
      <c r="AW9" t="str">
        <f t="shared" si="0"/>
        <v>Negocios Internacionales</v>
      </c>
      <c r="AX9" t="str">
        <f t="shared" si="1"/>
        <v>3106091858</v>
      </c>
      <c r="AY9" t="str">
        <f>IFERROR(INDEX(Vacantes!$C:$C,MATCH(AT9,Vacantes!$A:$A,0)),"")</f>
        <v>127</v>
      </c>
      <c r="AZ9" t="str">
        <f>IFERROR(INDEX(Vacantes!$D:$D,MATCH(AT9,Vacantes!$A:$A,0)),"")</f>
        <v>13 de octubre de 2026</v>
      </c>
      <c r="BA9" t="str">
        <f>IFERROR(INDEX(Vacantes!$E:$E,MATCH(AT9,Vacantes!$A:$A,0)),"")</f>
        <v>7:30 a.m. a 11:30 a.m.</v>
      </c>
    </row>
    <row r="10" spans="1:53" x14ac:dyDescent="0.15">
      <c r="A10" t="s">
        <v>148</v>
      </c>
      <c r="B10" t="s">
        <v>149</v>
      </c>
      <c r="C10" t="s">
        <v>55</v>
      </c>
      <c r="D10">
        <v>1018432023</v>
      </c>
      <c r="E10" t="s">
        <v>76</v>
      </c>
      <c r="F10">
        <v>18</v>
      </c>
      <c r="G10" t="b">
        <v>1</v>
      </c>
      <c r="H10" t="s">
        <v>88</v>
      </c>
      <c r="I10" t="s">
        <v>57</v>
      </c>
      <c r="J10" t="s">
        <v>150</v>
      </c>
      <c r="L10" t="s">
        <v>107</v>
      </c>
      <c r="N10" t="b">
        <v>0</v>
      </c>
      <c r="O10" t="b">
        <v>0</v>
      </c>
      <c r="P10" t="s">
        <v>61</v>
      </c>
      <c r="Q10" t="s">
        <v>61</v>
      </c>
      <c r="R10" t="s">
        <v>64</v>
      </c>
      <c r="U10" t="s">
        <v>151</v>
      </c>
      <c r="W10" t="s">
        <v>64</v>
      </c>
      <c r="Z10" t="s">
        <v>152</v>
      </c>
      <c r="AB10" t="b">
        <v>0</v>
      </c>
      <c r="AC10" t="b">
        <v>0</v>
      </c>
      <c r="AE10" t="b">
        <v>0</v>
      </c>
      <c r="AG10" t="b">
        <v>0</v>
      </c>
      <c r="AI10" t="b">
        <v>0</v>
      </c>
      <c r="AK10" t="s">
        <v>153</v>
      </c>
      <c r="AL10" t="s">
        <v>66</v>
      </c>
      <c r="AM10" s="3">
        <v>46268</v>
      </c>
      <c r="AN10" s="4">
        <v>0.52506944444444448</v>
      </c>
      <c r="AO10" t="s">
        <v>154</v>
      </c>
      <c r="AP10" t="s">
        <v>155</v>
      </c>
      <c r="AQ10" t="s">
        <v>69</v>
      </c>
      <c r="AR10">
        <v>82.2</v>
      </c>
      <c r="AS10" t="s">
        <v>70</v>
      </c>
      <c r="AT10" t="s">
        <v>156</v>
      </c>
      <c r="AU10" t="s">
        <v>72</v>
      </c>
      <c r="AV10" t="s">
        <v>73</v>
      </c>
      <c r="AW10" t="str">
        <f t="shared" si="0"/>
        <v>Administración de Empresas</v>
      </c>
      <c r="AX10" t="str">
        <f t="shared" si="1"/>
        <v>305 3700517</v>
      </c>
      <c r="AY10" t="str">
        <f>IFERROR(INDEX(Vacantes!$C:$C,MATCH(AT10,Vacantes!$A:$A,0)),"")</f>
        <v>127</v>
      </c>
      <c r="AZ10" t="str">
        <f>IFERROR(INDEX(Vacantes!$D:$D,MATCH(AT10,Vacantes!$A:$A,0)),"")</f>
        <v>13 de octubre de 2026</v>
      </c>
      <c r="BA10" t="str">
        <f>IFERROR(INDEX(Vacantes!$E:$E,MATCH(AT10,Vacantes!$A:$A,0)),"")</f>
        <v>1:30 p.m. a 5:30 p.m.</v>
      </c>
    </row>
    <row r="11" spans="1:53" x14ac:dyDescent="0.15">
      <c r="A11" t="s">
        <v>179</v>
      </c>
      <c r="B11" t="s">
        <v>180</v>
      </c>
      <c r="C11" t="s">
        <v>55</v>
      </c>
      <c r="D11">
        <v>1014858199</v>
      </c>
      <c r="E11" t="s">
        <v>56</v>
      </c>
      <c r="F11">
        <v>21</v>
      </c>
      <c r="G11" t="b">
        <v>1</v>
      </c>
      <c r="H11" t="s">
        <v>131</v>
      </c>
      <c r="I11" t="s">
        <v>57</v>
      </c>
      <c r="J11" t="s">
        <v>78</v>
      </c>
      <c r="L11" t="s">
        <v>79</v>
      </c>
      <c r="N11" t="b">
        <v>0</v>
      </c>
      <c r="O11" t="b">
        <v>0</v>
      </c>
      <c r="P11" t="s">
        <v>61</v>
      </c>
      <c r="Q11" t="s">
        <v>60</v>
      </c>
      <c r="R11" t="s">
        <v>62</v>
      </c>
      <c r="T11" t="s">
        <v>82</v>
      </c>
      <c r="W11" t="s">
        <v>80</v>
      </c>
      <c r="AB11" t="b">
        <v>0</v>
      </c>
      <c r="AC11" t="b">
        <v>0</v>
      </c>
      <c r="AE11" t="b">
        <v>0</v>
      </c>
      <c r="AG11" t="b">
        <v>0</v>
      </c>
      <c r="AI11" t="b">
        <v>0</v>
      </c>
      <c r="AK11" t="s">
        <v>65</v>
      </c>
      <c r="AL11" t="s">
        <v>66</v>
      </c>
      <c r="AM11" s="3">
        <v>46265</v>
      </c>
      <c r="AN11" s="4">
        <v>0.56325231481481486</v>
      </c>
      <c r="AO11" t="s">
        <v>181</v>
      </c>
      <c r="AP11" t="s">
        <v>182</v>
      </c>
      <c r="AQ11" t="s">
        <v>69</v>
      </c>
      <c r="AR11">
        <v>88.9</v>
      </c>
      <c r="AS11" t="s">
        <v>70</v>
      </c>
      <c r="AT11" t="s">
        <v>183</v>
      </c>
      <c r="AU11" t="s">
        <v>72</v>
      </c>
      <c r="AV11" t="s">
        <v>184</v>
      </c>
      <c r="AW11" t="str">
        <f t="shared" si="0"/>
        <v>Economía</v>
      </c>
      <c r="AX11" t="str">
        <f t="shared" si="1"/>
        <v>310 8888133</v>
      </c>
      <c r="AY11" t="str">
        <f>IFERROR(INDEX(Vacantes!$C:$C,MATCH(AT11,Vacantes!$A:$A,0)),"")</f>
        <v>127</v>
      </c>
      <c r="AZ11" t="str">
        <f>IFERROR(INDEX(Vacantes!$D:$D,MATCH(AT11,Vacantes!$A:$A,0)),"")</f>
        <v>13 de octubre de 2026</v>
      </c>
      <c r="BA11" t="str">
        <f>IFERROR(INDEX(Vacantes!$E:$E,MATCH(AT11,Vacantes!$A:$A,0)),"")</f>
        <v>7:30 a.m. a 11:30 a.m.</v>
      </c>
    </row>
    <row r="12" spans="1:53" x14ac:dyDescent="0.15">
      <c r="A12" t="s">
        <v>185</v>
      </c>
      <c r="B12" t="s">
        <v>186</v>
      </c>
      <c r="C12" t="s">
        <v>55</v>
      </c>
      <c r="D12">
        <v>1000612606</v>
      </c>
      <c r="E12" t="s">
        <v>76</v>
      </c>
      <c r="F12">
        <v>23</v>
      </c>
      <c r="G12" t="b">
        <v>1</v>
      </c>
      <c r="I12" t="s">
        <v>57</v>
      </c>
      <c r="J12" t="s">
        <v>187</v>
      </c>
      <c r="L12" t="s">
        <v>117</v>
      </c>
      <c r="N12" t="b">
        <v>1</v>
      </c>
      <c r="O12" t="b">
        <v>0</v>
      </c>
      <c r="P12" t="s">
        <v>61</v>
      </c>
      <c r="Q12" t="s">
        <v>60</v>
      </c>
      <c r="R12" t="s">
        <v>108</v>
      </c>
      <c r="W12" t="s">
        <v>109</v>
      </c>
      <c r="AA12" t="s">
        <v>188</v>
      </c>
      <c r="AB12" t="b">
        <v>0</v>
      </c>
      <c r="AC12" t="b">
        <v>0</v>
      </c>
      <c r="AE12" t="b">
        <v>0</v>
      </c>
      <c r="AG12" t="b">
        <v>0</v>
      </c>
      <c r="AI12" t="b">
        <v>0</v>
      </c>
      <c r="AK12" t="s">
        <v>65</v>
      </c>
      <c r="AL12" t="s">
        <v>66</v>
      </c>
      <c r="AM12" s="3">
        <v>46257</v>
      </c>
      <c r="AN12" s="4">
        <v>0.77711805555555558</v>
      </c>
      <c r="AO12" t="s">
        <v>189</v>
      </c>
      <c r="AP12" t="s">
        <v>190</v>
      </c>
      <c r="AQ12" t="s">
        <v>69</v>
      </c>
      <c r="AR12">
        <v>93.6</v>
      </c>
      <c r="AS12" t="s">
        <v>70</v>
      </c>
      <c r="AT12" t="s">
        <v>191</v>
      </c>
      <c r="AU12" t="s">
        <v>72</v>
      </c>
      <c r="AV12" t="s">
        <v>73</v>
      </c>
      <c r="AW12" t="str">
        <f t="shared" si="0"/>
        <v>Marketing / Mercadeo</v>
      </c>
      <c r="AX12" t="str">
        <f t="shared" si="1"/>
        <v>316 2325718</v>
      </c>
      <c r="AY12" t="str">
        <f>IFERROR(INDEX(Vacantes!$C:$C,MATCH(AT12,Vacantes!$A:$A,0)),"")</f>
        <v>127</v>
      </c>
      <c r="AZ12" t="str">
        <f>IFERROR(INDEX(Vacantes!$D:$D,MATCH(AT12,Vacantes!$A:$A,0)),"")</f>
        <v>13 de octubre de 2026</v>
      </c>
      <c r="BA12" t="str">
        <f>IFERROR(INDEX(Vacantes!$E:$E,MATCH(AT12,Vacantes!$A:$A,0)),"")</f>
        <v>1:30 p.m. a 5:30 p.m.</v>
      </c>
    </row>
    <row r="13" spans="1:53" x14ac:dyDescent="0.15">
      <c r="A13" t="s">
        <v>192</v>
      </c>
      <c r="B13" t="s">
        <v>193</v>
      </c>
      <c r="C13" t="s">
        <v>55</v>
      </c>
      <c r="D13">
        <v>1070589753</v>
      </c>
      <c r="E13" t="s">
        <v>56</v>
      </c>
      <c r="F13">
        <v>21</v>
      </c>
      <c r="G13" t="b">
        <v>1</v>
      </c>
      <c r="H13" t="s">
        <v>194</v>
      </c>
      <c r="I13" t="s">
        <v>57</v>
      </c>
      <c r="J13" t="s">
        <v>132</v>
      </c>
      <c r="K13" t="s">
        <v>195</v>
      </c>
      <c r="L13" t="s">
        <v>132</v>
      </c>
      <c r="M13" t="s">
        <v>196</v>
      </c>
      <c r="N13" t="b">
        <v>1</v>
      </c>
      <c r="O13" t="b">
        <v>0</v>
      </c>
      <c r="P13" t="s">
        <v>60</v>
      </c>
      <c r="Q13" t="s">
        <v>60</v>
      </c>
      <c r="R13" t="s">
        <v>135</v>
      </c>
      <c r="W13" t="s">
        <v>81</v>
      </c>
      <c r="AB13" t="b">
        <v>0</v>
      </c>
      <c r="AC13" t="b">
        <v>0</v>
      </c>
      <c r="AE13" t="b">
        <v>0</v>
      </c>
      <c r="AG13" t="b">
        <v>0</v>
      </c>
      <c r="AI13" t="b">
        <v>0</v>
      </c>
      <c r="AK13" t="s">
        <v>65</v>
      </c>
      <c r="AL13" t="s">
        <v>66</v>
      </c>
      <c r="AM13" s="3">
        <v>46261</v>
      </c>
      <c r="AN13" s="4">
        <v>0.61964120370370368</v>
      </c>
      <c r="AO13" t="s">
        <v>197</v>
      </c>
      <c r="AP13" t="s">
        <v>198</v>
      </c>
      <c r="AQ13" t="s">
        <v>69</v>
      </c>
      <c r="AR13">
        <v>88.6</v>
      </c>
      <c r="AS13" t="s">
        <v>70</v>
      </c>
      <c r="AT13" t="s">
        <v>102</v>
      </c>
      <c r="AU13" t="s">
        <v>72</v>
      </c>
      <c r="AV13" t="s">
        <v>73</v>
      </c>
      <c r="AW13" t="str">
        <f t="shared" si="0"/>
        <v>Administración de Negocios Internacionales</v>
      </c>
      <c r="AX13" t="str">
        <f t="shared" si="1"/>
        <v>305 4120170</v>
      </c>
      <c r="AY13" t="str">
        <f>IFERROR(INDEX(Vacantes!$C:$C,MATCH(AT13,Vacantes!$A:$A,0)),"")</f>
        <v>127</v>
      </c>
      <c r="AZ13" t="str">
        <f>IFERROR(INDEX(Vacantes!$D:$D,MATCH(AT13,Vacantes!$A:$A,0)),"")</f>
        <v>13 de octubre de 2026</v>
      </c>
      <c r="BA13" t="str">
        <f>IFERROR(INDEX(Vacantes!$E:$E,MATCH(AT13,Vacantes!$A:$A,0)),"")</f>
        <v>7:30 a.m. a 11:30 a.m.</v>
      </c>
    </row>
    <row r="14" spans="1:53" x14ac:dyDescent="0.15">
      <c r="A14" t="s">
        <v>217</v>
      </c>
      <c r="B14" t="s">
        <v>218</v>
      </c>
      <c r="C14" t="s">
        <v>55</v>
      </c>
      <c r="D14">
        <v>1014859662</v>
      </c>
      <c r="E14" t="s">
        <v>56</v>
      </c>
      <c r="F14">
        <v>20</v>
      </c>
      <c r="G14" t="b">
        <v>1</v>
      </c>
      <c r="H14" t="s">
        <v>88</v>
      </c>
      <c r="I14" t="s">
        <v>57</v>
      </c>
      <c r="J14" t="s">
        <v>150</v>
      </c>
      <c r="L14" t="s">
        <v>80</v>
      </c>
      <c r="N14" t="b">
        <v>0</v>
      </c>
      <c r="O14" t="b">
        <v>0</v>
      </c>
      <c r="P14" t="s">
        <v>61</v>
      </c>
      <c r="Q14" t="s">
        <v>61</v>
      </c>
      <c r="R14" t="s">
        <v>80</v>
      </c>
      <c r="U14" t="s">
        <v>63</v>
      </c>
      <c r="W14" t="s">
        <v>64</v>
      </c>
      <c r="Y14" t="s">
        <v>82</v>
      </c>
      <c r="AB14" t="b">
        <v>0</v>
      </c>
      <c r="AC14" t="b">
        <v>0</v>
      </c>
      <c r="AE14" t="b">
        <v>0</v>
      </c>
      <c r="AG14" t="b">
        <v>0</v>
      </c>
      <c r="AI14" t="b">
        <v>0</v>
      </c>
      <c r="AK14" t="s">
        <v>153</v>
      </c>
      <c r="AL14" t="s">
        <v>66</v>
      </c>
      <c r="AM14" s="3">
        <v>46258</v>
      </c>
      <c r="AN14" s="4">
        <v>0.76322916666666663</v>
      </c>
      <c r="AO14" t="s">
        <v>219</v>
      </c>
      <c r="AP14" t="s">
        <v>220</v>
      </c>
      <c r="AQ14" t="s">
        <v>69</v>
      </c>
      <c r="AR14">
        <v>89.9</v>
      </c>
      <c r="AS14" t="s">
        <v>70</v>
      </c>
      <c r="AT14" t="s">
        <v>71</v>
      </c>
      <c r="AU14" t="s">
        <v>221</v>
      </c>
      <c r="AV14" t="s">
        <v>73</v>
      </c>
      <c r="AW14" t="str">
        <f t="shared" si="0"/>
        <v>Finanzas</v>
      </c>
      <c r="AX14" t="str">
        <f t="shared" si="1"/>
        <v>321 8574669</v>
      </c>
      <c r="AY14" t="str">
        <f>IFERROR(INDEX(Vacantes!$C:$C,MATCH(AT14,Vacantes!$A:$A,0)),"")</f>
        <v>127</v>
      </c>
      <c r="AZ14" t="str">
        <f>IFERROR(INDEX(Vacantes!$D:$D,MATCH(AT14,Vacantes!$A:$A,0)),"")</f>
        <v>13 de octubre de 2026</v>
      </c>
      <c r="BA14" t="str">
        <f>IFERROR(INDEX(Vacantes!$E:$E,MATCH(AT14,Vacantes!$A:$A,0)),"")</f>
        <v>7:30 a.m. a 11:30 a.m.</v>
      </c>
    </row>
    <row r="15" spans="1:53" x14ac:dyDescent="0.15">
      <c r="A15" t="s">
        <v>222</v>
      </c>
      <c r="B15" t="s">
        <v>223</v>
      </c>
      <c r="C15" t="s">
        <v>55</v>
      </c>
      <c r="D15">
        <v>1022939244</v>
      </c>
      <c r="E15" t="s">
        <v>56</v>
      </c>
      <c r="F15">
        <v>20</v>
      </c>
      <c r="G15" t="b">
        <v>1</v>
      </c>
      <c r="H15" t="s">
        <v>57</v>
      </c>
      <c r="I15" t="s">
        <v>57</v>
      </c>
      <c r="J15" t="s">
        <v>150</v>
      </c>
      <c r="L15" t="s">
        <v>80</v>
      </c>
      <c r="N15" t="b">
        <v>1</v>
      </c>
      <c r="O15" t="b">
        <v>0</v>
      </c>
      <c r="P15" t="s">
        <v>60</v>
      </c>
      <c r="Q15" t="s">
        <v>60</v>
      </c>
      <c r="R15" t="s">
        <v>80</v>
      </c>
      <c r="U15" t="s">
        <v>63</v>
      </c>
      <c r="W15" t="s">
        <v>64</v>
      </c>
      <c r="Y15" t="s">
        <v>82</v>
      </c>
      <c r="AB15" t="b">
        <v>0</v>
      </c>
      <c r="AC15" t="b">
        <v>0</v>
      </c>
      <c r="AE15" t="b">
        <v>0</v>
      </c>
      <c r="AG15" t="b">
        <v>0</v>
      </c>
      <c r="AI15" t="b">
        <v>0</v>
      </c>
      <c r="AK15" t="s">
        <v>202</v>
      </c>
      <c r="AL15" t="s">
        <v>66</v>
      </c>
      <c r="AM15" s="3">
        <v>46267</v>
      </c>
      <c r="AN15" s="4">
        <v>0.26954861111111111</v>
      </c>
      <c r="AO15" t="s">
        <v>224</v>
      </c>
      <c r="AP15" t="s">
        <v>225</v>
      </c>
      <c r="AQ15" t="s">
        <v>69</v>
      </c>
      <c r="AR15">
        <v>86.4</v>
      </c>
      <c r="AS15" t="s">
        <v>70</v>
      </c>
      <c r="AT15" t="s">
        <v>71</v>
      </c>
      <c r="AU15" t="s">
        <v>221</v>
      </c>
      <c r="AV15" t="s">
        <v>73</v>
      </c>
      <c r="AW15" t="str">
        <f t="shared" si="0"/>
        <v>Finanzas</v>
      </c>
      <c r="AX15" t="str">
        <f t="shared" si="1"/>
        <v>319 5528847</v>
      </c>
      <c r="AY15" t="str">
        <f>IFERROR(INDEX(Vacantes!$C:$C,MATCH(AT15,Vacantes!$A:$A,0)),"")</f>
        <v>127</v>
      </c>
      <c r="AZ15" t="str">
        <f>IFERROR(INDEX(Vacantes!$D:$D,MATCH(AT15,Vacantes!$A:$A,0)),"")</f>
        <v>13 de octubre de 2026</v>
      </c>
      <c r="BA15" t="str">
        <f>IFERROR(INDEX(Vacantes!$E:$E,MATCH(AT15,Vacantes!$A:$A,0)),"")</f>
        <v>7:30 a.m. a 11:30 a.m.</v>
      </c>
    </row>
    <row r="16" spans="1:53" x14ac:dyDescent="0.15">
      <c r="A16" t="s">
        <v>226</v>
      </c>
      <c r="B16" t="s">
        <v>227</v>
      </c>
      <c r="C16" t="s">
        <v>55</v>
      </c>
      <c r="D16">
        <v>1027210314</v>
      </c>
      <c r="E16" t="s">
        <v>56</v>
      </c>
      <c r="F16">
        <v>21</v>
      </c>
      <c r="G16" t="b">
        <v>1</v>
      </c>
      <c r="H16" t="s">
        <v>57</v>
      </c>
      <c r="I16" t="s">
        <v>57</v>
      </c>
      <c r="J16" t="s">
        <v>187</v>
      </c>
      <c r="L16" t="s">
        <v>228</v>
      </c>
      <c r="N16" t="b">
        <v>0</v>
      </c>
      <c r="O16" t="b">
        <v>0</v>
      </c>
      <c r="P16" t="s">
        <v>61</v>
      </c>
      <c r="Q16" t="s">
        <v>61</v>
      </c>
      <c r="R16" t="s">
        <v>80</v>
      </c>
      <c r="W16" t="s">
        <v>81</v>
      </c>
      <c r="Y16" t="s">
        <v>82</v>
      </c>
      <c r="AB16" t="b">
        <v>0</v>
      </c>
      <c r="AC16" t="b">
        <v>0</v>
      </c>
      <c r="AE16" t="b">
        <v>0</v>
      </c>
      <c r="AG16" t="b">
        <v>0</v>
      </c>
      <c r="AI16" t="b">
        <v>0</v>
      </c>
      <c r="AK16" t="s">
        <v>153</v>
      </c>
      <c r="AL16" t="s">
        <v>66</v>
      </c>
      <c r="AM16" s="3">
        <v>46278</v>
      </c>
      <c r="AN16" s="4">
        <v>0.67866898148148147</v>
      </c>
      <c r="AO16" t="s">
        <v>229</v>
      </c>
      <c r="AP16" t="s">
        <v>230</v>
      </c>
      <c r="AQ16" t="s">
        <v>69</v>
      </c>
      <c r="AR16">
        <v>74.5</v>
      </c>
      <c r="AS16" t="s">
        <v>70</v>
      </c>
      <c r="AT16" t="s">
        <v>71</v>
      </c>
      <c r="AU16" t="s">
        <v>221</v>
      </c>
      <c r="AV16" t="s">
        <v>73</v>
      </c>
      <c r="AW16" t="str">
        <f t="shared" si="0"/>
        <v>Analítica de Datos</v>
      </c>
      <c r="AX16" t="str">
        <f t="shared" si="1"/>
        <v>315 6652203</v>
      </c>
      <c r="AY16" t="str">
        <f>IFERROR(INDEX(Vacantes!$C:$C,MATCH(AT16,Vacantes!$A:$A,0)),"")</f>
        <v>127</v>
      </c>
      <c r="AZ16" t="str">
        <f>IFERROR(INDEX(Vacantes!$D:$D,MATCH(AT16,Vacantes!$A:$A,0)),"")</f>
        <v>13 de octubre de 2026</v>
      </c>
      <c r="BA16" t="str">
        <f>IFERROR(INDEX(Vacantes!$E:$E,MATCH(AT16,Vacantes!$A:$A,0)),"")</f>
        <v>7:30 a.m. a 11:30 a.m.</v>
      </c>
    </row>
    <row r="17" spans="1:53" x14ac:dyDescent="0.15">
      <c r="A17" t="s">
        <v>231</v>
      </c>
      <c r="B17" t="s">
        <v>232</v>
      </c>
      <c r="C17" t="s">
        <v>55</v>
      </c>
      <c r="D17">
        <v>1013102674</v>
      </c>
      <c r="E17" t="s">
        <v>76</v>
      </c>
      <c r="F17">
        <v>21</v>
      </c>
      <c r="G17" t="b">
        <v>1</v>
      </c>
      <c r="H17" t="s">
        <v>233</v>
      </c>
      <c r="I17" t="s">
        <v>57</v>
      </c>
      <c r="J17" t="s">
        <v>234</v>
      </c>
      <c r="L17" t="s">
        <v>79</v>
      </c>
      <c r="N17" t="b">
        <v>0</v>
      </c>
      <c r="O17" t="b">
        <v>0</v>
      </c>
      <c r="P17" t="s">
        <v>61</v>
      </c>
      <c r="Q17" t="s">
        <v>61</v>
      </c>
      <c r="R17" t="s">
        <v>80</v>
      </c>
      <c r="T17" t="s">
        <v>82</v>
      </c>
      <c r="W17" t="s">
        <v>80</v>
      </c>
      <c r="Y17" t="s">
        <v>82</v>
      </c>
      <c r="AB17" t="b">
        <v>0</v>
      </c>
      <c r="AC17" t="b">
        <v>0</v>
      </c>
      <c r="AE17" t="b">
        <v>0</v>
      </c>
      <c r="AG17" t="b">
        <v>0</v>
      </c>
      <c r="AI17" t="b">
        <v>0</v>
      </c>
      <c r="AK17" t="s">
        <v>202</v>
      </c>
      <c r="AL17" t="s">
        <v>66</v>
      </c>
      <c r="AM17" s="3">
        <v>46258</v>
      </c>
      <c r="AN17" s="4">
        <v>0.91048611111111111</v>
      </c>
      <c r="AO17">
        <v>3026715667</v>
      </c>
      <c r="AP17" t="s">
        <v>235</v>
      </c>
      <c r="AQ17" t="s">
        <v>69</v>
      </c>
      <c r="AR17">
        <v>83.7</v>
      </c>
      <c r="AS17" t="s">
        <v>70</v>
      </c>
      <c r="AT17" t="s">
        <v>71</v>
      </c>
      <c r="AU17" t="s">
        <v>221</v>
      </c>
      <c r="AV17" t="s">
        <v>73</v>
      </c>
      <c r="AW17" t="str">
        <f t="shared" si="0"/>
        <v>Economía</v>
      </c>
      <c r="AX17" t="str">
        <f t="shared" si="1"/>
        <v>3026715667</v>
      </c>
      <c r="AY17" t="str">
        <f>IFERROR(INDEX(Vacantes!$C:$C,MATCH(AT17,Vacantes!$A:$A,0)),"")</f>
        <v>127</v>
      </c>
      <c r="AZ17" t="str">
        <f>IFERROR(INDEX(Vacantes!$D:$D,MATCH(AT17,Vacantes!$A:$A,0)),"")</f>
        <v>13 de octubre de 2026</v>
      </c>
      <c r="BA17" t="str">
        <f>IFERROR(INDEX(Vacantes!$E:$E,MATCH(AT17,Vacantes!$A:$A,0)),"")</f>
        <v>7:30 a.m. a 11:30 a.m.</v>
      </c>
    </row>
    <row r="18" spans="1:53" x14ac:dyDescent="0.15">
      <c r="A18" t="s">
        <v>236</v>
      </c>
      <c r="B18" t="s">
        <v>237</v>
      </c>
      <c r="C18" t="s">
        <v>55</v>
      </c>
      <c r="D18">
        <v>1000163318</v>
      </c>
      <c r="E18" t="s">
        <v>56</v>
      </c>
      <c r="F18">
        <v>25</v>
      </c>
      <c r="G18" t="b">
        <v>1</v>
      </c>
      <c r="H18" t="s">
        <v>88</v>
      </c>
      <c r="I18" t="s">
        <v>57</v>
      </c>
      <c r="J18" t="s">
        <v>132</v>
      </c>
      <c r="K18" t="s">
        <v>238</v>
      </c>
      <c r="L18" t="s">
        <v>79</v>
      </c>
      <c r="N18" t="b">
        <v>0</v>
      </c>
      <c r="O18" t="b">
        <v>0</v>
      </c>
      <c r="P18" t="s">
        <v>60</v>
      </c>
      <c r="Q18" t="s">
        <v>61</v>
      </c>
      <c r="R18" t="s">
        <v>80</v>
      </c>
      <c r="T18" t="s">
        <v>82</v>
      </c>
      <c r="W18" t="s">
        <v>80</v>
      </c>
      <c r="Y18" t="s">
        <v>82</v>
      </c>
      <c r="AB18" t="b">
        <v>0</v>
      </c>
      <c r="AC18" t="b">
        <v>0</v>
      </c>
      <c r="AE18" t="b">
        <v>0</v>
      </c>
      <c r="AG18" t="b">
        <v>0</v>
      </c>
      <c r="AI18" t="b">
        <v>0</v>
      </c>
      <c r="AK18" t="s">
        <v>153</v>
      </c>
      <c r="AL18" t="s">
        <v>66</v>
      </c>
      <c r="AM18" s="3">
        <v>46269</v>
      </c>
      <c r="AN18" s="4">
        <v>0.24945601851851851</v>
      </c>
      <c r="AO18">
        <v>3143611237</v>
      </c>
      <c r="AP18" t="s">
        <v>239</v>
      </c>
      <c r="AQ18" t="s">
        <v>69</v>
      </c>
      <c r="AR18">
        <v>82.1</v>
      </c>
      <c r="AS18" t="s">
        <v>70</v>
      </c>
      <c r="AT18" t="s">
        <v>71</v>
      </c>
      <c r="AU18" t="s">
        <v>221</v>
      </c>
      <c r="AV18" t="s">
        <v>73</v>
      </c>
      <c r="AW18" t="str">
        <f t="shared" si="0"/>
        <v>Economía</v>
      </c>
      <c r="AX18" t="str">
        <f t="shared" si="1"/>
        <v>3143611237</v>
      </c>
      <c r="AY18" t="str">
        <f>IFERROR(INDEX(Vacantes!$C:$C,MATCH(AT18,Vacantes!$A:$A,0)),"")</f>
        <v>127</v>
      </c>
      <c r="AZ18" t="str">
        <f>IFERROR(INDEX(Vacantes!$D:$D,MATCH(AT18,Vacantes!$A:$A,0)),"")</f>
        <v>13 de octubre de 2026</v>
      </c>
      <c r="BA18" t="str">
        <f>IFERROR(INDEX(Vacantes!$E:$E,MATCH(AT18,Vacantes!$A:$A,0)),"")</f>
        <v>7:30 a.m. a 11:30 a.m.</v>
      </c>
    </row>
    <row r="19" spans="1:53" x14ac:dyDescent="0.15">
      <c r="A19" t="s">
        <v>240</v>
      </c>
      <c r="B19" t="s">
        <v>241</v>
      </c>
      <c r="C19" t="s">
        <v>55</v>
      </c>
      <c r="D19">
        <v>1031644605</v>
      </c>
      <c r="E19" t="s">
        <v>76</v>
      </c>
      <c r="F19">
        <v>21</v>
      </c>
      <c r="G19" t="b">
        <v>1</v>
      </c>
      <c r="H19" t="s">
        <v>88</v>
      </c>
      <c r="I19" t="s">
        <v>57</v>
      </c>
      <c r="J19" t="s">
        <v>242</v>
      </c>
      <c r="L19" t="s">
        <v>243</v>
      </c>
      <c r="N19" t="b">
        <v>0</v>
      </c>
      <c r="O19" t="b">
        <v>0</v>
      </c>
      <c r="P19" t="s">
        <v>61</v>
      </c>
      <c r="Q19" t="s">
        <v>144</v>
      </c>
      <c r="R19" t="s">
        <v>244</v>
      </c>
      <c r="W19" t="s">
        <v>62</v>
      </c>
      <c r="AB19" t="b">
        <v>0</v>
      </c>
      <c r="AC19" t="b">
        <v>0</v>
      </c>
      <c r="AE19" t="b">
        <v>0</v>
      </c>
      <c r="AG19" t="b">
        <v>0</v>
      </c>
      <c r="AI19" t="b">
        <v>0</v>
      </c>
      <c r="AK19" t="s">
        <v>202</v>
      </c>
      <c r="AL19" t="s">
        <v>66</v>
      </c>
      <c r="AM19" s="3">
        <v>46266</v>
      </c>
      <c r="AN19" s="4">
        <v>0.68083333333333329</v>
      </c>
      <c r="AO19">
        <v>3197010253</v>
      </c>
      <c r="AP19" t="s">
        <v>245</v>
      </c>
      <c r="AQ19" t="s">
        <v>69</v>
      </c>
      <c r="AR19">
        <v>95.5</v>
      </c>
      <c r="AS19" t="s">
        <v>85</v>
      </c>
      <c r="AT19" t="s">
        <v>89</v>
      </c>
      <c r="AU19" t="s">
        <v>221</v>
      </c>
      <c r="AV19" t="s">
        <v>73</v>
      </c>
      <c r="AW19" t="str">
        <f t="shared" si="0"/>
        <v>Derecho</v>
      </c>
      <c r="AX19" t="str">
        <f t="shared" si="1"/>
        <v>3197010253</v>
      </c>
      <c r="AY19" t="str">
        <f>IFERROR(INDEX(Vacantes!$C:$C,MATCH(AT19,Vacantes!$A:$A,0)),"")</f>
        <v>127</v>
      </c>
      <c r="AZ19" t="str">
        <f>IFERROR(INDEX(Vacantes!$D:$D,MATCH(AT19,Vacantes!$A:$A,0)),"")</f>
        <v>13 de octubre de 2026</v>
      </c>
      <c r="BA19" t="str">
        <f>IFERROR(INDEX(Vacantes!$E:$E,MATCH(AT19,Vacantes!$A:$A,0)),"")</f>
        <v>1:30 p.m. a 5:30 p.m.</v>
      </c>
    </row>
    <row r="20" spans="1:53" x14ac:dyDescent="0.15">
      <c r="A20" t="s">
        <v>246</v>
      </c>
      <c r="B20" t="s">
        <v>247</v>
      </c>
      <c r="C20" t="s">
        <v>55</v>
      </c>
      <c r="D20">
        <v>1025528570</v>
      </c>
      <c r="E20" t="s">
        <v>76</v>
      </c>
      <c r="F20">
        <v>20</v>
      </c>
      <c r="G20" t="b">
        <v>1</v>
      </c>
      <c r="H20" t="s">
        <v>57</v>
      </c>
      <c r="I20" t="s">
        <v>57</v>
      </c>
      <c r="J20" t="s">
        <v>132</v>
      </c>
      <c r="K20" t="s">
        <v>133</v>
      </c>
      <c r="L20" t="s">
        <v>134</v>
      </c>
      <c r="N20" t="b">
        <v>0</v>
      </c>
      <c r="O20" t="b">
        <v>0</v>
      </c>
      <c r="P20" t="s">
        <v>60</v>
      </c>
      <c r="Q20" t="s">
        <v>60</v>
      </c>
      <c r="R20" t="s">
        <v>244</v>
      </c>
      <c r="U20" t="s">
        <v>151</v>
      </c>
      <c r="W20" t="s">
        <v>64</v>
      </c>
      <c r="AB20" t="b">
        <v>0</v>
      </c>
      <c r="AC20" t="b">
        <v>0</v>
      </c>
      <c r="AE20" t="b">
        <v>0</v>
      </c>
      <c r="AG20" t="b">
        <v>0</v>
      </c>
      <c r="AI20" t="b">
        <v>0</v>
      </c>
      <c r="AK20" t="s">
        <v>248</v>
      </c>
      <c r="AL20" t="s">
        <v>66</v>
      </c>
      <c r="AM20" s="3">
        <v>46266</v>
      </c>
      <c r="AN20" s="4">
        <v>0.66010416666666671</v>
      </c>
      <c r="AO20">
        <v>0</v>
      </c>
      <c r="AP20" t="s">
        <v>249</v>
      </c>
      <c r="AQ20" t="s">
        <v>69</v>
      </c>
      <c r="AR20">
        <v>90.5</v>
      </c>
      <c r="AS20" t="s">
        <v>70</v>
      </c>
      <c r="AT20" t="s">
        <v>89</v>
      </c>
      <c r="AU20" t="s">
        <v>221</v>
      </c>
      <c r="AV20" t="s">
        <v>73</v>
      </c>
      <c r="AW20" t="str">
        <f t="shared" si="0"/>
        <v>Negocios Internacionales</v>
      </c>
      <c r="AX20" t="str">
        <f t="shared" si="1"/>
        <v/>
      </c>
      <c r="AY20" t="str">
        <f>IFERROR(INDEX(Vacantes!$C:$C,MATCH(AT20,Vacantes!$A:$A,0)),"")</f>
        <v>127</v>
      </c>
      <c r="AZ20" t="str">
        <f>IFERROR(INDEX(Vacantes!$D:$D,MATCH(AT20,Vacantes!$A:$A,0)),"")</f>
        <v>13 de octubre de 2026</v>
      </c>
      <c r="BA20" t="str">
        <f>IFERROR(INDEX(Vacantes!$E:$E,MATCH(AT20,Vacantes!$A:$A,0)),"")</f>
        <v>1:30 p.m. a 5:30 p.m.</v>
      </c>
    </row>
    <row r="21" spans="1:53" x14ac:dyDescent="0.15">
      <c r="A21" t="s">
        <v>250</v>
      </c>
      <c r="B21" t="s">
        <v>251</v>
      </c>
      <c r="C21" t="s">
        <v>55</v>
      </c>
      <c r="D21">
        <v>1001096590</v>
      </c>
      <c r="E21" t="s">
        <v>56</v>
      </c>
      <c r="F21">
        <v>23</v>
      </c>
      <c r="G21" t="b">
        <v>1</v>
      </c>
      <c r="H21" t="s">
        <v>88</v>
      </c>
      <c r="I21" t="s">
        <v>57</v>
      </c>
      <c r="J21" t="s">
        <v>187</v>
      </c>
      <c r="L21" t="s">
        <v>79</v>
      </c>
      <c r="N21" t="b">
        <v>1</v>
      </c>
      <c r="O21" t="b">
        <v>0</v>
      </c>
      <c r="P21" t="s">
        <v>61</v>
      </c>
      <c r="Q21" t="s">
        <v>60</v>
      </c>
      <c r="R21" t="s">
        <v>244</v>
      </c>
      <c r="W21" t="s">
        <v>81</v>
      </c>
      <c r="AB21" t="b">
        <v>0</v>
      </c>
      <c r="AC21" t="b">
        <v>0</v>
      </c>
      <c r="AE21" t="b">
        <v>0</v>
      </c>
      <c r="AG21" t="b">
        <v>0</v>
      </c>
      <c r="AI21" t="b">
        <v>0</v>
      </c>
      <c r="AK21" t="s">
        <v>202</v>
      </c>
      <c r="AL21" t="s">
        <v>66</v>
      </c>
      <c r="AM21" s="3">
        <v>46262</v>
      </c>
      <c r="AN21" s="4">
        <v>0.35939814814814808</v>
      </c>
      <c r="AO21" t="s">
        <v>252</v>
      </c>
      <c r="AP21" t="s">
        <v>253</v>
      </c>
      <c r="AQ21" t="s">
        <v>69</v>
      </c>
      <c r="AR21">
        <v>70.099999999999994</v>
      </c>
      <c r="AS21" t="s">
        <v>70</v>
      </c>
      <c r="AT21" t="s">
        <v>89</v>
      </c>
      <c r="AU21" t="s">
        <v>221</v>
      </c>
      <c r="AV21" t="s">
        <v>73</v>
      </c>
      <c r="AW21" t="str">
        <f t="shared" si="0"/>
        <v>Economía</v>
      </c>
      <c r="AX21" t="str">
        <f t="shared" si="1"/>
        <v>302 2508910</v>
      </c>
      <c r="AY21" t="str">
        <f>IFERROR(INDEX(Vacantes!$C:$C,MATCH(AT21,Vacantes!$A:$A,0)),"")</f>
        <v>127</v>
      </c>
      <c r="AZ21" t="str">
        <f>IFERROR(INDEX(Vacantes!$D:$D,MATCH(AT21,Vacantes!$A:$A,0)),"")</f>
        <v>13 de octubre de 2026</v>
      </c>
      <c r="BA21" t="str">
        <f>IFERROR(INDEX(Vacantes!$E:$E,MATCH(AT21,Vacantes!$A:$A,0)),"")</f>
        <v>1:30 p.m. a 5:30 p.m.</v>
      </c>
    </row>
    <row r="22" spans="1:53" x14ac:dyDescent="0.15">
      <c r="A22" t="s">
        <v>254</v>
      </c>
      <c r="B22" t="s">
        <v>255</v>
      </c>
      <c r="C22" t="s">
        <v>55</v>
      </c>
      <c r="D22">
        <v>1031652558</v>
      </c>
      <c r="E22" t="s">
        <v>56</v>
      </c>
      <c r="F22">
        <v>19</v>
      </c>
      <c r="G22" t="b">
        <v>1</v>
      </c>
      <c r="H22" t="s">
        <v>88</v>
      </c>
      <c r="I22" t="s">
        <v>57</v>
      </c>
      <c r="J22" t="s">
        <v>150</v>
      </c>
      <c r="L22" t="s">
        <v>243</v>
      </c>
      <c r="N22" t="b">
        <v>1</v>
      </c>
      <c r="O22" t="b">
        <v>0</v>
      </c>
      <c r="P22" t="s">
        <v>61</v>
      </c>
      <c r="Q22" t="s">
        <v>60</v>
      </c>
      <c r="R22" t="s">
        <v>244</v>
      </c>
      <c r="W22" t="s">
        <v>109</v>
      </c>
      <c r="AA22" t="s">
        <v>176</v>
      </c>
      <c r="AB22" t="b">
        <v>0</v>
      </c>
      <c r="AC22" t="b">
        <v>0</v>
      </c>
      <c r="AE22" t="b">
        <v>0</v>
      </c>
      <c r="AG22" t="b">
        <v>0</v>
      </c>
      <c r="AI22" t="b">
        <v>0</v>
      </c>
      <c r="AK22" t="s">
        <v>94</v>
      </c>
      <c r="AL22" t="s">
        <v>66</v>
      </c>
      <c r="AM22" s="3">
        <v>46277</v>
      </c>
      <c r="AN22" s="4">
        <v>0.61746527777777782</v>
      </c>
      <c r="AO22">
        <v>3058170290</v>
      </c>
      <c r="AP22" t="s">
        <v>256</v>
      </c>
      <c r="AQ22" t="s">
        <v>69</v>
      </c>
      <c r="AR22">
        <v>74.099999999999994</v>
      </c>
      <c r="AS22" t="s">
        <v>70</v>
      </c>
      <c r="AT22" t="s">
        <v>89</v>
      </c>
      <c r="AU22" t="s">
        <v>221</v>
      </c>
      <c r="AV22" t="s">
        <v>73</v>
      </c>
      <c r="AW22" t="str">
        <f t="shared" si="0"/>
        <v>Derecho</v>
      </c>
      <c r="AX22" t="str">
        <f t="shared" si="1"/>
        <v>3058170290</v>
      </c>
      <c r="AY22" t="str">
        <f>IFERROR(INDEX(Vacantes!$C:$C,MATCH(AT22,Vacantes!$A:$A,0)),"")</f>
        <v>127</v>
      </c>
      <c r="AZ22" t="str">
        <f>IFERROR(INDEX(Vacantes!$D:$D,MATCH(AT22,Vacantes!$A:$A,0)),"")</f>
        <v>13 de octubre de 2026</v>
      </c>
      <c r="BA22" t="str">
        <f>IFERROR(INDEX(Vacantes!$E:$E,MATCH(AT22,Vacantes!$A:$A,0)),"")</f>
        <v>1:30 p.m. a 5:30 p.m.</v>
      </c>
    </row>
    <row r="23" spans="1:53" x14ac:dyDescent="0.15">
      <c r="A23" t="s">
        <v>257</v>
      </c>
      <c r="B23" t="s">
        <v>258</v>
      </c>
      <c r="C23" t="s">
        <v>55</v>
      </c>
      <c r="D23">
        <v>1072644235</v>
      </c>
      <c r="E23" t="s">
        <v>76</v>
      </c>
      <c r="F23">
        <v>21</v>
      </c>
      <c r="G23" t="b">
        <v>1</v>
      </c>
      <c r="H23" t="s">
        <v>259</v>
      </c>
      <c r="I23" t="s">
        <v>57</v>
      </c>
      <c r="J23" t="s">
        <v>78</v>
      </c>
      <c r="L23" t="s">
        <v>107</v>
      </c>
      <c r="N23" t="b">
        <v>0</v>
      </c>
      <c r="O23" t="b">
        <v>0</v>
      </c>
      <c r="P23" t="s">
        <v>60</v>
      </c>
      <c r="Q23" t="s">
        <v>60</v>
      </c>
      <c r="R23" t="s">
        <v>108</v>
      </c>
      <c r="U23" t="s">
        <v>151</v>
      </c>
      <c r="W23" t="s">
        <v>64</v>
      </c>
      <c r="AB23" t="b">
        <v>0</v>
      </c>
      <c r="AC23" t="b">
        <v>0</v>
      </c>
      <c r="AE23" t="b">
        <v>0</v>
      </c>
      <c r="AG23" t="b">
        <v>0</v>
      </c>
      <c r="AI23" t="b">
        <v>0</v>
      </c>
      <c r="AK23" t="s">
        <v>65</v>
      </c>
      <c r="AL23" t="s">
        <v>66</v>
      </c>
      <c r="AM23" s="3">
        <v>46268</v>
      </c>
      <c r="AN23" s="4">
        <v>1.8171296296296299E-3</v>
      </c>
      <c r="AO23" t="s">
        <v>260</v>
      </c>
      <c r="AP23" t="s">
        <v>261</v>
      </c>
      <c r="AQ23" t="s">
        <v>69</v>
      </c>
      <c r="AR23">
        <v>83.8</v>
      </c>
      <c r="AS23" t="s">
        <v>70</v>
      </c>
      <c r="AT23" t="s">
        <v>262</v>
      </c>
      <c r="AU23" t="s">
        <v>221</v>
      </c>
      <c r="AV23" t="s">
        <v>73</v>
      </c>
      <c r="AW23" t="str">
        <f t="shared" si="0"/>
        <v>Administración de Empresas</v>
      </c>
      <c r="AX23" t="str">
        <f t="shared" si="1"/>
        <v>305 3136665</v>
      </c>
      <c r="AY23" t="str">
        <f>IFERROR(INDEX(Vacantes!$C:$C,MATCH(AT23,Vacantes!$A:$A,0)),"")</f>
        <v>127</v>
      </c>
      <c r="AZ23" t="str">
        <f>IFERROR(INDEX(Vacantes!$D:$D,MATCH(AT23,Vacantes!$A:$A,0)),"")</f>
        <v>13 de octubre de 2026</v>
      </c>
      <c r="BA23" t="str">
        <f>IFERROR(INDEX(Vacantes!$E:$E,MATCH(AT23,Vacantes!$A:$A,0)),"")</f>
        <v>7:30 a.m. a 11:30 a.m.</v>
      </c>
    </row>
    <row r="24" spans="1:53" x14ac:dyDescent="0.15">
      <c r="A24" t="s">
        <v>263</v>
      </c>
      <c r="B24" t="s">
        <v>264</v>
      </c>
      <c r="C24" t="s">
        <v>55</v>
      </c>
      <c r="D24">
        <v>1016912331</v>
      </c>
      <c r="E24" t="s">
        <v>76</v>
      </c>
      <c r="F24">
        <v>21</v>
      </c>
      <c r="G24" t="b">
        <v>1</v>
      </c>
      <c r="I24" t="s">
        <v>57</v>
      </c>
      <c r="J24" t="s">
        <v>242</v>
      </c>
      <c r="L24" t="s">
        <v>107</v>
      </c>
      <c r="N24" t="b">
        <v>0</v>
      </c>
      <c r="O24" t="b">
        <v>0</v>
      </c>
      <c r="P24" t="s">
        <v>61</v>
      </c>
      <c r="Q24" t="s">
        <v>61</v>
      </c>
      <c r="R24" t="s">
        <v>108</v>
      </c>
      <c r="U24" t="s">
        <v>151</v>
      </c>
      <c r="W24" t="s">
        <v>64</v>
      </c>
      <c r="AB24" t="b">
        <v>0</v>
      </c>
      <c r="AC24" t="b">
        <v>0</v>
      </c>
      <c r="AE24" t="b">
        <v>0</v>
      </c>
      <c r="AG24" t="b">
        <v>0</v>
      </c>
      <c r="AI24" t="b">
        <v>0</v>
      </c>
      <c r="AK24" t="s">
        <v>202</v>
      </c>
      <c r="AL24" t="s">
        <v>66</v>
      </c>
      <c r="AM24" s="3">
        <v>46256</v>
      </c>
      <c r="AN24" s="4">
        <v>0.42581018518518521</v>
      </c>
      <c r="AO24" t="s">
        <v>265</v>
      </c>
      <c r="AP24" t="s">
        <v>266</v>
      </c>
      <c r="AQ24" t="s">
        <v>69</v>
      </c>
      <c r="AR24">
        <v>85.2</v>
      </c>
      <c r="AS24" t="s">
        <v>70</v>
      </c>
      <c r="AT24" t="s">
        <v>262</v>
      </c>
      <c r="AU24" t="s">
        <v>221</v>
      </c>
      <c r="AV24" t="s">
        <v>73</v>
      </c>
      <c r="AW24" t="str">
        <f t="shared" si="0"/>
        <v>Administración de Empresas</v>
      </c>
      <c r="AX24" t="str">
        <f t="shared" si="1"/>
        <v>319 4972788</v>
      </c>
      <c r="AY24" t="str">
        <f>IFERROR(INDEX(Vacantes!$C:$C,MATCH(AT24,Vacantes!$A:$A,0)),"")</f>
        <v>127</v>
      </c>
      <c r="AZ24" t="str">
        <f>IFERROR(INDEX(Vacantes!$D:$D,MATCH(AT24,Vacantes!$A:$A,0)),"")</f>
        <v>13 de octubre de 2026</v>
      </c>
      <c r="BA24" t="str">
        <f>IFERROR(INDEX(Vacantes!$E:$E,MATCH(AT24,Vacantes!$A:$A,0)),"")</f>
        <v>7:30 a.m. a 11:30 a.m.</v>
      </c>
    </row>
    <row r="25" spans="1:53" x14ac:dyDescent="0.15">
      <c r="A25" t="s">
        <v>267</v>
      </c>
      <c r="B25" t="s">
        <v>268</v>
      </c>
      <c r="C25" t="s">
        <v>55</v>
      </c>
      <c r="D25">
        <v>1000286128</v>
      </c>
      <c r="E25" t="s">
        <v>56</v>
      </c>
      <c r="F25">
        <v>23</v>
      </c>
      <c r="G25" t="b">
        <v>1</v>
      </c>
      <c r="I25" t="s">
        <v>57</v>
      </c>
      <c r="J25" t="s">
        <v>187</v>
      </c>
      <c r="L25" t="s">
        <v>134</v>
      </c>
      <c r="N25" t="b">
        <v>0</v>
      </c>
      <c r="O25" t="b">
        <v>0</v>
      </c>
      <c r="P25" t="s">
        <v>61</v>
      </c>
      <c r="Q25" t="s">
        <v>60</v>
      </c>
      <c r="R25" t="s">
        <v>135</v>
      </c>
      <c r="U25" t="s">
        <v>151</v>
      </c>
      <c r="W25" t="s">
        <v>64</v>
      </c>
      <c r="AB25" t="b">
        <v>0</v>
      </c>
      <c r="AC25" t="b">
        <v>0</v>
      </c>
      <c r="AE25" t="b">
        <v>0</v>
      </c>
      <c r="AG25" t="b">
        <v>0</v>
      </c>
      <c r="AI25" t="b">
        <v>0</v>
      </c>
      <c r="AK25" t="s">
        <v>94</v>
      </c>
      <c r="AL25" t="s">
        <v>66</v>
      </c>
      <c r="AM25" s="3">
        <v>46255</v>
      </c>
      <c r="AN25" s="4">
        <v>0.41468749999999999</v>
      </c>
      <c r="AO25" t="s">
        <v>269</v>
      </c>
      <c r="AP25" t="s">
        <v>270</v>
      </c>
      <c r="AQ25" t="s">
        <v>69</v>
      </c>
      <c r="AR25">
        <v>81.900000000000006</v>
      </c>
      <c r="AS25" t="s">
        <v>70</v>
      </c>
      <c r="AT25" t="s">
        <v>262</v>
      </c>
      <c r="AU25" t="s">
        <v>221</v>
      </c>
      <c r="AV25" t="s">
        <v>73</v>
      </c>
      <c r="AW25" t="str">
        <f t="shared" si="0"/>
        <v>Negocios Internacionales</v>
      </c>
      <c r="AX25" t="str">
        <f t="shared" si="1"/>
        <v>318 2479065</v>
      </c>
      <c r="AY25" t="str">
        <f>IFERROR(INDEX(Vacantes!$C:$C,MATCH(AT25,Vacantes!$A:$A,0)),"")</f>
        <v>127</v>
      </c>
      <c r="AZ25" t="str">
        <f>IFERROR(INDEX(Vacantes!$D:$D,MATCH(AT25,Vacantes!$A:$A,0)),"")</f>
        <v>13 de octubre de 2026</v>
      </c>
      <c r="BA25" t="str">
        <f>IFERROR(INDEX(Vacantes!$E:$E,MATCH(AT25,Vacantes!$A:$A,0)),"")</f>
        <v>7:30 a.m. a 11:30 a.m.</v>
      </c>
    </row>
    <row r="26" spans="1:53" x14ac:dyDescent="0.15">
      <c r="A26" t="s">
        <v>271</v>
      </c>
      <c r="B26" t="s">
        <v>272</v>
      </c>
      <c r="C26" t="s">
        <v>55</v>
      </c>
      <c r="D26">
        <v>1021512114</v>
      </c>
      <c r="E26" t="s">
        <v>76</v>
      </c>
      <c r="F26">
        <v>22</v>
      </c>
      <c r="G26" t="b">
        <v>1</v>
      </c>
      <c r="H26" t="s">
        <v>57</v>
      </c>
      <c r="I26" t="s">
        <v>57</v>
      </c>
      <c r="J26" t="s">
        <v>106</v>
      </c>
      <c r="L26" t="s">
        <v>134</v>
      </c>
      <c r="N26" t="b">
        <v>0</v>
      </c>
      <c r="O26" t="b">
        <v>0</v>
      </c>
      <c r="P26" t="s">
        <v>61</v>
      </c>
      <c r="Q26" t="s">
        <v>61</v>
      </c>
      <c r="R26" t="s">
        <v>64</v>
      </c>
      <c r="W26" t="s">
        <v>109</v>
      </c>
      <c r="Z26" t="s">
        <v>151</v>
      </c>
      <c r="AA26" t="s">
        <v>110</v>
      </c>
      <c r="AB26" t="b">
        <v>0</v>
      </c>
      <c r="AC26" t="b">
        <v>0</v>
      </c>
      <c r="AE26" t="b">
        <v>0</v>
      </c>
      <c r="AG26" t="b">
        <v>0</v>
      </c>
      <c r="AI26" t="b">
        <v>0</v>
      </c>
      <c r="AK26" t="s">
        <v>94</v>
      </c>
      <c r="AL26" t="s">
        <v>66</v>
      </c>
      <c r="AM26" s="3">
        <v>46259</v>
      </c>
      <c r="AN26" s="4">
        <v>0.81193287037037032</v>
      </c>
      <c r="AO26" t="s">
        <v>273</v>
      </c>
      <c r="AP26" t="s">
        <v>274</v>
      </c>
      <c r="AQ26" t="s">
        <v>69</v>
      </c>
      <c r="AR26">
        <v>80.5</v>
      </c>
      <c r="AS26" t="s">
        <v>70</v>
      </c>
      <c r="AT26" t="s">
        <v>262</v>
      </c>
      <c r="AU26" t="s">
        <v>221</v>
      </c>
      <c r="AV26" t="s">
        <v>73</v>
      </c>
      <c r="AW26" t="str">
        <f t="shared" si="0"/>
        <v>Negocios Internacionales</v>
      </c>
      <c r="AX26" t="str">
        <f t="shared" si="1"/>
        <v>313 4649889</v>
      </c>
      <c r="AY26" t="str">
        <f>IFERROR(INDEX(Vacantes!$C:$C,MATCH(AT26,Vacantes!$A:$A,0)),"")</f>
        <v>127</v>
      </c>
      <c r="AZ26" t="str">
        <f>IFERROR(INDEX(Vacantes!$D:$D,MATCH(AT26,Vacantes!$A:$A,0)),"")</f>
        <v>13 de octubre de 2026</v>
      </c>
      <c r="BA26" t="str">
        <f>IFERROR(INDEX(Vacantes!$E:$E,MATCH(AT26,Vacantes!$A:$A,0)),"")</f>
        <v>7:30 a.m. a 11:30 a.m.</v>
      </c>
    </row>
    <row r="27" spans="1:53" x14ac:dyDescent="0.15">
      <c r="A27" t="s">
        <v>275</v>
      </c>
      <c r="B27" t="s">
        <v>276</v>
      </c>
      <c r="C27" t="s">
        <v>55</v>
      </c>
      <c r="D27">
        <v>1012337267</v>
      </c>
      <c r="E27" t="s">
        <v>76</v>
      </c>
      <c r="F27">
        <v>20</v>
      </c>
      <c r="G27" t="b">
        <v>1</v>
      </c>
      <c r="H27" t="s">
        <v>57</v>
      </c>
      <c r="I27" t="s">
        <v>57</v>
      </c>
      <c r="J27" t="s">
        <v>106</v>
      </c>
      <c r="L27" t="s">
        <v>277</v>
      </c>
      <c r="N27" t="b">
        <v>0</v>
      </c>
      <c r="O27" t="b">
        <v>0</v>
      </c>
      <c r="P27" t="s">
        <v>61</v>
      </c>
      <c r="Q27" t="s">
        <v>60</v>
      </c>
      <c r="R27" t="s">
        <v>64</v>
      </c>
      <c r="W27" t="s">
        <v>113</v>
      </c>
      <c r="Z27" t="s">
        <v>151</v>
      </c>
      <c r="AB27" t="b">
        <v>0</v>
      </c>
      <c r="AC27" t="b">
        <v>1</v>
      </c>
      <c r="AE27" t="b">
        <v>0</v>
      </c>
      <c r="AG27" t="b">
        <v>0</v>
      </c>
      <c r="AH27" t="s">
        <v>278</v>
      </c>
      <c r="AI27" t="b">
        <v>0</v>
      </c>
      <c r="AK27" t="s">
        <v>94</v>
      </c>
      <c r="AL27" t="s">
        <v>66</v>
      </c>
      <c r="AM27" s="3">
        <v>46265</v>
      </c>
      <c r="AN27" s="4">
        <v>0.45572916666666669</v>
      </c>
      <c r="AO27" t="s">
        <v>279</v>
      </c>
      <c r="AP27" t="s">
        <v>280</v>
      </c>
      <c r="AQ27" t="s">
        <v>69</v>
      </c>
      <c r="AR27">
        <v>88.2</v>
      </c>
      <c r="AS27" t="s">
        <v>70</v>
      </c>
      <c r="AT27" t="s">
        <v>262</v>
      </c>
      <c r="AU27" t="s">
        <v>221</v>
      </c>
      <c r="AV27" t="s">
        <v>73</v>
      </c>
      <c r="AW27" t="str">
        <f t="shared" si="0"/>
        <v>Psicología</v>
      </c>
      <c r="AX27" t="str">
        <f t="shared" si="1"/>
        <v>322 4018881</v>
      </c>
      <c r="AY27" t="str">
        <f>IFERROR(INDEX(Vacantes!$C:$C,MATCH(AT27,Vacantes!$A:$A,0)),"")</f>
        <v>127</v>
      </c>
      <c r="AZ27" t="str">
        <f>IFERROR(INDEX(Vacantes!$D:$D,MATCH(AT27,Vacantes!$A:$A,0)),"")</f>
        <v>13 de octubre de 2026</v>
      </c>
      <c r="BA27" t="str">
        <f>IFERROR(INDEX(Vacantes!$E:$E,MATCH(AT27,Vacantes!$A:$A,0)),"")</f>
        <v>7:30 a.m. a 11:30 a.m.</v>
      </c>
    </row>
    <row r="28" spans="1:53" x14ac:dyDescent="0.15">
      <c r="A28" t="s">
        <v>281</v>
      </c>
      <c r="B28" t="s">
        <v>282</v>
      </c>
      <c r="C28" t="s">
        <v>55</v>
      </c>
      <c r="D28">
        <v>1107834811</v>
      </c>
      <c r="E28" t="s">
        <v>76</v>
      </c>
      <c r="F28">
        <v>22</v>
      </c>
      <c r="G28" t="b">
        <v>1</v>
      </c>
      <c r="H28" t="s">
        <v>88</v>
      </c>
      <c r="I28" t="s">
        <v>57</v>
      </c>
      <c r="J28" t="s">
        <v>78</v>
      </c>
      <c r="L28" t="s">
        <v>107</v>
      </c>
      <c r="N28" t="b">
        <v>0</v>
      </c>
      <c r="O28" t="b">
        <v>0</v>
      </c>
      <c r="P28" t="s">
        <v>61</v>
      </c>
      <c r="Q28" t="s">
        <v>61</v>
      </c>
      <c r="R28" t="s">
        <v>109</v>
      </c>
      <c r="V28" t="s">
        <v>283</v>
      </c>
      <c r="W28" t="s">
        <v>108</v>
      </c>
      <c r="AB28" t="b">
        <v>0</v>
      </c>
      <c r="AC28" t="b">
        <v>0</v>
      </c>
      <c r="AE28" t="b">
        <v>0</v>
      </c>
      <c r="AG28" t="b">
        <v>0</v>
      </c>
      <c r="AI28" t="b">
        <v>0</v>
      </c>
      <c r="AK28" t="s">
        <v>65</v>
      </c>
      <c r="AL28" t="s">
        <v>66</v>
      </c>
      <c r="AM28" s="3">
        <v>46269</v>
      </c>
      <c r="AN28" s="4">
        <v>0.2494328703703704</v>
      </c>
      <c r="AO28">
        <v>3116257553</v>
      </c>
      <c r="AP28" t="s">
        <v>284</v>
      </c>
      <c r="AQ28" t="s">
        <v>69</v>
      </c>
      <c r="AR28">
        <v>98.3</v>
      </c>
      <c r="AS28" t="s">
        <v>70</v>
      </c>
      <c r="AT28" t="s">
        <v>262</v>
      </c>
      <c r="AU28" t="s">
        <v>221</v>
      </c>
      <c r="AV28" t="s">
        <v>73</v>
      </c>
      <c r="AW28" t="str">
        <f t="shared" si="0"/>
        <v>Administración de Empresas</v>
      </c>
      <c r="AX28" t="str">
        <f t="shared" si="1"/>
        <v>3116257553</v>
      </c>
      <c r="AY28" t="str">
        <f>IFERROR(INDEX(Vacantes!$C:$C,MATCH(AT28,Vacantes!$A:$A,0)),"")</f>
        <v>127</v>
      </c>
      <c r="AZ28" t="str">
        <f>IFERROR(INDEX(Vacantes!$D:$D,MATCH(AT28,Vacantes!$A:$A,0)),"")</f>
        <v>13 de octubre de 2026</v>
      </c>
      <c r="BA28" t="str">
        <f>IFERROR(INDEX(Vacantes!$E:$E,MATCH(AT28,Vacantes!$A:$A,0)),"")</f>
        <v>7:30 a.m. a 11:30 a.m.</v>
      </c>
    </row>
    <row r="29" spans="1:53" x14ac:dyDescent="0.15">
      <c r="A29" t="s">
        <v>285</v>
      </c>
      <c r="B29" t="s">
        <v>286</v>
      </c>
      <c r="C29" t="s">
        <v>55</v>
      </c>
      <c r="D29">
        <v>1023372804</v>
      </c>
      <c r="E29" t="s">
        <v>76</v>
      </c>
      <c r="F29">
        <v>20</v>
      </c>
      <c r="G29" t="b">
        <v>1</v>
      </c>
      <c r="H29" t="s">
        <v>287</v>
      </c>
      <c r="I29" t="s">
        <v>57</v>
      </c>
      <c r="J29" t="s">
        <v>288</v>
      </c>
      <c r="L29" t="s">
        <v>277</v>
      </c>
      <c r="N29" t="b">
        <v>1</v>
      </c>
      <c r="O29" t="b">
        <v>0</v>
      </c>
      <c r="P29" t="s">
        <v>60</v>
      </c>
      <c r="Q29" t="s">
        <v>60</v>
      </c>
      <c r="R29" t="s">
        <v>64</v>
      </c>
      <c r="W29" t="s">
        <v>108</v>
      </c>
      <c r="Z29" t="s">
        <v>151</v>
      </c>
      <c r="AB29" t="b">
        <v>0</v>
      </c>
      <c r="AC29" t="b">
        <v>0</v>
      </c>
      <c r="AE29" t="b">
        <v>0</v>
      </c>
      <c r="AG29" t="b">
        <v>0</v>
      </c>
      <c r="AI29" t="b">
        <v>0</v>
      </c>
      <c r="AK29" t="s">
        <v>65</v>
      </c>
      <c r="AL29" t="s">
        <v>66</v>
      </c>
      <c r="AM29" s="3">
        <v>46262</v>
      </c>
      <c r="AN29" s="4">
        <v>0.24175925925925931</v>
      </c>
      <c r="AO29" t="s">
        <v>289</v>
      </c>
      <c r="AP29" t="s">
        <v>290</v>
      </c>
      <c r="AQ29" t="s">
        <v>69</v>
      </c>
      <c r="AR29">
        <v>86.2</v>
      </c>
      <c r="AS29" t="s">
        <v>70</v>
      </c>
      <c r="AT29" t="s">
        <v>262</v>
      </c>
      <c r="AU29" t="s">
        <v>221</v>
      </c>
      <c r="AV29" t="s">
        <v>73</v>
      </c>
      <c r="AW29" t="str">
        <f t="shared" si="0"/>
        <v>Psicología</v>
      </c>
      <c r="AX29" t="str">
        <f t="shared" si="1"/>
        <v>305 7325384</v>
      </c>
      <c r="AY29" t="str">
        <f>IFERROR(INDEX(Vacantes!$C:$C,MATCH(AT29,Vacantes!$A:$A,0)),"")</f>
        <v>127</v>
      </c>
      <c r="AZ29" t="str">
        <f>IFERROR(INDEX(Vacantes!$D:$D,MATCH(AT29,Vacantes!$A:$A,0)),"")</f>
        <v>13 de octubre de 2026</v>
      </c>
      <c r="BA29" t="str">
        <f>IFERROR(INDEX(Vacantes!$E:$E,MATCH(AT29,Vacantes!$A:$A,0)),"")</f>
        <v>7:30 a.m. a 11:30 a.m.</v>
      </c>
    </row>
    <row r="30" spans="1:53" x14ac:dyDescent="0.15">
      <c r="A30" t="s">
        <v>291</v>
      </c>
      <c r="B30" t="s">
        <v>292</v>
      </c>
      <c r="C30" t="s">
        <v>55</v>
      </c>
      <c r="D30">
        <v>1031610059</v>
      </c>
      <c r="E30" t="s">
        <v>76</v>
      </c>
      <c r="F30">
        <v>22</v>
      </c>
      <c r="G30" t="b">
        <v>1</v>
      </c>
      <c r="H30" t="s">
        <v>293</v>
      </c>
      <c r="I30" t="s">
        <v>57</v>
      </c>
      <c r="J30" t="s">
        <v>78</v>
      </c>
      <c r="L30" t="s">
        <v>107</v>
      </c>
      <c r="N30" t="b">
        <v>0</v>
      </c>
      <c r="O30" t="b">
        <v>0</v>
      </c>
      <c r="P30" t="s">
        <v>61</v>
      </c>
      <c r="Q30" t="s">
        <v>61</v>
      </c>
      <c r="R30" t="s">
        <v>64</v>
      </c>
      <c r="W30" t="s">
        <v>108</v>
      </c>
      <c r="Z30" t="s">
        <v>151</v>
      </c>
      <c r="AB30" t="b">
        <v>0</v>
      </c>
      <c r="AC30" t="b">
        <v>0</v>
      </c>
      <c r="AE30" t="b">
        <v>0</v>
      </c>
      <c r="AG30" t="b">
        <v>0</v>
      </c>
      <c r="AI30" t="b">
        <v>0</v>
      </c>
      <c r="AK30" t="s">
        <v>65</v>
      </c>
      <c r="AL30" t="s">
        <v>66</v>
      </c>
      <c r="AM30" s="3">
        <v>46266</v>
      </c>
      <c r="AN30" s="4">
        <v>0.68083333333333329</v>
      </c>
      <c r="AO30">
        <v>3107579299</v>
      </c>
      <c r="AP30" t="s">
        <v>294</v>
      </c>
      <c r="AQ30" t="s">
        <v>69</v>
      </c>
      <c r="AR30">
        <v>93.4</v>
      </c>
      <c r="AS30" t="s">
        <v>85</v>
      </c>
      <c r="AT30" t="s">
        <v>262</v>
      </c>
      <c r="AU30" t="s">
        <v>221</v>
      </c>
      <c r="AV30" t="s">
        <v>73</v>
      </c>
      <c r="AW30" t="str">
        <f t="shared" si="0"/>
        <v>Administración de Empresas</v>
      </c>
      <c r="AX30" t="str">
        <f t="shared" si="1"/>
        <v>3107579299</v>
      </c>
      <c r="AY30" t="str">
        <f>IFERROR(INDEX(Vacantes!$C:$C,MATCH(AT30,Vacantes!$A:$A,0)),"")</f>
        <v>127</v>
      </c>
      <c r="AZ30" t="str">
        <f>IFERROR(INDEX(Vacantes!$D:$D,MATCH(AT30,Vacantes!$A:$A,0)),"")</f>
        <v>13 de octubre de 2026</v>
      </c>
      <c r="BA30" t="str">
        <f>IFERROR(INDEX(Vacantes!$E:$E,MATCH(AT30,Vacantes!$A:$A,0)),"")</f>
        <v>7:30 a.m. a 11:30 a.m.</v>
      </c>
    </row>
    <row r="31" spans="1:53" x14ac:dyDescent="0.15">
      <c r="A31" t="s">
        <v>437</v>
      </c>
      <c r="B31" t="s">
        <v>438</v>
      </c>
      <c r="C31" t="s">
        <v>55</v>
      </c>
      <c r="D31">
        <v>1011090066</v>
      </c>
      <c r="E31" t="s">
        <v>76</v>
      </c>
      <c r="F31">
        <v>20</v>
      </c>
      <c r="G31" t="b">
        <v>1</v>
      </c>
      <c r="I31" t="s">
        <v>57</v>
      </c>
      <c r="J31" t="s">
        <v>242</v>
      </c>
      <c r="L31" t="s">
        <v>80</v>
      </c>
      <c r="N31" t="b">
        <v>0</v>
      </c>
      <c r="O31" t="b">
        <v>0</v>
      </c>
      <c r="P31" t="s">
        <v>60</v>
      </c>
      <c r="Q31" t="s">
        <v>60</v>
      </c>
      <c r="R31" t="s">
        <v>109</v>
      </c>
      <c r="V31" t="s">
        <v>439</v>
      </c>
      <c r="W31" t="s">
        <v>108</v>
      </c>
      <c r="AB31" t="b">
        <v>0</v>
      </c>
      <c r="AC31" t="b">
        <v>0</v>
      </c>
      <c r="AE31" t="b">
        <v>0</v>
      </c>
      <c r="AG31" t="b">
        <v>0</v>
      </c>
      <c r="AI31" t="b">
        <v>0</v>
      </c>
      <c r="AK31" t="s">
        <v>94</v>
      </c>
      <c r="AL31" t="s">
        <v>66</v>
      </c>
      <c r="AM31" s="3">
        <v>46273</v>
      </c>
      <c r="AN31" s="4">
        <v>0.26524305555555561</v>
      </c>
      <c r="AO31" t="s">
        <v>440</v>
      </c>
      <c r="AP31" t="s">
        <v>441</v>
      </c>
      <c r="AQ31" t="s">
        <v>69</v>
      </c>
      <c r="AR31">
        <v>96.4</v>
      </c>
      <c r="AS31" t="s">
        <v>70</v>
      </c>
      <c r="AT31" t="s">
        <v>442</v>
      </c>
      <c r="AU31" t="s">
        <v>221</v>
      </c>
      <c r="AV31" t="s">
        <v>73</v>
      </c>
      <c r="AW31" t="str">
        <f t="shared" si="0"/>
        <v>Finanzas</v>
      </c>
      <c r="AX31" t="str">
        <f t="shared" si="1"/>
        <v>321 9095151</v>
      </c>
      <c r="AY31" t="str">
        <f>IFERROR(INDEX(Vacantes!$C:$C,MATCH(AT31,Vacantes!$A:$A,0)),"")</f>
        <v>127</v>
      </c>
      <c r="AZ31" t="str">
        <f>IFERROR(INDEX(Vacantes!$D:$D,MATCH(AT31,Vacantes!$A:$A,0)),"")</f>
        <v>13 de octubre de 2026</v>
      </c>
      <c r="BA31" t="str">
        <f>IFERROR(INDEX(Vacantes!$E:$E,MATCH(AT31,Vacantes!$A:$A,0)),"")</f>
        <v>1:30 p.m. a 5:30 p.m.</v>
      </c>
    </row>
    <row r="32" spans="1:53" x14ac:dyDescent="0.15">
      <c r="A32" t="s">
        <v>443</v>
      </c>
      <c r="B32" t="s">
        <v>444</v>
      </c>
      <c r="C32" t="s">
        <v>55</v>
      </c>
      <c r="D32">
        <v>1000503044</v>
      </c>
      <c r="E32" t="s">
        <v>56</v>
      </c>
      <c r="F32">
        <v>23</v>
      </c>
      <c r="G32" t="b">
        <v>1</v>
      </c>
      <c r="H32" t="s">
        <v>57</v>
      </c>
      <c r="I32" t="s">
        <v>57</v>
      </c>
      <c r="J32" t="s">
        <v>150</v>
      </c>
      <c r="L32" t="s">
        <v>143</v>
      </c>
      <c r="N32" t="b">
        <v>0</v>
      </c>
      <c r="O32" t="b">
        <v>0</v>
      </c>
      <c r="P32" t="s">
        <v>61</v>
      </c>
      <c r="Q32" t="s">
        <v>61</v>
      </c>
      <c r="R32" t="s">
        <v>109</v>
      </c>
      <c r="V32" t="s">
        <v>176</v>
      </c>
      <c r="W32" t="s">
        <v>109</v>
      </c>
      <c r="AA32" t="s">
        <v>439</v>
      </c>
      <c r="AB32" t="b">
        <v>0</v>
      </c>
      <c r="AC32" t="b">
        <v>0</v>
      </c>
      <c r="AE32" t="b">
        <v>0</v>
      </c>
      <c r="AG32" t="b">
        <v>0</v>
      </c>
      <c r="AI32" t="b">
        <v>0</v>
      </c>
      <c r="AK32" t="s">
        <v>65</v>
      </c>
      <c r="AL32" t="s">
        <v>66</v>
      </c>
      <c r="AM32" s="3">
        <v>46259</v>
      </c>
      <c r="AN32" s="4">
        <v>0.55434027777777772</v>
      </c>
      <c r="AO32" t="s">
        <v>445</v>
      </c>
      <c r="AP32" t="s">
        <v>446</v>
      </c>
      <c r="AQ32" t="s">
        <v>69</v>
      </c>
      <c r="AR32">
        <v>76.7</v>
      </c>
      <c r="AS32" t="s">
        <v>70</v>
      </c>
      <c r="AT32" t="s">
        <v>442</v>
      </c>
      <c r="AU32" t="s">
        <v>221</v>
      </c>
      <c r="AV32" t="s">
        <v>73</v>
      </c>
      <c r="AW32" t="str">
        <f t="shared" si="0"/>
        <v>Ingeniería Industrial</v>
      </c>
      <c r="AX32" t="str">
        <f t="shared" si="1"/>
        <v>316 6197879</v>
      </c>
      <c r="AY32" t="str">
        <f>IFERROR(INDEX(Vacantes!$C:$C,MATCH(AT32,Vacantes!$A:$A,0)),"")</f>
        <v>127</v>
      </c>
      <c r="AZ32" t="str">
        <f>IFERROR(INDEX(Vacantes!$D:$D,MATCH(AT32,Vacantes!$A:$A,0)),"")</f>
        <v>13 de octubre de 2026</v>
      </c>
      <c r="BA32" t="str">
        <f>IFERROR(INDEX(Vacantes!$E:$E,MATCH(AT32,Vacantes!$A:$A,0)),"")</f>
        <v>1:30 p.m. a 5:30 p.m.</v>
      </c>
    </row>
    <row r="33" spans="1:53" x14ac:dyDescent="0.15">
      <c r="A33" t="s">
        <v>447</v>
      </c>
      <c r="B33" t="s">
        <v>448</v>
      </c>
      <c r="C33" t="s">
        <v>55</v>
      </c>
      <c r="D33">
        <v>1051066730</v>
      </c>
      <c r="E33" t="s">
        <v>76</v>
      </c>
      <c r="F33">
        <v>20</v>
      </c>
      <c r="G33" t="b">
        <v>1</v>
      </c>
      <c r="I33" t="s">
        <v>57</v>
      </c>
      <c r="J33" t="s">
        <v>132</v>
      </c>
      <c r="K33" t="s">
        <v>449</v>
      </c>
      <c r="L33" t="s">
        <v>143</v>
      </c>
      <c r="N33" t="b">
        <v>1</v>
      </c>
      <c r="O33" t="b">
        <v>0</v>
      </c>
      <c r="P33" t="s">
        <v>60</v>
      </c>
      <c r="Q33" t="s">
        <v>60</v>
      </c>
      <c r="R33" t="s">
        <v>135</v>
      </c>
      <c r="W33" t="s">
        <v>109</v>
      </c>
      <c r="AA33" t="s">
        <v>439</v>
      </c>
      <c r="AB33" t="b">
        <v>0</v>
      </c>
      <c r="AC33" t="b">
        <v>0</v>
      </c>
      <c r="AE33" t="b">
        <v>0</v>
      </c>
      <c r="AG33" t="b">
        <v>0</v>
      </c>
      <c r="AI33" t="b">
        <v>0</v>
      </c>
      <c r="AK33" t="s">
        <v>153</v>
      </c>
      <c r="AL33" t="s">
        <v>66</v>
      </c>
      <c r="AM33" s="3">
        <v>46255</v>
      </c>
      <c r="AN33" s="4">
        <v>0.41467592592592589</v>
      </c>
      <c r="AO33" t="s">
        <v>450</v>
      </c>
      <c r="AP33" t="s">
        <v>451</v>
      </c>
      <c r="AQ33" t="s">
        <v>69</v>
      </c>
      <c r="AR33">
        <v>93.9</v>
      </c>
      <c r="AS33" t="s">
        <v>70</v>
      </c>
      <c r="AT33" t="s">
        <v>442</v>
      </c>
      <c r="AU33" t="s">
        <v>221</v>
      </c>
      <c r="AV33" t="s">
        <v>73</v>
      </c>
      <c r="AW33" t="str">
        <f t="shared" si="0"/>
        <v>Ingeniería Industrial</v>
      </c>
      <c r="AX33" t="str">
        <f t="shared" si="1"/>
        <v>322 9448422</v>
      </c>
      <c r="AY33" t="str">
        <f>IFERROR(INDEX(Vacantes!$C:$C,MATCH(AT33,Vacantes!$A:$A,0)),"")</f>
        <v>127</v>
      </c>
      <c r="AZ33" t="str">
        <f>IFERROR(INDEX(Vacantes!$D:$D,MATCH(AT33,Vacantes!$A:$A,0)),"")</f>
        <v>13 de octubre de 2026</v>
      </c>
      <c r="BA33" t="str">
        <f>IFERROR(INDEX(Vacantes!$E:$E,MATCH(AT33,Vacantes!$A:$A,0)),"")</f>
        <v>1:30 p.m. a 5:30 p.m.</v>
      </c>
    </row>
    <row r="34" spans="1:53" x14ac:dyDescent="0.15">
      <c r="A34" t="s">
        <v>452</v>
      </c>
      <c r="B34" t="s">
        <v>453</v>
      </c>
      <c r="C34" t="s">
        <v>55</v>
      </c>
      <c r="D34">
        <v>1031809430</v>
      </c>
      <c r="E34" t="s">
        <v>76</v>
      </c>
      <c r="F34">
        <v>19</v>
      </c>
      <c r="G34" t="b">
        <v>1</v>
      </c>
      <c r="H34" t="s">
        <v>77</v>
      </c>
      <c r="I34" t="s">
        <v>57</v>
      </c>
      <c r="J34" t="s">
        <v>58</v>
      </c>
      <c r="L34" t="s">
        <v>134</v>
      </c>
      <c r="N34" t="b">
        <v>0</v>
      </c>
      <c r="O34" t="b">
        <v>0</v>
      </c>
      <c r="P34" t="s">
        <v>61</v>
      </c>
      <c r="Q34" t="s">
        <v>60</v>
      </c>
      <c r="R34" t="s">
        <v>109</v>
      </c>
      <c r="V34" t="s">
        <v>283</v>
      </c>
      <c r="W34" t="s">
        <v>108</v>
      </c>
      <c r="AB34" t="b">
        <v>0</v>
      </c>
      <c r="AC34" t="b">
        <v>0</v>
      </c>
      <c r="AE34" t="b">
        <v>0</v>
      </c>
      <c r="AG34" t="b">
        <v>0</v>
      </c>
      <c r="AI34" t="b">
        <v>0</v>
      </c>
      <c r="AK34" t="s">
        <v>65</v>
      </c>
      <c r="AL34" t="s">
        <v>66</v>
      </c>
      <c r="AM34" s="3">
        <v>46267</v>
      </c>
      <c r="AN34" s="4">
        <v>0.55072916666666671</v>
      </c>
      <c r="AO34" t="s">
        <v>454</v>
      </c>
      <c r="AP34" t="s">
        <v>455</v>
      </c>
      <c r="AQ34" t="s">
        <v>69</v>
      </c>
      <c r="AR34">
        <v>91.5</v>
      </c>
      <c r="AS34" t="s">
        <v>85</v>
      </c>
      <c r="AT34" t="s">
        <v>442</v>
      </c>
      <c r="AU34" t="s">
        <v>221</v>
      </c>
      <c r="AV34" t="s">
        <v>73</v>
      </c>
      <c r="AW34" t="str">
        <f t="shared" si="0"/>
        <v>Negocios Internacionales</v>
      </c>
      <c r="AX34" t="str">
        <f t="shared" si="1"/>
        <v>322 2237039</v>
      </c>
      <c r="AY34" t="str">
        <f>IFERROR(INDEX(Vacantes!$C:$C,MATCH(AT34,Vacantes!$A:$A,0)),"")</f>
        <v>127</v>
      </c>
      <c r="AZ34" t="str">
        <f>IFERROR(INDEX(Vacantes!$D:$D,MATCH(AT34,Vacantes!$A:$A,0)),"")</f>
        <v>13 de octubre de 2026</v>
      </c>
      <c r="BA34" t="str">
        <f>IFERROR(INDEX(Vacantes!$E:$E,MATCH(AT34,Vacantes!$A:$A,0)),"")</f>
        <v>1:30 p.m. a 5:30 p.m.</v>
      </c>
    </row>
    <row r="35" spans="1:53" x14ac:dyDescent="0.15">
      <c r="A35" t="s">
        <v>456</v>
      </c>
      <c r="B35" t="s">
        <v>457</v>
      </c>
      <c r="C35" t="s">
        <v>55</v>
      </c>
      <c r="D35">
        <v>1042243518</v>
      </c>
      <c r="E35" t="s">
        <v>76</v>
      </c>
      <c r="F35">
        <v>21</v>
      </c>
      <c r="G35" t="b">
        <v>1</v>
      </c>
      <c r="H35" t="s">
        <v>88</v>
      </c>
      <c r="I35" t="s">
        <v>57</v>
      </c>
      <c r="J35" t="s">
        <v>458</v>
      </c>
      <c r="L35" t="s">
        <v>107</v>
      </c>
      <c r="N35" t="b">
        <v>1</v>
      </c>
      <c r="O35" t="b">
        <v>0</v>
      </c>
      <c r="P35" t="s">
        <v>61</v>
      </c>
      <c r="Q35" t="s">
        <v>61</v>
      </c>
      <c r="R35" t="s">
        <v>108</v>
      </c>
      <c r="W35" t="s">
        <v>109</v>
      </c>
      <c r="AA35" t="s">
        <v>439</v>
      </c>
      <c r="AB35" t="b">
        <v>0</v>
      </c>
      <c r="AC35" t="b">
        <v>0</v>
      </c>
      <c r="AE35" t="b">
        <v>0</v>
      </c>
      <c r="AG35" t="b">
        <v>0</v>
      </c>
      <c r="AI35" t="b">
        <v>0</v>
      </c>
      <c r="AK35" t="s">
        <v>202</v>
      </c>
      <c r="AL35" t="s">
        <v>66</v>
      </c>
      <c r="AM35" s="3">
        <v>46277</v>
      </c>
      <c r="AN35" s="4">
        <v>0.62714120370370374</v>
      </c>
      <c r="AO35" t="s">
        <v>459</v>
      </c>
      <c r="AP35" t="s">
        <v>460</v>
      </c>
      <c r="AQ35" t="s">
        <v>69</v>
      </c>
      <c r="AR35">
        <v>71.3</v>
      </c>
      <c r="AS35" t="s">
        <v>70</v>
      </c>
      <c r="AT35" t="s">
        <v>442</v>
      </c>
      <c r="AU35" t="s">
        <v>221</v>
      </c>
      <c r="AV35" t="s">
        <v>73</v>
      </c>
      <c r="AW35" t="str">
        <f t="shared" si="0"/>
        <v>Administración de Empresas</v>
      </c>
      <c r="AX35" t="str">
        <f t="shared" si="1"/>
        <v>321 7794626</v>
      </c>
      <c r="AY35" t="str">
        <f>IFERROR(INDEX(Vacantes!$C:$C,MATCH(AT35,Vacantes!$A:$A,0)),"")</f>
        <v>127</v>
      </c>
      <c r="AZ35" t="str">
        <f>IFERROR(INDEX(Vacantes!$D:$D,MATCH(AT35,Vacantes!$A:$A,0)),"")</f>
        <v>13 de octubre de 2026</v>
      </c>
      <c r="BA35" t="str">
        <f>IFERROR(INDEX(Vacantes!$E:$E,MATCH(AT35,Vacantes!$A:$A,0)),"")</f>
        <v>1:30 p.m. a 5:30 p.m.</v>
      </c>
    </row>
    <row r="36" spans="1:53" x14ac:dyDescent="0.15">
      <c r="A36" t="s">
        <v>461</v>
      </c>
      <c r="B36" t="s">
        <v>462</v>
      </c>
      <c r="C36" t="s">
        <v>55</v>
      </c>
      <c r="D36">
        <v>1034399810</v>
      </c>
      <c r="E36" t="s">
        <v>76</v>
      </c>
      <c r="F36">
        <v>20</v>
      </c>
      <c r="G36" t="b">
        <v>1</v>
      </c>
      <c r="I36" t="s">
        <v>57</v>
      </c>
      <c r="J36" t="s">
        <v>463</v>
      </c>
      <c r="L36" t="s">
        <v>143</v>
      </c>
      <c r="N36" t="b">
        <v>1</v>
      </c>
      <c r="O36" t="b">
        <v>0</v>
      </c>
      <c r="P36" t="s">
        <v>60</v>
      </c>
      <c r="Q36" t="s">
        <v>144</v>
      </c>
      <c r="R36" t="s">
        <v>135</v>
      </c>
      <c r="W36" t="s">
        <v>109</v>
      </c>
      <c r="AA36" t="s">
        <v>188</v>
      </c>
      <c r="AB36" t="b">
        <v>0</v>
      </c>
      <c r="AC36" t="b">
        <v>0</v>
      </c>
      <c r="AE36" t="b">
        <v>0</v>
      </c>
      <c r="AG36" t="b">
        <v>0</v>
      </c>
      <c r="AI36" t="b">
        <v>0</v>
      </c>
      <c r="AK36" t="s">
        <v>94</v>
      </c>
      <c r="AL36" t="s">
        <v>66</v>
      </c>
      <c r="AM36" s="3">
        <v>46257</v>
      </c>
      <c r="AN36" s="4">
        <v>0.77711805555555558</v>
      </c>
      <c r="AO36">
        <v>0</v>
      </c>
      <c r="AP36" t="s">
        <v>464</v>
      </c>
      <c r="AQ36" t="s">
        <v>69</v>
      </c>
      <c r="AR36">
        <v>89.8</v>
      </c>
      <c r="AS36" t="s">
        <v>85</v>
      </c>
      <c r="AT36" t="s">
        <v>191</v>
      </c>
      <c r="AU36" t="s">
        <v>221</v>
      </c>
      <c r="AV36" t="s">
        <v>73</v>
      </c>
      <c r="AW36" t="str">
        <f t="shared" si="0"/>
        <v>Ingeniería Industrial</v>
      </c>
      <c r="AX36" t="str">
        <f t="shared" si="1"/>
        <v/>
      </c>
      <c r="AY36" t="str">
        <f>IFERROR(INDEX(Vacantes!$C:$C,MATCH(AT36,Vacantes!$A:$A,0)),"")</f>
        <v>127</v>
      </c>
      <c r="AZ36" t="str">
        <f>IFERROR(INDEX(Vacantes!$D:$D,MATCH(AT36,Vacantes!$A:$A,0)),"")</f>
        <v>13 de octubre de 2026</v>
      </c>
      <c r="BA36" t="str">
        <f>IFERROR(INDEX(Vacantes!$E:$E,MATCH(AT36,Vacantes!$A:$A,0)),"")</f>
        <v>1:30 p.m. a 5:30 p.m.</v>
      </c>
    </row>
    <row r="37" spans="1:53" x14ac:dyDescent="0.15">
      <c r="A37" t="s">
        <v>465</v>
      </c>
      <c r="B37" t="s">
        <v>466</v>
      </c>
      <c r="C37" t="s">
        <v>55</v>
      </c>
      <c r="D37">
        <v>1000502600</v>
      </c>
      <c r="E37" t="s">
        <v>56</v>
      </c>
      <c r="F37">
        <v>24</v>
      </c>
      <c r="G37" t="b">
        <v>1</v>
      </c>
      <c r="I37" t="s">
        <v>57</v>
      </c>
      <c r="J37" t="s">
        <v>78</v>
      </c>
      <c r="L37" t="s">
        <v>79</v>
      </c>
      <c r="N37" t="b">
        <v>0</v>
      </c>
      <c r="O37" t="b">
        <v>0</v>
      </c>
      <c r="P37" t="s">
        <v>61</v>
      </c>
      <c r="Q37" t="s">
        <v>61</v>
      </c>
      <c r="R37" t="s">
        <v>109</v>
      </c>
      <c r="V37" t="s">
        <v>110</v>
      </c>
      <c r="W37" t="s">
        <v>135</v>
      </c>
      <c r="AB37" t="b">
        <v>0</v>
      </c>
      <c r="AC37" t="b">
        <v>0</v>
      </c>
      <c r="AE37" t="b">
        <v>0</v>
      </c>
      <c r="AG37" t="b">
        <v>0</v>
      </c>
      <c r="AI37" t="b">
        <v>0</v>
      </c>
      <c r="AK37" t="s">
        <v>94</v>
      </c>
      <c r="AL37" t="s">
        <v>66</v>
      </c>
      <c r="AM37" s="3">
        <v>46256</v>
      </c>
      <c r="AN37" s="4">
        <v>0.65561342592592597</v>
      </c>
      <c r="AO37" t="s">
        <v>467</v>
      </c>
      <c r="AP37" t="s">
        <v>349</v>
      </c>
      <c r="AQ37" t="s">
        <v>69</v>
      </c>
      <c r="AR37">
        <v>91</v>
      </c>
      <c r="AS37" t="s">
        <v>70</v>
      </c>
      <c r="AT37" t="s">
        <v>191</v>
      </c>
      <c r="AU37" t="s">
        <v>221</v>
      </c>
      <c r="AV37" t="s">
        <v>73</v>
      </c>
      <c r="AW37" t="str">
        <f t="shared" si="0"/>
        <v>Economía</v>
      </c>
      <c r="AX37" t="str">
        <f t="shared" si="1"/>
        <v>310 4683903</v>
      </c>
      <c r="AY37" t="str">
        <f>IFERROR(INDEX(Vacantes!$C:$C,MATCH(AT37,Vacantes!$A:$A,0)),"")</f>
        <v>127</v>
      </c>
      <c r="AZ37" t="str">
        <f>IFERROR(INDEX(Vacantes!$D:$D,MATCH(AT37,Vacantes!$A:$A,0)),"")</f>
        <v>13 de octubre de 2026</v>
      </c>
      <c r="BA37" t="str">
        <f>IFERROR(INDEX(Vacantes!$E:$E,MATCH(AT37,Vacantes!$A:$A,0)),"")</f>
        <v>1:30 p.m. a 5:30 p.m.</v>
      </c>
    </row>
    <row r="38" spans="1:53" x14ac:dyDescent="0.15">
      <c r="A38" t="s">
        <v>468</v>
      </c>
      <c r="B38" t="s">
        <v>469</v>
      </c>
      <c r="C38" t="s">
        <v>55</v>
      </c>
      <c r="D38">
        <v>1001191913</v>
      </c>
      <c r="E38" t="s">
        <v>76</v>
      </c>
      <c r="F38">
        <v>22</v>
      </c>
      <c r="G38" t="b">
        <v>1</v>
      </c>
      <c r="H38" t="s">
        <v>88</v>
      </c>
      <c r="I38" t="s">
        <v>57</v>
      </c>
      <c r="J38" t="s">
        <v>187</v>
      </c>
      <c r="L38" t="s">
        <v>117</v>
      </c>
      <c r="N38" t="b">
        <v>0</v>
      </c>
      <c r="O38" t="b">
        <v>0</v>
      </c>
      <c r="P38" t="s">
        <v>61</v>
      </c>
      <c r="Q38" t="s">
        <v>60</v>
      </c>
      <c r="R38" t="s">
        <v>108</v>
      </c>
      <c r="W38" t="s">
        <v>109</v>
      </c>
      <c r="AA38" t="s">
        <v>188</v>
      </c>
      <c r="AB38" t="b">
        <v>0</v>
      </c>
      <c r="AC38" t="b">
        <v>0</v>
      </c>
      <c r="AE38" t="b">
        <v>0</v>
      </c>
      <c r="AG38" t="b">
        <v>0</v>
      </c>
      <c r="AI38" t="b">
        <v>0</v>
      </c>
      <c r="AK38" t="s">
        <v>153</v>
      </c>
      <c r="AL38" t="s">
        <v>66</v>
      </c>
      <c r="AM38" s="3">
        <v>46271</v>
      </c>
      <c r="AN38" s="4">
        <v>0.72023148148148153</v>
      </c>
      <c r="AO38" t="s">
        <v>470</v>
      </c>
      <c r="AP38" t="s">
        <v>471</v>
      </c>
      <c r="AQ38" t="s">
        <v>69</v>
      </c>
      <c r="AR38">
        <v>92.3</v>
      </c>
      <c r="AS38" t="s">
        <v>70</v>
      </c>
      <c r="AT38" t="s">
        <v>191</v>
      </c>
      <c r="AU38" t="s">
        <v>221</v>
      </c>
      <c r="AV38" t="s">
        <v>73</v>
      </c>
      <c r="AW38" t="str">
        <f t="shared" si="0"/>
        <v>Marketing / Mercadeo</v>
      </c>
      <c r="AX38" t="str">
        <f t="shared" si="1"/>
        <v>304 4266492</v>
      </c>
      <c r="AY38" t="str">
        <f>IFERROR(INDEX(Vacantes!$C:$C,MATCH(AT38,Vacantes!$A:$A,0)),"")</f>
        <v>127</v>
      </c>
      <c r="AZ38" t="str">
        <f>IFERROR(INDEX(Vacantes!$D:$D,MATCH(AT38,Vacantes!$A:$A,0)),"")</f>
        <v>13 de octubre de 2026</v>
      </c>
      <c r="BA38" t="str">
        <f>IFERROR(INDEX(Vacantes!$E:$E,MATCH(AT38,Vacantes!$A:$A,0)),"")</f>
        <v>1:30 p.m. a 5:30 p.m.</v>
      </c>
    </row>
    <row r="39" spans="1:53" x14ac:dyDescent="0.15">
      <c r="A39" t="s">
        <v>472</v>
      </c>
      <c r="B39" t="s">
        <v>473</v>
      </c>
      <c r="C39" t="s">
        <v>55</v>
      </c>
      <c r="D39">
        <v>1000796156</v>
      </c>
      <c r="E39" t="s">
        <v>56</v>
      </c>
      <c r="F39">
        <v>23</v>
      </c>
      <c r="G39" t="b">
        <v>1</v>
      </c>
      <c r="H39" t="s">
        <v>131</v>
      </c>
      <c r="I39" t="s">
        <v>57</v>
      </c>
      <c r="J39" t="s">
        <v>242</v>
      </c>
      <c r="L39" t="s">
        <v>107</v>
      </c>
      <c r="N39" t="b">
        <v>0</v>
      </c>
      <c r="O39" t="b">
        <v>0</v>
      </c>
      <c r="P39" t="s">
        <v>60</v>
      </c>
      <c r="Q39" t="s">
        <v>60</v>
      </c>
      <c r="R39" t="s">
        <v>108</v>
      </c>
      <c r="W39" t="s">
        <v>109</v>
      </c>
      <c r="AA39" t="s">
        <v>188</v>
      </c>
      <c r="AB39" t="b">
        <v>0</v>
      </c>
      <c r="AC39" t="b">
        <v>0</v>
      </c>
      <c r="AE39" t="b">
        <v>0</v>
      </c>
      <c r="AG39" t="b">
        <v>0</v>
      </c>
      <c r="AI39" t="b">
        <v>0</v>
      </c>
      <c r="AK39" t="s">
        <v>202</v>
      </c>
      <c r="AL39" t="s">
        <v>66</v>
      </c>
      <c r="AM39" s="3">
        <v>46266</v>
      </c>
      <c r="AN39" s="4">
        <v>0.36131944444444453</v>
      </c>
      <c r="AO39">
        <v>3175756956</v>
      </c>
      <c r="AP39" t="s">
        <v>474</v>
      </c>
      <c r="AQ39" t="s">
        <v>69</v>
      </c>
      <c r="AR39">
        <v>75.2</v>
      </c>
      <c r="AS39" t="s">
        <v>70</v>
      </c>
      <c r="AT39" t="s">
        <v>191</v>
      </c>
      <c r="AU39" t="s">
        <v>221</v>
      </c>
      <c r="AV39" t="s">
        <v>73</v>
      </c>
      <c r="AW39" t="str">
        <f t="shared" si="0"/>
        <v>Administración de Empresas</v>
      </c>
      <c r="AX39" t="str">
        <f t="shared" si="1"/>
        <v>3175756956</v>
      </c>
      <c r="AY39" t="str">
        <f>IFERROR(INDEX(Vacantes!$C:$C,MATCH(AT39,Vacantes!$A:$A,0)),"")</f>
        <v>127</v>
      </c>
      <c r="AZ39" t="str">
        <f>IFERROR(INDEX(Vacantes!$D:$D,MATCH(AT39,Vacantes!$A:$A,0)),"")</f>
        <v>13 de octubre de 2026</v>
      </c>
      <c r="BA39" t="str">
        <f>IFERROR(INDEX(Vacantes!$E:$E,MATCH(AT39,Vacantes!$A:$A,0)),"")</f>
        <v>1:30 p.m. a 5:30 p.m.</v>
      </c>
    </row>
    <row r="40" spans="1:53" x14ac:dyDescent="0.15">
      <c r="A40" t="s">
        <v>475</v>
      </c>
      <c r="B40" t="s">
        <v>476</v>
      </c>
      <c r="C40" t="s">
        <v>55</v>
      </c>
      <c r="D40">
        <v>1025061418</v>
      </c>
      <c r="E40" t="s">
        <v>76</v>
      </c>
      <c r="F40">
        <v>21</v>
      </c>
      <c r="G40" t="b">
        <v>1</v>
      </c>
      <c r="H40" t="s">
        <v>88</v>
      </c>
      <c r="I40" t="s">
        <v>57</v>
      </c>
      <c r="J40" t="s">
        <v>242</v>
      </c>
      <c r="L40" t="s">
        <v>107</v>
      </c>
      <c r="N40" t="b">
        <v>0</v>
      </c>
      <c r="O40" t="b">
        <v>0</v>
      </c>
      <c r="P40" t="s">
        <v>60</v>
      </c>
      <c r="Q40" t="s">
        <v>61</v>
      </c>
      <c r="R40" t="s">
        <v>109</v>
      </c>
      <c r="V40" t="s">
        <v>188</v>
      </c>
      <c r="W40" t="s">
        <v>109</v>
      </c>
      <c r="AA40" t="s">
        <v>283</v>
      </c>
      <c r="AB40" t="b">
        <v>0</v>
      </c>
      <c r="AC40" t="b">
        <v>0</v>
      </c>
      <c r="AE40" t="b">
        <v>0</v>
      </c>
      <c r="AG40" t="b">
        <v>0</v>
      </c>
      <c r="AI40" t="b">
        <v>0</v>
      </c>
      <c r="AK40" t="s">
        <v>202</v>
      </c>
      <c r="AL40" t="s">
        <v>66</v>
      </c>
      <c r="AM40" s="3">
        <v>46271</v>
      </c>
      <c r="AN40" s="4">
        <v>0.72021990740740738</v>
      </c>
      <c r="AO40" t="s">
        <v>477</v>
      </c>
      <c r="AP40" t="s">
        <v>478</v>
      </c>
      <c r="AQ40" t="s">
        <v>69</v>
      </c>
      <c r="AR40">
        <v>81.099999999999994</v>
      </c>
      <c r="AS40" t="s">
        <v>70</v>
      </c>
      <c r="AT40" t="s">
        <v>191</v>
      </c>
      <c r="AU40" t="s">
        <v>221</v>
      </c>
      <c r="AV40" t="s">
        <v>73</v>
      </c>
      <c r="AW40" t="str">
        <f t="shared" si="0"/>
        <v>Administración de Empresas</v>
      </c>
      <c r="AX40" t="str">
        <f t="shared" si="1"/>
        <v>322 2444642</v>
      </c>
      <c r="AY40" t="str">
        <f>IFERROR(INDEX(Vacantes!$C:$C,MATCH(AT40,Vacantes!$A:$A,0)),"")</f>
        <v>127</v>
      </c>
      <c r="AZ40" t="str">
        <f>IFERROR(INDEX(Vacantes!$D:$D,MATCH(AT40,Vacantes!$A:$A,0)),"")</f>
        <v>13 de octubre de 2026</v>
      </c>
      <c r="BA40" t="str">
        <f>IFERROR(INDEX(Vacantes!$E:$E,MATCH(AT40,Vacantes!$A:$A,0)),"")</f>
        <v>1:30 p.m. a 5:30 p.m.</v>
      </c>
    </row>
    <row r="41" spans="1:53" x14ac:dyDescent="0.15">
      <c r="A41" t="s">
        <v>479</v>
      </c>
      <c r="B41" t="s">
        <v>480</v>
      </c>
      <c r="C41" t="s">
        <v>55</v>
      </c>
      <c r="D41">
        <v>1070596087</v>
      </c>
      <c r="E41" t="s">
        <v>56</v>
      </c>
      <c r="F41">
        <v>19</v>
      </c>
      <c r="G41" t="b">
        <v>1</v>
      </c>
      <c r="H41" t="s">
        <v>481</v>
      </c>
      <c r="I41" t="s">
        <v>57</v>
      </c>
      <c r="J41" t="s">
        <v>482</v>
      </c>
      <c r="L41" t="s">
        <v>143</v>
      </c>
      <c r="N41" t="b">
        <v>1</v>
      </c>
      <c r="O41" t="b">
        <v>0</v>
      </c>
      <c r="P41" t="s">
        <v>60</v>
      </c>
      <c r="Q41" t="s">
        <v>60</v>
      </c>
      <c r="R41" t="s">
        <v>64</v>
      </c>
      <c r="W41" t="s">
        <v>81</v>
      </c>
      <c r="Z41" t="s">
        <v>93</v>
      </c>
      <c r="AB41" t="b">
        <v>0</v>
      </c>
      <c r="AC41" t="b">
        <v>0</v>
      </c>
      <c r="AE41" t="b">
        <v>0</v>
      </c>
      <c r="AG41" t="b">
        <v>0</v>
      </c>
      <c r="AI41" t="b">
        <v>0</v>
      </c>
      <c r="AK41" t="s">
        <v>248</v>
      </c>
      <c r="AL41" t="s">
        <v>66</v>
      </c>
      <c r="AM41" s="3">
        <v>46264</v>
      </c>
      <c r="AN41" s="4">
        <v>0.91195601851851849</v>
      </c>
      <c r="AO41">
        <v>3136370565</v>
      </c>
      <c r="AP41" t="s">
        <v>483</v>
      </c>
      <c r="AQ41" t="s">
        <v>69</v>
      </c>
      <c r="AR41">
        <v>80.3</v>
      </c>
      <c r="AS41" t="s">
        <v>70</v>
      </c>
      <c r="AT41" t="s">
        <v>97</v>
      </c>
      <c r="AU41" t="s">
        <v>221</v>
      </c>
      <c r="AV41" t="s">
        <v>73</v>
      </c>
      <c r="AW41" t="str">
        <f t="shared" si="0"/>
        <v>Ingeniería Industrial</v>
      </c>
      <c r="AX41" t="str">
        <f t="shared" si="1"/>
        <v>3136370565</v>
      </c>
      <c r="AY41" t="str">
        <f>IFERROR(INDEX(Vacantes!$C:$C,MATCH(AT41,Vacantes!$A:$A,0)),"")</f>
        <v>127</v>
      </c>
      <c r="AZ41" t="str">
        <f>IFERROR(INDEX(Vacantes!$D:$D,MATCH(AT41,Vacantes!$A:$A,0)),"")</f>
        <v>13 de octubre de 2026</v>
      </c>
      <c r="BA41" t="str">
        <f>IFERROR(INDEX(Vacantes!$E:$E,MATCH(AT41,Vacantes!$A:$A,0)),"")</f>
        <v>7:30 a.m. a 11:30 a.m.</v>
      </c>
    </row>
    <row r="42" spans="1:53" x14ac:dyDescent="0.15">
      <c r="A42" t="s">
        <v>484</v>
      </c>
      <c r="B42" t="s">
        <v>485</v>
      </c>
      <c r="C42" t="s">
        <v>55</v>
      </c>
      <c r="D42">
        <v>1023369712</v>
      </c>
      <c r="E42" t="s">
        <v>76</v>
      </c>
      <c r="F42">
        <v>21</v>
      </c>
      <c r="G42" t="b">
        <v>1</v>
      </c>
      <c r="H42" t="s">
        <v>486</v>
      </c>
      <c r="I42" t="s">
        <v>57</v>
      </c>
      <c r="J42" t="s">
        <v>288</v>
      </c>
      <c r="L42" t="s">
        <v>277</v>
      </c>
      <c r="N42" t="b">
        <v>0</v>
      </c>
      <c r="O42" t="b">
        <v>0</v>
      </c>
      <c r="P42" t="s">
        <v>60</v>
      </c>
      <c r="Q42" t="s">
        <v>60</v>
      </c>
      <c r="R42" t="s">
        <v>64</v>
      </c>
      <c r="W42" t="s">
        <v>135</v>
      </c>
      <c r="Z42" t="s">
        <v>93</v>
      </c>
      <c r="AB42" t="b">
        <v>0</v>
      </c>
      <c r="AC42" t="b">
        <v>0</v>
      </c>
      <c r="AE42" t="b">
        <v>0</v>
      </c>
      <c r="AG42" t="b">
        <v>0</v>
      </c>
      <c r="AI42" t="b">
        <v>0</v>
      </c>
      <c r="AK42" t="s">
        <v>248</v>
      </c>
      <c r="AL42" t="s">
        <v>66</v>
      </c>
      <c r="AM42" s="3">
        <v>46262</v>
      </c>
      <c r="AN42" s="4">
        <v>0.24175925925925931</v>
      </c>
      <c r="AO42">
        <v>3108828777</v>
      </c>
      <c r="AP42" t="s">
        <v>487</v>
      </c>
      <c r="AQ42" t="s">
        <v>69</v>
      </c>
      <c r="AR42">
        <v>82.6</v>
      </c>
      <c r="AS42" t="s">
        <v>70</v>
      </c>
      <c r="AT42" t="s">
        <v>97</v>
      </c>
      <c r="AU42" t="s">
        <v>221</v>
      </c>
      <c r="AV42" t="s">
        <v>73</v>
      </c>
      <c r="AW42" t="str">
        <f t="shared" si="0"/>
        <v>Psicología</v>
      </c>
      <c r="AX42" t="str">
        <f t="shared" si="1"/>
        <v>3108828777</v>
      </c>
      <c r="AY42" t="str">
        <f>IFERROR(INDEX(Vacantes!$C:$C,MATCH(AT42,Vacantes!$A:$A,0)),"")</f>
        <v>127</v>
      </c>
      <c r="AZ42" t="str">
        <f>IFERROR(INDEX(Vacantes!$D:$D,MATCH(AT42,Vacantes!$A:$A,0)),"")</f>
        <v>13 de octubre de 2026</v>
      </c>
      <c r="BA42" t="str">
        <f>IFERROR(INDEX(Vacantes!$E:$E,MATCH(AT42,Vacantes!$A:$A,0)),"")</f>
        <v>7:30 a.m. a 11:30 a.m.</v>
      </c>
    </row>
    <row r="43" spans="1:53" x14ac:dyDescent="0.15">
      <c r="A43" t="s">
        <v>488</v>
      </c>
      <c r="B43" t="s">
        <v>489</v>
      </c>
      <c r="C43" t="s">
        <v>55</v>
      </c>
      <c r="D43">
        <v>1013036270</v>
      </c>
      <c r="E43" t="s">
        <v>76</v>
      </c>
      <c r="F43">
        <v>22</v>
      </c>
      <c r="G43" t="b">
        <v>1</v>
      </c>
      <c r="I43" t="s">
        <v>57</v>
      </c>
      <c r="J43" t="s">
        <v>187</v>
      </c>
      <c r="L43" t="s">
        <v>277</v>
      </c>
      <c r="N43" t="b">
        <v>1</v>
      </c>
      <c r="O43" t="b">
        <v>0</v>
      </c>
      <c r="P43" t="s">
        <v>60</v>
      </c>
      <c r="Q43" t="s">
        <v>60</v>
      </c>
      <c r="R43" t="s">
        <v>64</v>
      </c>
      <c r="U43" t="s">
        <v>151</v>
      </c>
      <c r="W43" t="s">
        <v>64</v>
      </c>
      <c r="Z43" t="s">
        <v>151</v>
      </c>
      <c r="AB43" t="b">
        <v>0</v>
      </c>
      <c r="AC43" t="b">
        <v>0</v>
      </c>
      <c r="AE43" t="b">
        <v>0</v>
      </c>
      <c r="AG43" t="b">
        <v>0</v>
      </c>
      <c r="AI43" t="b">
        <v>0</v>
      </c>
      <c r="AK43" t="s">
        <v>94</v>
      </c>
      <c r="AL43" t="s">
        <v>66</v>
      </c>
      <c r="AM43" s="3">
        <v>46255</v>
      </c>
      <c r="AN43" s="4">
        <v>0.41466435185185191</v>
      </c>
      <c r="AO43" t="s">
        <v>490</v>
      </c>
      <c r="AP43" t="s">
        <v>491</v>
      </c>
      <c r="AQ43" t="s">
        <v>69</v>
      </c>
      <c r="AR43">
        <v>85.4</v>
      </c>
      <c r="AS43" t="s">
        <v>70</v>
      </c>
      <c r="AT43" t="s">
        <v>97</v>
      </c>
      <c r="AU43" t="s">
        <v>221</v>
      </c>
      <c r="AV43" t="s">
        <v>73</v>
      </c>
      <c r="AW43" t="str">
        <f t="shared" si="0"/>
        <v>Psicología</v>
      </c>
      <c r="AX43" t="str">
        <f t="shared" si="1"/>
        <v>301 6701913</v>
      </c>
      <c r="AY43" t="str">
        <f>IFERROR(INDEX(Vacantes!$C:$C,MATCH(AT43,Vacantes!$A:$A,0)),"")</f>
        <v>127</v>
      </c>
      <c r="AZ43" t="str">
        <f>IFERROR(INDEX(Vacantes!$D:$D,MATCH(AT43,Vacantes!$A:$A,0)),"")</f>
        <v>13 de octubre de 2026</v>
      </c>
      <c r="BA43" t="str">
        <f>IFERROR(INDEX(Vacantes!$E:$E,MATCH(AT43,Vacantes!$A:$A,0)),"")</f>
        <v>7:30 a.m. a 11:30 a.m.</v>
      </c>
    </row>
    <row r="44" spans="1:53" x14ac:dyDescent="0.15">
      <c r="A44" t="s">
        <v>492</v>
      </c>
      <c r="B44" t="s">
        <v>493</v>
      </c>
      <c r="C44" t="s">
        <v>55</v>
      </c>
      <c r="D44">
        <v>1097782112</v>
      </c>
      <c r="E44" t="s">
        <v>76</v>
      </c>
      <c r="F44">
        <v>21</v>
      </c>
      <c r="G44" t="b">
        <v>1</v>
      </c>
      <c r="H44" t="s">
        <v>494</v>
      </c>
      <c r="I44" t="s">
        <v>57</v>
      </c>
      <c r="J44" t="s">
        <v>495</v>
      </c>
      <c r="L44" t="s">
        <v>107</v>
      </c>
      <c r="N44" t="b">
        <v>1</v>
      </c>
      <c r="O44" t="b">
        <v>0</v>
      </c>
      <c r="P44" t="s">
        <v>60</v>
      </c>
      <c r="Q44" t="s">
        <v>61</v>
      </c>
      <c r="R44" t="s">
        <v>108</v>
      </c>
      <c r="U44" t="s">
        <v>151</v>
      </c>
      <c r="W44" t="s">
        <v>64</v>
      </c>
      <c r="AB44" t="b">
        <v>0</v>
      </c>
      <c r="AC44" t="b">
        <v>0</v>
      </c>
      <c r="AE44" t="b">
        <v>0</v>
      </c>
      <c r="AG44" t="b">
        <v>0</v>
      </c>
      <c r="AI44" t="b">
        <v>0</v>
      </c>
      <c r="AK44" t="s">
        <v>65</v>
      </c>
      <c r="AL44" t="s">
        <v>66</v>
      </c>
      <c r="AM44" s="3">
        <v>46277</v>
      </c>
      <c r="AN44" s="4">
        <v>0.48756944444444439</v>
      </c>
      <c r="AO44" t="s">
        <v>496</v>
      </c>
      <c r="AP44" t="s">
        <v>497</v>
      </c>
      <c r="AQ44" t="s">
        <v>69</v>
      </c>
      <c r="AR44">
        <v>86</v>
      </c>
      <c r="AS44" t="s">
        <v>70</v>
      </c>
      <c r="AT44" t="s">
        <v>97</v>
      </c>
      <c r="AU44" t="s">
        <v>221</v>
      </c>
      <c r="AV44" t="s">
        <v>73</v>
      </c>
      <c r="AW44" t="str">
        <f t="shared" si="0"/>
        <v>Administración de Empresas</v>
      </c>
      <c r="AX44" t="str">
        <f t="shared" si="1"/>
        <v>318 3068387</v>
      </c>
      <c r="AY44" t="str">
        <f>IFERROR(INDEX(Vacantes!$C:$C,MATCH(AT44,Vacantes!$A:$A,0)),"")</f>
        <v>127</v>
      </c>
      <c r="AZ44" t="str">
        <f>IFERROR(INDEX(Vacantes!$D:$D,MATCH(AT44,Vacantes!$A:$A,0)),"")</f>
        <v>13 de octubre de 2026</v>
      </c>
      <c r="BA44" t="str">
        <f>IFERROR(INDEX(Vacantes!$E:$E,MATCH(AT44,Vacantes!$A:$A,0)),"")</f>
        <v>7:30 a.m. a 11:30 a.m.</v>
      </c>
    </row>
    <row r="45" spans="1:53" x14ac:dyDescent="0.15">
      <c r="A45" t="s">
        <v>498</v>
      </c>
      <c r="B45" t="s">
        <v>499</v>
      </c>
      <c r="C45" t="s">
        <v>55</v>
      </c>
      <c r="D45">
        <v>1119394634</v>
      </c>
      <c r="E45" t="s">
        <v>76</v>
      </c>
      <c r="F45">
        <v>23</v>
      </c>
      <c r="G45" t="b">
        <v>1</v>
      </c>
      <c r="I45" t="s">
        <v>57</v>
      </c>
      <c r="J45" t="s">
        <v>132</v>
      </c>
      <c r="K45" t="s">
        <v>500</v>
      </c>
      <c r="L45" t="s">
        <v>143</v>
      </c>
      <c r="N45" t="b">
        <v>0</v>
      </c>
      <c r="O45" t="b">
        <v>0</v>
      </c>
      <c r="P45" t="s">
        <v>144</v>
      </c>
      <c r="Q45" t="s">
        <v>60</v>
      </c>
      <c r="R45" t="s">
        <v>81</v>
      </c>
      <c r="U45" t="s">
        <v>93</v>
      </c>
      <c r="W45" t="s">
        <v>64</v>
      </c>
      <c r="AB45" t="b">
        <v>0</v>
      </c>
      <c r="AC45" t="b">
        <v>0</v>
      </c>
      <c r="AE45" t="b">
        <v>0</v>
      </c>
      <c r="AG45" t="b">
        <v>0</v>
      </c>
      <c r="AI45" t="b">
        <v>0</v>
      </c>
      <c r="AK45" t="s">
        <v>153</v>
      </c>
      <c r="AL45" t="s">
        <v>66</v>
      </c>
      <c r="AM45" s="3">
        <v>46278</v>
      </c>
      <c r="AN45" s="4">
        <v>0.60923611111111109</v>
      </c>
      <c r="AO45">
        <v>3005253020</v>
      </c>
      <c r="AP45" t="s">
        <v>501</v>
      </c>
      <c r="AQ45" t="s">
        <v>69</v>
      </c>
      <c r="AR45">
        <v>74.900000000000006</v>
      </c>
      <c r="AS45" t="s">
        <v>70</v>
      </c>
      <c r="AT45" t="s">
        <v>97</v>
      </c>
      <c r="AU45" t="s">
        <v>221</v>
      </c>
      <c r="AV45" t="s">
        <v>73</v>
      </c>
      <c r="AW45" t="str">
        <f t="shared" si="0"/>
        <v>Ingeniería Industrial</v>
      </c>
      <c r="AX45" t="str">
        <f t="shared" si="1"/>
        <v>3005253020</v>
      </c>
      <c r="AY45" t="str">
        <f>IFERROR(INDEX(Vacantes!$C:$C,MATCH(AT45,Vacantes!$A:$A,0)),"")</f>
        <v>127</v>
      </c>
      <c r="AZ45" t="str">
        <f>IFERROR(INDEX(Vacantes!$D:$D,MATCH(AT45,Vacantes!$A:$A,0)),"")</f>
        <v>13 de octubre de 2026</v>
      </c>
      <c r="BA45" t="str">
        <f>IFERROR(INDEX(Vacantes!$E:$E,MATCH(AT45,Vacantes!$A:$A,0)),"")</f>
        <v>7:30 a.m. a 11:30 a.m.</v>
      </c>
    </row>
    <row r="46" spans="1:53" x14ac:dyDescent="0.15">
      <c r="A46" t="s">
        <v>502</v>
      </c>
      <c r="B46" t="s">
        <v>503</v>
      </c>
      <c r="C46" t="s">
        <v>55</v>
      </c>
      <c r="D46">
        <v>1021664406</v>
      </c>
      <c r="E46" t="s">
        <v>76</v>
      </c>
      <c r="F46">
        <v>22</v>
      </c>
      <c r="G46" t="b">
        <v>1</v>
      </c>
      <c r="I46" t="s">
        <v>57</v>
      </c>
      <c r="J46" t="s">
        <v>242</v>
      </c>
      <c r="L46" t="s">
        <v>107</v>
      </c>
      <c r="N46" t="b">
        <v>0</v>
      </c>
      <c r="O46" t="b">
        <v>0</v>
      </c>
      <c r="P46" t="s">
        <v>60</v>
      </c>
      <c r="Q46" t="s">
        <v>60</v>
      </c>
      <c r="R46" t="s">
        <v>109</v>
      </c>
      <c r="U46" t="s">
        <v>93</v>
      </c>
      <c r="V46" t="s">
        <v>176</v>
      </c>
      <c r="W46" t="s">
        <v>64</v>
      </c>
      <c r="AB46" t="b">
        <v>0</v>
      </c>
      <c r="AC46" t="b">
        <v>0</v>
      </c>
      <c r="AE46" t="b">
        <v>0</v>
      </c>
      <c r="AG46" t="b">
        <v>0</v>
      </c>
      <c r="AI46" t="b">
        <v>0</v>
      </c>
      <c r="AK46" t="s">
        <v>202</v>
      </c>
      <c r="AL46" t="s">
        <v>66</v>
      </c>
      <c r="AM46" s="3">
        <v>46255</v>
      </c>
      <c r="AN46" s="4">
        <v>0.69589120370370372</v>
      </c>
      <c r="AO46" t="s">
        <v>504</v>
      </c>
      <c r="AP46" t="s">
        <v>505</v>
      </c>
      <c r="AQ46" t="s">
        <v>69</v>
      </c>
      <c r="AR46">
        <v>75.5</v>
      </c>
      <c r="AS46" t="s">
        <v>70</v>
      </c>
      <c r="AT46" t="s">
        <v>97</v>
      </c>
      <c r="AU46" t="s">
        <v>221</v>
      </c>
      <c r="AV46" t="s">
        <v>73</v>
      </c>
      <c r="AW46" t="str">
        <f t="shared" si="0"/>
        <v>Administración de Empresas</v>
      </c>
      <c r="AX46" t="str">
        <f t="shared" si="1"/>
        <v>321 4013423</v>
      </c>
      <c r="AY46" t="str">
        <f>IFERROR(INDEX(Vacantes!$C:$C,MATCH(AT46,Vacantes!$A:$A,0)),"")</f>
        <v>127</v>
      </c>
      <c r="AZ46" t="str">
        <f>IFERROR(INDEX(Vacantes!$D:$D,MATCH(AT46,Vacantes!$A:$A,0)),"")</f>
        <v>13 de octubre de 2026</v>
      </c>
      <c r="BA46" t="str">
        <f>IFERROR(INDEX(Vacantes!$E:$E,MATCH(AT46,Vacantes!$A:$A,0)),"")</f>
        <v>7:30 a.m. a 11:30 a.m.</v>
      </c>
    </row>
    <row r="47" spans="1:53" x14ac:dyDescent="0.15">
      <c r="A47" t="s">
        <v>506</v>
      </c>
      <c r="B47" t="s">
        <v>507</v>
      </c>
      <c r="C47" t="s">
        <v>55</v>
      </c>
      <c r="D47">
        <v>1021633586</v>
      </c>
      <c r="E47" t="s">
        <v>76</v>
      </c>
      <c r="F47">
        <v>21</v>
      </c>
      <c r="G47" t="b">
        <v>1</v>
      </c>
      <c r="H47" t="s">
        <v>131</v>
      </c>
      <c r="I47" t="s">
        <v>57</v>
      </c>
      <c r="J47" t="s">
        <v>458</v>
      </c>
      <c r="L47" t="s">
        <v>107</v>
      </c>
      <c r="N47" t="b">
        <v>1</v>
      </c>
      <c r="O47" t="b">
        <v>0</v>
      </c>
      <c r="P47" t="s">
        <v>61</v>
      </c>
      <c r="Q47" t="s">
        <v>60</v>
      </c>
      <c r="R47" t="s">
        <v>108</v>
      </c>
      <c r="U47" t="s">
        <v>151</v>
      </c>
      <c r="W47" t="s">
        <v>64</v>
      </c>
      <c r="AB47" t="b">
        <v>0</v>
      </c>
      <c r="AC47" t="b">
        <v>0</v>
      </c>
      <c r="AE47" t="b">
        <v>0</v>
      </c>
      <c r="AG47" t="b">
        <v>0</v>
      </c>
      <c r="AI47" t="b">
        <v>0</v>
      </c>
      <c r="AK47" t="s">
        <v>65</v>
      </c>
      <c r="AL47" t="s">
        <v>66</v>
      </c>
      <c r="AM47" s="3">
        <v>46275</v>
      </c>
      <c r="AN47" s="4">
        <v>0.83815972222222224</v>
      </c>
      <c r="AO47" t="s">
        <v>508</v>
      </c>
      <c r="AP47" t="s">
        <v>509</v>
      </c>
      <c r="AQ47" t="s">
        <v>69</v>
      </c>
      <c r="AR47">
        <v>94.1</v>
      </c>
      <c r="AS47" t="s">
        <v>70</v>
      </c>
      <c r="AT47" t="s">
        <v>97</v>
      </c>
      <c r="AU47" t="s">
        <v>221</v>
      </c>
      <c r="AV47" t="s">
        <v>73</v>
      </c>
      <c r="AW47" t="str">
        <f t="shared" si="0"/>
        <v>Administración de Empresas</v>
      </c>
      <c r="AX47" t="str">
        <f t="shared" si="1"/>
        <v>310 7078253</v>
      </c>
      <c r="AY47" t="str">
        <f>IFERROR(INDEX(Vacantes!$C:$C,MATCH(AT47,Vacantes!$A:$A,0)),"")</f>
        <v>127</v>
      </c>
      <c r="AZ47" t="str">
        <f>IFERROR(INDEX(Vacantes!$D:$D,MATCH(AT47,Vacantes!$A:$A,0)),"")</f>
        <v>13 de octubre de 2026</v>
      </c>
      <c r="BA47" t="str">
        <f>IFERROR(INDEX(Vacantes!$E:$E,MATCH(AT47,Vacantes!$A:$A,0)),"")</f>
        <v>7:30 a.m. a 11:30 a.m.</v>
      </c>
    </row>
    <row r="48" spans="1:53" x14ac:dyDescent="0.15">
      <c r="A48" t="s">
        <v>510</v>
      </c>
      <c r="B48" t="s">
        <v>511</v>
      </c>
      <c r="C48" t="s">
        <v>55</v>
      </c>
      <c r="D48">
        <v>1014479562</v>
      </c>
      <c r="E48" t="s">
        <v>56</v>
      </c>
      <c r="F48">
        <v>20</v>
      </c>
      <c r="G48" t="b">
        <v>1</v>
      </c>
      <c r="H48" t="s">
        <v>57</v>
      </c>
      <c r="I48" t="s">
        <v>57</v>
      </c>
      <c r="J48" t="s">
        <v>288</v>
      </c>
      <c r="L48" t="s">
        <v>79</v>
      </c>
      <c r="N48" t="b">
        <v>0</v>
      </c>
      <c r="O48" t="b">
        <v>0</v>
      </c>
      <c r="P48" t="s">
        <v>144</v>
      </c>
      <c r="Q48" t="s">
        <v>60</v>
      </c>
      <c r="R48" t="s">
        <v>80</v>
      </c>
      <c r="W48" t="s">
        <v>81</v>
      </c>
      <c r="Y48" t="s">
        <v>82</v>
      </c>
      <c r="AB48" t="b">
        <v>0</v>
      </c>
      <c r="AC48" t="b">
        <v>0</v>
      </c>
      <c r="AE48" t="b">
        <v>0</v>
      </c>
      <c r="AG48" t="b">
        <v>0</v>
      </c>
      <c r="AI48" t="b">
        <v>0</v>
      </c>
      <c r="AK48" t="s">
        <v>153</v>
      </c>
      <c r="AL48" t="s">
        <v>66</v>
      </c>
      <c r="AM48" s="3">
        <v>46266</v>
      </c>
      <c r="AN48" s="4">
        <v>0.25701388888888888</v>
      </c>
      <c r="AO48" t="s">
        <v>512</v>
      </c>
      <c r="AP48" t="s">
        <v>513</v>
      </c>
      <c r="AQ48" t="s">
        <v>69</v>
      </c>
      <c r="AR48">
        <v>92</v>
      </c>
      <c r="AS48" t="s">
        <v>70</v>
      </c>
      <c r="AT48" t="s">
        <v>102</v>
      </c>
      <c r="AU48" t="s">
        <v>221</v>
      </c>
      <c r="AV48" t="s">
        <v>73</v>
      </c>
      <c r="AW48" t="str">
        <f t="shared" si="0"/>
        <v>Economía</v>
      </c>
      <c r="AX48" t="str">
        <f t="shared" si="1"/>
        <v>300 1653749</v>
      </c>
      <c r="AY48" t="str">
        <f>IFERROR(INDEX(Vacantes!$C:$C,MATCH(AT48,Vacantes!$A:$A,0)),"")</f>
        <v>127</v>
      </c>
      <c r="AZ48" t="str">
        <f>IFERROR(INDEX(Vacantes!$D:$D,MATCH(AT48,Vacantes!$A:$A,0)),"")</f>
        <v>13 de octubre de 2026</v>
      </c>
      <c r="BA48" t="str">
        <f>IFERROR(INDEX(Vacantes!$E:$E,MATCH(AT48,Vacantes!$A:$A,0)),"")</f>
        <v>7:30 a.m. a 11:30 a.m.</v>
      </c>
    </row>
    <row r="49" spans="1:53" x14ac:dyDescent="0.15">
      <c r="A49" t="s">
        <v>514</v>
      </c>
      <c r="B49" t="s">
        <v>515</v>
      </c>
      <c r="C49" t="s">
        <v>55</v>
      </c>
      <c r="D49">
        <v>1007558149</v>
      </c>
      <c r="E49" t="s">
        <v>76</v>
      </c>
      <c r="F49">
        <v>23</v>
      </c>
      <c r="G49" t="b">
        <v>1</v>
      </c>
      <c r="H49" t="s">
        <v>57</v>
      </c>
      <c r="I49" t="s">
        <v>57</v>
      </c>
      <c r="J49" t="s">
        <v>78</v>
      </c>
      <c r="L49" t="s">
        <v>132</v>
      </c>
      <c r="M49" t="s">
        <v>516</v>
      </c>
      <c r="N49" t="b">
        <v>0</v>
      </c>
      <c r="O49" t="b">
        <v>0</v>
      </c>
      <c r="P49" t="s">
        <v>61</v>
      </c>
      <c r="Q49" t="s">
        <v>60</v>
      </c>
      <c r="R49" t="s">
        <v>108</v>
      </c>
      <c r="W49" t="s">
        <v>113</v>
      </c>
      <c r="AB49" t="b">
        <v>0</v>
      </c>
      <c r="AC49" t="b">
        <v>0</v>
      </c>
      <c r="AE49" t="b">
        <v>0</v>
      </c>
      <c r="AG49" t="b">
        <v>0</v>
      </c>
      <c r="AI49" t="b">
        <v>0</v>
      </c>
      <c r="AK49" t="s">
        <v>248</v>
      </c>
      <c r="AL49" t="s">
        <v>66</v>
      </c>
      <c r="AM49" s="3">
        <v>46264</v>
      </c>
      <c r="AN49" s="4">
        <v>0.43060185185185179</v>
      </c>
      <c r="AO49" t="s">
        <v>517</v>
      </c>
      <c r="AP49" t="s">
        <v>518</v>
      </c>
      <c r="AQ49" t="s">
        <v>69</v>
      </c>
      <c r="AR49">
        <v>91.8</v>
      </c>
      <c r="AS49" t="s">
        <v>70</v>
      </c>
      <c r="AT49" t="s">
        <v>113</v>
      </c>
      <c r="AU49" t="s">
        <v>221</v>
      </c>
      <c r="AV49" t="s">
        <v>73</v>
      </c>
      <c r="AW49" t="str">
        <f t="shared" si="0"/>
        <v>Narrativas Digitales y Ciencia Politica</v>
      </c>
      <c r="AX49" t="str">
        <f t="shared" si="1"/>
        <v>301 4372540</v>
      </c>
      <c r="AY49" t="str">
        <f>IFERROR(INDEX(Vacantes!$C:$C,MATCH(AT49,Vacantes!$A:$A,0)),"")</f>
        <v>127</v>
      </c>
      <c r="AZ49" t="str">
        <f>IFERROR(INDEX(Vacantes!$D:$D,MATCH(AT49,Vacantes!$A:$A,0)),"")</f>
        <v>13 de octubre de 2026</v>
      </c>
      <c r="BA49" t="str">
        <f>IFERROR(INDEX(Vacantes!$E:$E,MATCH(AT49,Vacantes!$A:$A,0)),"")</f>
        <v>1:30 p.m. a 5:30 p.m.</v>
      </c>
    </row>
    <row r="50" spans="1:53" x14ac:dyDescent="0.15">
      <c r="A50" t="s">
        <v>519</v>
      </c>
      <c r="B50" t="s">
        <v>520</v>
      </c>
      <c r="C50" t="s">
        <v>55</v>
      </c>
      <c r="D50">
        <v>1027210269</v>
      </c>
      <c r="E50" t="s">
        <v>76</v>
      </c>
      <c r="F50">
        <v>21</v>
      </c>
      <c r="G50" t="b">
        <v>1</v>
      </c>
      <c r="H50" t="s">
        <v>57</v>
      </c>
      <c r="I50" t="s">
        <v>57</v>
      </c>
      <c r="J50" t="s">
        <v>242</v>
      </c>
      <c r="L50" t="s">
        <v>521</v>
      </c>
      <c r="N50" t="b">
        <v>0</v>
      </c>
      <c r="O50" t="b">
        <v>0</v>
      </c>
      <c r="P50" t="s">
        <v>60</v>
      </c>
      <c r="Q50" t="s">
        <v>60</v>
      </c>
      <c r="R50" t="s">
        <v>113</v>
      </c>
      <c r="W50" t="s">
        <v>108</v>
      </c>
      <c r="AB50" t="b">
        <v>0</v>
      </c>
      <c r="AC50" t="b">
        <v>0</v>
      </c>
      <c r="AE50" t="b">
        <v>0</v>
      </c>
      <c r="AG50" t="b">
        <v>0</v>
      </c>
      <c r="AI50" t="b">
        <v>0</v>
      </c>
      <c r="AK50" t="s">
        <v>65</v>
      </c>
      <c r="AL50" t="s">
        <v>66</v>
      </c>
      <c r="AM50" s="3">
        <v>46265</v>
      </c>
      <c r="AN50" s="4">
        <v>0.92298611111111106</v>
      </c>
      <c r="AO50" t="s">
        <v>522</v>
      </c>
      <c r="AP50" t="s">
        <v>523</v>
      </c>
      <c r="AQ50" t="s">
        <v>69</v>
      </c>
      <c r="AR50">
        <v>97.3</v>
      </c>
      <c r="AS50" t="s">
        <v>85</v>
      </c>
      <c r="AT50" t="s">
        <v>113</v>
      </c>
      <c r="AU50" t="s">
        <v>221</v>
      </c>
      <c r="AV50" t="s">
        <v>184</v>
      </c>
      <c r="AW50" t="str">
        <f t="shared" si="0"/>
        <v>Comunicación social</v>
      </c>
      <c r="AX50" t="str">
        <f t="shared" si="1"/>
        <v>322 2350694</v>
      </c>
      <c r="AY50" t="str">
        <f>IFERROR(INDEX(Vacantes!$C:$C,MATCH(AT50,Vacantes!$A:$A,0)),"")</f>
        <v>127</v>
      </c>
      <c r="AZ50" t="str">
        <f>IFERROR(INDEX(Vacantes!$D:$D,MATCH(AT50,Vacantes!$A:$A,0)),"")</f>
        <v>13 de octubre de 2026</v>
      </c>
      <c r="BA50" t="str">
        <f>IFERROR(INDEX(Vacantes!$E:$E,MATCH(AT50,Vacantes!$A:$A,0)),"")</f>
        <v>1:30 p.m. a 5:30 p.m.</v>
      </c>
    </row>
    <row r="51" spans="1:53" x14ac:dyDescent="0.15">
      <c r="A51" t="s">
        <v>524</v>
      </c>
      <c r="B51" t="s">
        <v>525</v>
      </c>
      <c r="C51" t="s">
        <v>55</v>
      </c>
      <c r="D51">
        <v>1000365880</v>
      </c>
      <c r="E51" t="s">
        <v>76</v>
      </c>
      <c r="F51">
        <v>25</v>
      </c>
      <c r="G51" t="b">
        <v>1</v>
      </c>
      <c r="H51" t="s">
        <v>486</v>
      </c>
      <c r="I51" t="s">
        <v>57</v>
      </c>
      <c r="J51" t="s">
        <v>169</v>
      </c>
      <c r="L51" t="s">
        <v>526</v>
      </c>
      <c r="N51" t="b">
        <v>0</v>
      </c>
      <c r="O51" t="b">
        <v>0</v>
      </c>
      <c r="P51" t="s">
        <v>61</v>
      </c>
      <c r="Q51" t="s">
        <v>60</v>
      </c>
      <c r="R51" t="s">
        <v>108</v>
      </c>
      <c r="W51" t="s">
        <v>113</v>
      </c>
      <c r="AB51" t="b">
        <v>0</v>
      </c>
      <c r="AC51" t="b">
        <v>0</v>
      </c>
      <c r="AE51" t="b">
        <v>0</v>
      </c>
      <c r="AG51" t="b">
        <v>0</v>
      </c>
      <c r="AI51" t="b">
        <v>0</v>
      </c>
      <c r="AK51" t="s">
        <v>65</v>
      </c>
      <c r="AL51" t="s">
        <v>66</v>
      </c>
      <c r="AM51" s="3">
        <v>46265</v>
      </c>
      <c r="AN51" s="4">
        <v>0.92298611111111106</v>
      </c>
      <c r="AO51">
        <v>3508455279</v>
      </c>
      <c r="AP51" t="s">
        <v>527</v>
      </c>
      <c r="AQ51" t="s">
        <v>69</v>
      </c>
      <c r="AR51">
        <v>86.2</v>
      </c>
      <c r="AS51" t="s">
        <v>70</v>
      </c>
      <c r="AT51" t="s">
        <v>113</v>
      </c>
      <c r="AU51" t="s">
        <v>221</v>
      </c>
      <c r="AV51" t="s">
        <v>73</v>
      </c>
      <c r="AW51" t="str">
        <f t="shared" si="0"/>
        <v>Publicidad</v>
      </c>
      <c r="AX51" t="str">
        <f t="shared" si="1"/>
        <v>3508455279</v>
      </c>
      <c r="AY51" t="str">
        <f>IFERROR(INDEX(Vacantes!$C:$C,MATCH(AT51,Vacantes!$A:$A,0)),"")</f>
        <v>127</v>
      </c>
      <c r="AZ51" t="str">
        <f>IFERROR(INDEX(Vacantes!$D:$D,MATCH(AT51,Vacantes!$A:$A,0)),"")</f>
        <v>13 de octubre de 2026</v>
      </c>
      <c r="BA51" t="str">
        <f>IFERROR(INDEX(Vacantes!$E:$E,MATCH(AT51,Vacantes!$A:$A,0)),"")</f>
        <v>1:30 p.m. a 5:30 p.m.</v>
      </c>
    </row>
    <row r="52" spans="1:53" x14ac:dyDescent="0.15">
      <c r="A52" t="s">
        <v>528</v>
      </c>
      <c r="B52" t="s">
        <v>529</v>
      </c>
      <c r="C52" t="s">
        <v>55</v>
      </c>
      <c r="D52">
        <v>1019842441</v>
      </c>
      <c r="E52" t="s">
        <v>76</v>
      </c>
      <c r="F52">
        <v>21</v>
      </c>
      <c r="G52" t="b">
        <v>1</v>
      </c>
      <c r="I52" t="s">
        <v>57</v>
      </c>
      <c r="J52" t="s">
        <v>150</v>
      </c>
      <c r="L52" t="s">
        <v>521</v>
      </c>
      <c r="N52" t="b">
        <v>0</v>
      </c>
      <c r="O52" t="b">
        <v>0</v>
      </c>
      <c r="P52" t="s">
        <v>61</v>
      </c>
      <c r="Q52" t="s">
        <v>60</v>
      </c>
      <c r="R52" t="s">
        <v>108</v>
      </c>
      <c r="W52" t="s">
        <v>113</v>
      </c>
      <c r="AB52" t="b">
        <v>0</v>
      </c>
      <c r="AC52" t="b">
        <v>0</v>
      </c>
      <c r="AE52" t="b">
        <v>0</v>
      </c>
      <c r="AG52" t="b">
        <v>0</v>
      </c>
      <c r="AI52" t="b">
        <v>0</v>
      </c>
      <c r="AK52" t="s">
        <v>530</v>
      </c>
      <c r="AL52" t="s">
        <v>66</v>
      </c>
      <c r="AM52" s="3">
        <v>46256</v>
      </c>
      <c r="AN52" s="4">
        <v>0.53620370370370374</v>
      </c>
      <c r="AO52">
        <v>3166210415</v>
      </c>
      <c r="AP52" t="s">
        <v>349</v>
      </c>
      <c r="AQ52" t="s">
        <v>69</v>
      </c>
      <c r="AR52">
        <v>80</v>
      </c>
      <c r="AS52" t="s">
        <v>70</v>
      </c>
      <c r="AT52" t="s">
        <v>113</v>
      </c>
      <c r="AU52" t="s">
        <v>221</v>
      </c>
      <c r="AV52" t="s">
        <v>73</v>
      </c>
      <c r="AW52" t="str">
        <f t="shared" si="0"/>
        <v>Comunicación social</v>
      </c>
      <c r="AX52" t="str">
        <f t="shared" si="1"/>
        <v>3166210415</v>
      </c>
      <c r="AY52" t="str">
        <f>IFERROR(INDEX(Vacantes!$C:$C,MATCH(AT52,Vacantes!$A:$A,0)),"")</f>
        <v>127</v>
      </c>
      <c r="AZ52" t="str">
        <f>IFERROR(INDEX(Vacantes!$D:$D,MATCH(AT52,Vacantes!$A:$A,0)),"")</f>
        <v>13 de octubre de 2026</v>
      </c>
      <c r="BA52" t="str">
        <f>IFERROR(INDEX(Vacantes!$E:$E,MATCH(AT52,Vacantes!$A:$A,0)),"")</f>
        <v>1:30 p.m. a 5:30 p.m.</v>
      </c>
    </row>
    <row r="53" spans="1:53" x14ac:dyDescent="0.15">
      <c r="A53" t="s">
        <v>531</v>
      </c>
      <c r="B53" t="s">
        <v>532</v>
      </c>
      <c r="C53" t="s">
        <v>55</v>
      </c>
      <c r="D53">
        <v>1014856810</v>
      </c>
      <c r="E53" t="s">
        <v>76</v>
      </c>
      <c r="F53">
        <v>22</v>
      </c>
      <c r="G53" t="b">
        <v>1</v>
      </c>
      <c r="H53" t="s">
        <v>88</v>
      </c>
      <c r="I53" t="s">
        <v>57</v>
      </c>
      <c r="J53" t="s">
        <v>533</v>
      </c>
      <c r="L53" t="s">
        <v>117</v>
      </c>
      <c r="N53" t="b">
        <v>0</v>
      </c>
      <c r="O53" t="b">
        <v>0</v>
      </c>
      <c r="P53" t="s">
        <v>61</v>
      </c>
      <c r="Q53" t="s">
        <v>60</v>
      </c>
      <c r="R53" t="s">
        <v>108</v>
      </c>
      <c r="W53" t="s">
        <v>113</v>
      </c>
      <c r="AB53" t="b">
        <v>0</v>
      </c>
      <c r="AC53" t="b">
        <v>0</v>
      </c>
      <c r="AE53" t="b">
        <v>0</v>
      </c>
      <c r="AG53" t="b">
        <v>0</v>
      </c>
      <c r="AI53" t="b">
        <v>0</v>
      </c>
      <c r="AK53" t="s">
        <v>65</v>
      </c>
      <c r="AL53" t="s">
        <v>66</v>
      </c>
      <c r="AM53" s="3">
        <v>46277</v>
      </c>
      <c r="AN53" s="4">
        <v>0.60421296296296301</v>
      </c>
      <c r="AO53" t="s">
        <v>534</v>
      </c>
      <c r="AP53" t="s">
        <v>535</v>
      </c>
      <c r="AQ53" t="s">
        <v>69</v>
      </c>
      <c r="AR53">
        <v>73.900000000000006</v>
      </c>
      <c r="AS53" t="s">
        <v>70</v>
      </c>
      <c r="AT53" t="s">
        <v>113</v>
      </c>
      <c r="AU53" t="s">
        <v>221</v>
      </c>
      <c r="AV53" t="s">
        <v>73</v>
      </c>
      <c r="AW53" t="str">
        <f t="shared" si="0"/>
        <v>Marketing / Mercadeo</v>
      </c>
      <c r="AX53" t="str">
        <f t="shared" si="1"/>
        <v>311 2686111</v>
      </c>
      <c r="AY53" t="str">
        <f>IFERROR(INDEX(Vacantes!$C:$C,MATCH(AT53,Vacantes!$A:$A,0)),"")</f>
        <v>127</v>
      </c>
      <c r="AZ53" t="str">
        <f>IFERROR(INDEX(Vacantes!$D:$D,MATCH(AT53,Vacantes!$A:$A,0)),"")</f>
        <v>13 de octubre de 2026</v>
      </c>
      <c r="BA53" t="str">
        <f>IFERROR(INDEX(Vacantes!$E:$E,MATCH(AT53,Vacantes!$A:$A,0)),"")</f>
        <v>1:30 p.m. a 5:30 p.m.</v>
      </c>
    </row>
    <row r="54" spans="1:53" x14ac:dyDescent="0.15">
      <c r="A54" t="s">
        <v>765</v>
      </c>
      <c r="B54" t="s">
        <v>766</v>
      </c>
      <c r="C54" t="s">
        <v>55</v>
      </c>
      <c r="D54">
        <v>1001297216</v>
      </c>
      <c r="E54" t="s">
        <v>56</v>
      </c>
      <c r="F54">
        <v>24</v>
      </c>
      <c r="G54" t="b">
        <v>1</v>
      </c>
      <c r="H54" t="s">
        <v>767</v>
      </c>
      <c r="I54" t="s">
        <v>57</v>
      </c>
      <c r="J54" t="s">
        <v>132</v>
      </c>
      <c r="K54" t="s">
        <v>133</v>
      </c>
      <c r="L54" t="s">
        <v>107</v>
      </c>
      <c r="N54" t="b">
        <v>1</v>
      </c>
      <c r="O54" t="b">
        <v>0</v>
      </c>
      <c r="P54" t="s">
        <v>61</v>
      </c>
      <c r="Q54" t="s">
        <v>61</v>
      </c>
      <c r="R54" t="s">
        <v>135</v>
      </c>
      <c r="T54" t="s">
        <v>82</v>
      </c>
      <c r="W54" t="s">
        <v>80</v>
      </c>
      <c r="AB54" t="b">
        <v>0</v>
      </c>
      <c r="AC54" t="b">
        <v>0</v>
      </c>
      <c r="AE54" t="b">
        <v>0</v>
      </c>
      <c r="AG54" t="b">
        <v>0</v>
      </c>
      <c r="AI54" t="b">
        <v>0</v>
      </c>
      <c r="AK54" t="s">
        <v>65</v>
      </c>
      <c r="AL54" t="s">
        <v>66</v>
      </c>
      <c r="AM54" s="3">
        <v>46259</v>
      </c>
      <c r="AN54" s="4">
        <v>0.90423611111111113</v>
      </c>
      <c r="AO54">
        <v>3014451602</v>
      </c>
      <c r="AP54" t="s">
        <v>768</v>
      </c>
      <c r="AQ54" t="s">
        <v>69</v>
      </c>
      <c r="AR54">
        <v>89.4</v>
      </c>
      <c r="AS54" t="s">
        <v>70</v>
      </c>
      <c r="AT54" t="s">
        <v>137</v>
      </c>
      <c r="AU54" t="s">
        <v>221</v>
      </c>
      <c r="AV54" t="s">
        <v>73</v>
      </c>
      <c r="AW54" t="str">
        <f t="shared" si="0"/>
        <v>Administración de Empresas</v>
      </c>
      <c r="AX54" t="str">
        <f t="shared" si="1"/>
        <v>3014451602</v>
      </c>
      <c r="AY54" t="str">
        <f>IFERROR(INDEX(Vacantes!$C:$C,MATCH(AT54,Vacantes!$A:$A,0)),"")</f>
        <v>127</v>
      </c>
      <c r="AZ54" t="str">
        <f>IFERROR(INDEX(Vacantes!$D:$D,MATCH(AT54,Vacantes!$A:$A,0)),"")</f>
        <v>13 de octubre de 2026</v>
      </c>
      <c r="BA54" t="str">
        <f>IFERROR(INDEX(Vacantes!$E:$E,MATCH(AT54,Vacantes!$A:$A,0)),"")</f>
        <v>7:30 a.m. a 11:30 a.m.</v>
      </c>
    </row>
    <row r="55" spans="1:53" x14ac:dyDescent="0.15">
      <c r="A55" t="s">
        <v>769</v>
      </c>
      <c r="B55" t="s">
        <v>770</v>
      </c>
      <c r="C55" t="s">
        <v>55</v>
      </c>
      <c r="D55">
        <v>1031806221</v>
      </c>
      <c r="E55" t="s">
        <v>76</v>
      </c>
      <c r="F55">
        <v>20</v>
      </c>
      <c r="G55" t="b">
        <v>1</v>
      </c>
      <c r="H55" t="s">
        <v>57</v>
      </c>
      <c r="I55" t="s">
        <v>57</v>
      </c>
      <c r="J55" t="s">
        <v>771</v>
      </c>
      <c r="L55" t="s">
        <v>772</v>
      </c>
      <c r="N55" t="b">
        <v>1</v>
      </c>
      <c r="O55" t="b">
        <v>0</v>
      </c>
      <c r="P55" t="s">
        <v>61</v>
      </c>
      <c r="Q55" t="s">
        <v>60</v>
      </c>
      <c r="R55" t="s">
        <v>135</v>
      </c>
      <c r="T55" t="s">
        <v>82</v>
      </c>
      <c r="W55" t="s">
        <v>80</v>
      </c>
      <c r="AB55" t="b">
        <v>0</v>
      </c>
      <c r="AC55" t="b">
        <v>0</v>
      </c>
      <c r="AE55" t="b">
        <v>0</v>
      </c>
      <c r="AG55" t="b">
        <v>0</v>
      </c>
      <c r="AI55" t="b">
        <v>0</v>
      </c>
      <c r="AK55" t="s">
        <v>65</v>
      </c>
      <c r="AL55" t="s">
        <v>66</v>
      </c>
      <c r="AM55" s="3">
        <v>46271</v>
      </c>
      <c r="AN55" s="4">
        <v>0.72023148148148153</v>
      </c>
      <c r="AO55" t="s">
        <v>773</v>
      </c>
      <c r="AP55" t="s">
        <v>774</v>
      </c>
      <c r="AQ55" t="s">
        <v>69</v>
      </c>
      <c r="AR55">
        <v>91.9</v>
      </c>
      <c r="AS55" t="s">
        <v>85</v>
      </c>
      <c r="AT55" t="s">
        <v>137</v>
      </c>
      <c r="AU55" t="s">
        <v>221</v>
      </c>
      <c r="AV55" t="s">
        <v>73</v>
      </c>
      <c r="AW55" t="str">
        <f t="shared" si="0"/>
        <v>Comercio Internacional</v>
      </c>
      <c r="AX55" t="str">
        <f t="shared" si="1"/>
        <v>313 3998174</v>
      </c>
      <c r="AY55" t="str">
        <f>IFERROR(INDEX(Vacantes!$C:$C,MATCH(AT55,Vacantes!$A:$A,0)),"")</f>
        <v>127</v>
      </c>
      <c r="AZ55" t="str">
        <f>IFERROR(INDEX(Vacantes!$D:$D,MATCH(AT55,Vacantes!$A:$A,0)),"")</f>
        <v>13 de octubre de 2026</v>
      </c>
      <c r="BA55" t="str">
        <f>IFERROR(INDEX(Vacantes!$E:$E,MATCH(AT55,Vacantes!$A:$A,0)),"")</f>
        <v>7:30 a.m. a 11:30 a.m.</v>
      </c>
    </row>
    <row r="56" spans="1:53" x14ac:dyDescent="0.15">
      <c r="A56" t="s">
        <v>775</v>
      </c>
      <c r="B56" t="s">
        <v>776</v>
      </c>
      <c r="C56" t="s">
        <v>55</v>
      </c>
      <c r="D56">
        <v>1013260603</v>
      </c>
      <c r="E56" t="s">
        <v>56</v>
      </c>
      <c r="F56">
        <v>20</v>
      </c>
      <c r="G56" t="b">
        <v>1</v>
      </c>
      <c r="H56" t="s">
        <v>88</v>
      </c>
      <c r="I56" t="s">
        <v>57</v>
      </c>
      <c r="J56" t="s">
        <v>106</v>
      </c>
      <c r="L56" t="s">
        <v>143</v>
      </c>
      <c r="N56" t="b">
        <v>0</v>
      </c>
      <c r="O56" t="b">
        <v>0</v>
      </c>
      <c r="P56" t="s">
        <v>61</v>
      </c>
      <c r="Q56" t="s">
        <v>60</v>
      </c>
      <c r="R56" t="s">
        <v>135</v>
      </c>
      <c r="W56" t="s">
        <v>125</v>
      </c>
      <c r="X56" t="s">
        <v>306</v>
      </c>
      <c r="AB56" t="b">
        <v>0</v>
      </c>
      <c r="AC56" t="b">
        <v>0</v>
      </c>
      <c r="AE56" t="b">
        <v>0</v>
      </c>
      <c r="AG56" t="b">
        <v>0</v>
      </c>
      <c r="AI56" t="b">
        <v>0</v>
      </c>
      <c r="AK56" t="s">
        <v>65</v>
      </c>
      <c r="AL56" t="s">
        <v>66</v>
      </c>
      <c r="AM56" s="3">
        <v>46273</v>
      </c>
      <c r="AN56" s="4">
        <v>0.93543981481481486</v>
      </c>
      <c r="AO56" t="s">
        <v>777</v>
      </c>
      <c r="AP56" t="s">
        <v>778</v>
      </c>
      <c r="AQ56" t="s">
        <v>69</v>
      </c>
      <c r="AR56">
        <v>95.3</v>
      </c>
      <c r="AS56" t="s">
        <v>70</v>
      </c>
      <c r="AT56" t="s">
        <v>137</v>
      </c>
      <c r="AU56" t="s">
        <v>221</v>
      </c>
      <c r="AV56" t="s">
        <v>73</v>
      </c>
      <c r="AW56" t="str">
        <f t="shared" si="0"/>
        <v>Ingeniería Industrial</v>
      </c>
      <c r="AX56" t="str">
        <f t="shared" si="1"/>
        <v>315 6071565</v>
      </c>
      <c r="AY56" t="str">
        <f>IFERROR(INDEX(Vacantes!$C:$C,MATCH(AT56,Vacantes!$A:$A,0)),"")</f>
        <v>127</v>
      </c>
      <c r="AZ56" t="str">
        <f>IFERROR(INDEX(Vacantes!$D:$D,MATCH(AT56,Vacantes!$A:$A,0)),"")</f>
        <v>13 de octubre de 2026</v>
      </c>
      <c r="BA56" t="str">
        <f>IFERROR(INDEX(Vacantes!$E:$E,MATCH(AT56,Vacantes!$A:$A,0)),"")</f>
        <v>7:30 a.m. a 11:30 a.m.</v>
      </c>
    </row>
    <row r="57" spans="1:53" x14ac:dyDescent="0.15">
      <c r="A57" t="s">
        <v>779</v>
      </c>
      <c r="B57" t="s">
        <v>780</v>
      </c>
      <c r="C57" t="s">
        <v>55</v>
      </c>
      <c r="D57">
        <v>1000708616</v>
      </c>
      <c r="E57" t="s">
        <v>56</v>
      </c>
      <c r="F57">
        <v>23</v>
      </c>
      <c r="G57" t="b">
        <v>1</v>
      </c>
      <c r="H57" t="s">
        <v>131</v>
      </c>
      <c r="I57" t="s">
        <v>57</v>
      </c>
      <c r="J57" t="s">
        <v>106</v>
      </c>
      <c r="L57" t="s">
        <v>107</v>
      </c>
      <c r="N57" t="b">
        <v>1</v>
      </c>
      <c r="O57" t="b">
        <v>0</v>
      </c>
      <c r="P57" t="s">
        <v>61</v>
      </c>
      <c r="Q57" t="s">
        <v>60</v>
      </c>
      <c r="R57" t="s">
        <v>135</v>
      </c>
      <c r="W57" t="s">
        <v>125</v>
      </c>
      <c r="X57" t="s">
        <v>315</v>
      </c>
      <c r="AB57" t="b">
        <v>0</v>
      </c>
      <c r="AC57" t="b">
        <v>0</v>
      </c>
      <c r="AE57" t="b">
        <v>0</v>
      </c>
      <c r="AG57" t="b">
        <v>0</v>
      </c>
      <c r="AI57" t="b">
        <v>0</v>
      </c>
      <c r="AK57" t="s">
        <v>202</v>
      </c>
      <c r="AL57" t="s">
        <v>66</v>
      </c>
      <c r="AM57" s="3">
        <v>46261</v>
      </c>
      <c r="AN57" s="4">
        <v>0.85281249999999997</v>
      </c>
      <c r="AO57" t="s">
        <v>781</v>
      </c>
      <c r="AP57" t="s">
        <v>782</v>
      </c>
      <c r="AQ57" t="s">
        <v>69</v>
      </c>
      <c r="AR57">
        <v>87.8</v>
      </c>
      <c r="AS57" t="s">
        <v>70</v>
      </c>
      <c r="AT57" t="s">
        <v>137</v>
      </c>
      <c r="AU57" t="s">
        <v>221</v>
      </c>
      <c r="AV57" t="s">
        <v>73</v>
      </c>
      <c r="AW57" t="str">
        <f t="shared" si="0"/>
        <v>Administración de Empresas</v>
      </c>
      <c r="AX57" t="str">
        <f t="shared" si="1"/>
        <v>311 2459346</v>
      </c>
      <c r="AY57" t="str">
        <f>IFERROR(INDEX(Vacantes!$C:$C,MATCH(AT57,Vacantes!$A:$A,0)),"")</f>
        <v>127</v>
      </c>
      <c r="AZ57" t="str">
        <f>IFERROR(INDEX(Vacantes!$D:$D,MATCH(AT57,Vacantes!$A:$A,0)),"")</f>
        <v>13 de octubre de 2026</v>
      </c>
      <c r="BA57" t="str">
        <f>IFERROR(INDEX(Vacantes!$E:$E,MATCH(AT57,Vacantes!$A:$A,0)),"")</f>
        <v>7:30 a.m. a 11:30 a.m.</v>
      </c>
    </row>
    <row r="58" spans="1:53" x14ac:dyDescent="0.15">
      <c r="A58" t="s">
        <v>783</v>
      </c>
      <c r="B58" t="s">
        <v>784</v>
      </c>
      <c r="C58" t="s">
        <v>55</v>
      </c>
      <c r="D58">
        <v>1031648377</v>
      </c>
      <c r="E58" t="s">
        <v>56</v>
      </c>
      <c r="F58">
        <v>21</v>
      </c>
      <c r="G58" t="b">
        <v>1</v>
      </c>
      <c r="I58" t="s">
        <v>57</v>
      </c>
      <c r="J58" t="s">
        <v>106</v>
      </c>
      <c r="L58" t="s">
        <v>135</v>
      </c>
      <c r="N58" t="b">
        <v>1</v>
      </c>
      <c r="O58" t="b">
        <v>0</v>
      </c>
      <c r="P58" t="s">
        <v>61</v>
      </c>
      <c r="Q58" t="s">
        <v>60</v>
      </c>
      <c r="R58" t="s">
        <v>135</v>
      </c>
      <c r="W58" t="s">
        <v>108</v>
      </c>
      <c r="AB58" t="b">
        <v>0</v>
      </c>
      <c r="AC58" t="b">
        <v>0</v>
      </c>
      <c r="AE58" t="b">
        <v>0</v>
      </c>
      <c r="AG58" t="b">
        <v>0</v>
      </c>
      <c r="AI58" t="b">
        <v>0</v>
      </c>
      <c r="AK58" t="s">
        <v>65</v>
      </c>
      <c r="AL58" t="s">
        <v>66</v>
      </c>
      <c r="AM58" s="3">
        <v>46278</v>
      </c>
      <c r="AN58" s="4">
        <v>0.39740740740740738</v>
      </c>
      <c r="AO58">
        <v>0</v>
      </c>
      <c r="AP58" t="s">
        <v>785</v>
      </c>
      <c r="AQ58" t="s">
        <v>69</v>
      </c>
      <c r="AR58">
        <v>74.400000000000006</v>
      </c>
      <c r="AS58" t="s">
        <v>70</v>
      </c>
      <c r="AT58" t="s">
        <v>137</v>
      </c>
      <c r="AU58" t="s">
        <v>221</v>
      </c>
      <c r="AV58" t="s">
        <v>73</v>
      </c>
      <c r="AW58" t="str">
        <f t="shared" si="0"/>
        <v>Logística</v>
      </c>
      <c r="AX58" t="str">
        <f t="shared" si="1"/>
        <v/>
      </c>
      <c r="AY58" t="str">
        <f>IFERROR(INDEX(Vacantes!$C:$C,MATCH(AT58,Vacantes!$A:$A,0)),"")</f>
        <v>127</v>
      </c>
      <c r="AZ58" t="str">
        <f>IFERROR(INDEX(Vacantes!$D:$D,MATCH(AT58,Vacantes!$A:$A,0)),"")</f>
        <v>13 de octubre de 2026</v>
      </c>
      <c r="BA58" t="str">
        <f>IFERROR(INDEX(Vacantes!$E:$E,MATCH(AT58,Vacantes!$A:$A,0)),"")</f>
        <v>7:30 a.m. a 11:30 a.m.</v>
      </c>
    </row>
    <row r="59" spans="1:53" x14ac:dyDescent="0.15">
      <c r="A59" t="s">
        <v>786</v>
      </c>
      <c r="B59" t="s">
        <v>787</v>
      </c>
      <c r="C59" t="s">
        <v>55</v>
      </c>
      <c r="D59">
        <v>1031641717</v>
      </c>
      <c r="E59" t="s">
        <v>76</v>
      </c>
      <c r="F59">
        <v>21</v>
      </c>
      <c r="G59" t="b">
        <v>1</v>
      </c>
      <c r="H59" t="s">
        <v>57</v>
      </c>
      <c r="I59" t="s">
        <v>57</v>
      </c>
      <c r="J59" t="s">
        <v>495</v>
      </c>
      <c r="L59" t="s">
        <v>143</v>
      </c>
      <c r="N59" t="b">
        <v>0</v>
      </c>
      <c r="O59" t="b">
        <v>0</v>
      </c>
      <c r="P59" t="s">
        <v>60</v>
      </c>
      <c r="Q59" t="s">
        <v>61</v>
      </c>
      <c r="R59" t="s">
        <v>135</v>
      </c>
      <c r="W59" t="s">
        <v>125</v>
      </c>
      <c r="X59" t="s">
        <v>315</v>
      </c>
      <c r="AB59" t="b">
        <v>0</v>
      </c>
      <c r="AC59" t="b">
        <v>0</v>
      </c>
      <c r="AE59" t="b">
        <v>0</v>
      </c>
      <c r="AG59" t="b">
        <v>0</v>
      </c>
      <c r="AI59" t="b">
        <v>0</v>
      </c>
      <c r="AK59" t="s">
        <v>248</v>
      </c>
      <c r="AL59" t="s">
        <v>66</v>
      </c>
      <c r="AM59" s="3">
        <v>46269</v>
      </c>
      <c r="AN59" s="4">
        <v>0.24934027777777781</v>
      </c>
      <c r="AO59" t="s">
        <v>788</v>
      </c>
      <c r="AP59" t="s">
        <v>789</v>
      </c>
      <c r="AQ59" t="s">
        <v>69</v>
      </c>
      <c r="AR59">
        <v>93.8</v>
      </c>
      <c r="AS59" t="s">
        <v>85</v>
      </c>
      <c r="AT59" t="s">
        <v>137</v>
      </c>
      <c r="AU59" t="s">
        <v>221</v>
      </c>
      <c r="AV59" t="s">
        <v>73</v>
      </c>
      <c r="AW59" t="str">
        <f t="shared" si="0"/>
        <v>Ingeniería Industrial</v>
      </c>
      <c r="AX59" t="str">
        <f t="shared" si="1"/>
        <v>313 8429527</v>
      </c>
      <c r="AY59" t="str">
        <f>IFERROR(INDEX(Vacantes!$C:$C,MATCH(AT59,Vacantes!$A:$A,0)),"")</f>
        <v>127</v>
      </c>
      <c r="AZ59" t="str">
        <f>IFERROR(INDEX(Vacantes!$D:$D,MATCH(AT59,Vacantes!$A:$A,0)),"")</f>
        <v>13 de octubre de 2026</v>
      </c>
      <c r="BA59" t="str">
        <f>IFERROR(INDEX(Vacantes!$E:$E,MATCH(AT59,Vacantes!$A:$A,0)),"")</f>
        <v>7:30 a.m. a 11:30 a.m.</v>
      </c>
    </row>
    <row r="60" spans="1:53" x14ac:dyDescent="0.15">
      <c r="A60" t="s">
        <v>790</v>
      </c>
      <c r="B60" t="s">
        <v>791</v>
      </c>
      <c r="C60" t="s">
        <v>55</v>
      </c>
      <c r="D60">
        <v>1000180082</v>
      </c>
      <c r="E60" t="s">
        <v>76</v>
      </c>
      <c r="F60">
        <v>22</v>
      </c>
      <c r="G60" t="b">
        <v>1</v>
      </c>
      <c r="H60" t="s">
        <v>88</v>
      </c>
      <c r="I60" t="s">
        <v>57</v>
      </c>
      <c r="J60" t="s">
        <v>132</v>
      </c>
      <c r="K60" t="s">
        <v>133</v>
      </c>
      <c r="L60" t="s">
        <v>134</v>
      </c>
      <c r="N60" t="b">
        <v>0</v>
      </c>
      <c r="O60" t="b">
        <v>0</v>
      </c>
      <c r="P60" t="s">
        <v>61</v>
      </c>
      <c r="Q60" t="s">
        <v>60</v>
      </c>
      <c r="R60" t="s">
        <v>135</v>
      </c>
      <c r="W60" t="s">
        <v>113</v>
      </c>
      <c r="AB60" t="b">
        <v>0</v>
      </c>
      <c r="AC60" t="b">
        <v>0</v>
      </c>
      <c r="AE60" t="b">
        <v>0</v>
      </c>
      <c r="AG60" t="b">
        <v>0</v>
      </c>
      <c r="AI60" t="b">
        <v>0</v>
      </c>
      <c r="AK60" t="s">
        <v>248</v>
      </c>
      <c r="AL60" t="s">
        <v>66</v>
      </c>
      <c r="AM60" s="3">
        <v>46264</v>
      </c>
      <c r="AN60" s="4">
        <v>0.78413194444444445</v>
      </c>
      <c r="AO60">
        <v>3016201098</v>
      </c>
      <c r="AP60" t="s">
        <v>792</v>
      </c>
      <c r="AQ60" t="s">
        <v>69</v>
      </c>
      <c r="AR60">
        <v>87.1</v>
      </c>
      <c r="AS60" t="s">
        <v>70</v>
      </c>
      <c r="AT60" t="s">
        <v>137</v>
      </c>
      <c r="AU60" t="s">
        <v>221</v>
      </c>
      <c r="AV60" t="s">
        <v>73</v>
      </c>
      <c r="AW60" t="str">
        <f t="shared" si="0"/>
        <v>Negocios Internacionales</v>
      </c>
      <c r="AX60" t="str">
        <f t="shared" si="1"/>
        <v>3016201098</v>
      </c>
      <c r="AY60" t="str">
        <f>IFERROR(INDEX(Vacantes!$C:$C,MATCH(AT60,Vacantes!$A:$A,0)),"")</f>
        <v>127</v>
      </c>
      <c r="AZ60" t="str">
        <f>IFERROR(INDEX(Vacantes!$D:$D,MATCH(AT60,Vacantes!$A:$A,0)),"")</f>
        <v>13 de octubre de 2026</v>
      </c>
      <c r="BA60" t="str">
        <f>IFERROR(INDEX(Vacantes!$E:$E,MATCH(AT60,Vacantes!$A:$A,0)),"")</f>
        <v>7:30 a.m. a 11:30 a.m.</v>
      </c>
    </row>
    <row r="61" spans="1:53" x14ac:dyDescent="0.15">
      <c r="A61" t="s">
        <v>933</v>
      </c>
      <c r="B61" t="s">
        <v>934</v>
      </c>
      <c r="C61" t="s">
        <v>55</v>
      </c>
      <c r="D61">
        <v>1014736816</v>
      </c>
      <c r="E61" t="s">
        <v>76</v>
      </c>
      <c r="F61">
        <v>22</v>
      </c>
      <c r="G61" t="b">
        <v>1</v>
      </c>
      <c r="H61" t="s">
        <v>935</v>
      </c>
      <c r="I61" t="s">
        <v>57</v>
      </c>
      <c r="J61" t="s">
        <v>123</v>
      </c>
      <c r="L61" t="s">
        <v>936</v>
      </c>
      <c r="N61" t="b">
        <v>0</v>
      </c>
      <c r="O61" t="b">
        <v>0</v>
      </c>
      <c r="P61" t="s">
        <v>144</v>
      </c>
      <c r="Q61" t="s">
        <v>60</v>
      </c>
      <c r="R61" t="s">
        <v>244</v>
      </c>
      <c r="W61" t="s">
        <v>135</v>
      </c>
      <c r="AB61" t="b">
        <v>0</v>
      </c>
      <c r="AC61" t="b">
        <v>0</v>
      </c>
      <c r="AE61" t="b">
        <v>0</v>
      </c>
      <c r="AG61" t="b">
        <v>0</v>
      </c>
      <c r="AI61" t="b">
        <v>0</v>
      </c>
      <c r="AK61" t="s">
        <v>65</v>
      </c>
      <c r="AL61" t="s">
        <v>66</v>
      </c>
      <c r="AM61" s="3">
        <v>46261</v>
      </c>
      <c r="AN61" s="4">
        <v>0.55489583333333337</v>
      </c>
      <c r="AO61" t="s">
        <v>937</v>
      </c>
      <c r="AP61" t="s">
        <v>938</v>
      </c>
      <c r="AQ61" t="s">
        <v>69</v>
      </c>
      <c r="AR61">
        <v>89.1</v>
      </c>
      <c r="AS61" t="s">
        <v>70</v>
      </c>
      <c r="AT61" t="s">
        <v>939</v>
      </c>
      <c r="AU61" t="s">
        <v>221</v>
      </c>
      <c r="AV61" t="s">
        <v>73</v>
      </c>
      <c r="AW61" t="str">
        <f t="shared" si="0"/>
        <v>Relaciones Internacionales</v>
      </c>
      <c r="AX61" t="str">
        <f t="shared" si="1"/>
        <v>310 3765539</v>
      </c>
      <c r="AY61" t="str">
        <f>IFERROR(INDEX(Vacantes!$C:$C,MATCH(AT61,Vacantes!$A:$A,0)),"")</f>
        <v>127</v>
      </c>
      <c r="AZ61" t="str">
        <f>IFERROR(INDEX(Vacantes!$D:$D,MATCH(AT61,Vacantes!$A:$A,0)),"")</f>
        <v>13 de octubre de 2026</v>
      </c>
      <c r="BA61" t="str">
        <f>IFERROR(INDEX(Vacantes!$E:$E,MATCH(AT61,Vacantes!$A:$A,0)),"")</f>
        <v>7:30 a.m. a 11:30 a.m.</v>
      </c>
    </row>
    <row r="62" spans="1:53" x14ac:dyDescent="0.15">
      <c r="A62" t="s">
        <v>940</v>
      </c>
      <c r="B62" t="s">
        <v>941</v>
      </c>
      <c r="C62" t="s">
        <v>55</v>
      </c>
      <c r="D62">
        <v>1077142999</v>
      </c>
      <c r="E62" t="s">
        <v>76</v>
      </c>
      <c r="F62">
        <v>21</v>
      </c>
      <c r="G62" t="b">
        <v>1</v>
      </c>
      <c r="I62" t="s">
        <v>57</v>
      </c>
      <c r="J62" t="s">
        <v>495</v>
      </c>
      <c r="L62" t="s">
        <v>277</v>
      </c>
      <c r="N62" t="b">
        <v>0</v>
      </c>
      <c r="O62" t="b">
        <v>0</v>
      </c>
      <c r="P62" t="s">
        <v>60</v>
      </c>
      <c r="Q62" t="s">
        <v>144</v>
      </c>
      <c r="R62" t="s">
        <v>64</v>
      </c>
      <c r="W62" t="s">
        <v>108</v>
      </c>
      <c r="Z62" t="s">
        <v>151</v>
      </c>
      <c r="AB62" t="b">
        <v>0</v>
      </c>
      <c r="AC62" t="b">
        <v>0</v>
      </c>
      <c r="AE62" t="b">
        <v>0</v>
      </c>
      <c r="AG62" t="b">
        <v>0</v>
      </c>
      <c r="AI62" t="b">
        <v>0</v>
      </c>
      <c r="AK62" t="s">
        <v>202</v>
      </c>
      <c r="AL62" t="s">
        <v>66</v>
      </c>
      <c r="AM62" s="3">
        <v>46257</v>
      </c>
      <c r="AN62" s="4">
        <v>0.84240740740740738</v>
      </c>
      <c r="AO62" t="s">
        <v>942</v>
      </c>
      <c r="AP62" t="s">
        <v>943</v>
      </c>
      <c r="AQ62" t="s">
        <v>69</v>
      </c>
      <c r="AR62">
        <v>90.9</v>
      </c>
      <c r="AS62" t="s">
        <v>70</v>
      </c>
      <c r="AT62" t="s">
        <v>939</v>
      </c>
      <c r="AU62" t="s">
        <v>221</v>
      </c>
      <c r="AV62" t="s">
        <v>73</v>
      </c>
      <c r="AW62" t="str">
        <f t="shared" si="0"/>
        <v>Psicología</v>
      </c>
      <c r="AX62" t="str">
        <f t="shared" si="1"/>
        <v>322 8756281</v>
      </c>
      <c r="AY62" t="str">
        <f>IFERROR(INDEX(Vacantes!$C:$C,MATCH(AT62,Vacantes!$A:$A,0)),"")</f>
        <v>127</v>
      </c>
      <c r="AZ62" t="str">
        <f>IFERROR(INDEX(Vacantes!$D:$D,MATCH(AT62,Vacantes!$A:$A,0)),"")</f>
        <v>13 de octubre de 2026</v>
      </c>
      <c r="BA62" t="str">
        <f>IFERROR(INDEX(Vacantes!$E:$E,MATCH(AT62,Vacantes!$A:$A,0)),"")</f>
        <v>7:30 a.m. a 11:30 a.m.</v>
      </c>
    </row>
    <row r="63" spans="1:53" x14ac:dyDescent="0.15">
      <c r="A63" t="s">
        <v>944</v>
      </c>
      <c r="B63" t="s">
        <v>945</v>
      </c>
      <c r="C63" t="s">
        <v>55</v>
      </c>
      <c r="D63">
        <v>1057571944</v>
      </c>
      <c r="E63" t="s">
        <v>76</v>
      </c>
      <c r="F63">
        <v>22</v>
      </c>
      <c r="G63" t="b">
        <v>1</v>
      </c>
      <c r="H63" t="s">
        <v>946</v>
      </c>
      <c r="I63" t="s">
        <v>57</v>
      </c>
      <c r="J63" t="s">
        <v>554</v>
      </c>
      <c r="L63" t="s">
        <v>143</v>
      </c>
      <c r="N63" t="b">
        <v>0</v>
      </c>
      <c r="O63" t="b">
        <v>0</v>
      </c>
      <c r="P63" t="s">
        <v>60</v>
      </c>
      <c r="Q63" t="s">
        <v>60</v>
      </c>
      <c r="R63" t="s">
        <v>64</v>
      </c>
      <c r="W63" t="s">
        <v>113</v>
      </c>
      <c r="Z63" t="s">
        <v>152</v>
      </c>
      <c r="AB63" t="b">
        <v>0</v>
      </c>
      <c r="AC63" t="b">
        <v>0</v>
      </c>
      <c r="AE63" t="b">
        <v>0</v>
      </c>
      <c r="AG63" t="b">
        <v>0</v>
      </c>
      <c r="AI63" t="b">
        <v>0</v>
      </c>
      <c r="AK63" t="s">
        <v>94</v>
      </c>
      <c r="AL63" t="s">
        <v>66</v>
      </c>
      <c r="AM63" s="3">
        <v>46269</v>
      </c>
      <c r="AN63" s="4">
        <v>0.2494328703703704</v>
      </c>
      <c r="AO63" t="s">
        <v>947</v>
      </c>
      <c r="AP63" t="s">
        <v>948</v>
      </c>
      <c r="AQ63" t="s">
        <v>69</v>
      </c>
      <c r="AR63">
        <v>83.2</v>
      </c>
      <c r="AS63" t="s">
        <v>70</v>
      </c>
      <c r="AT63" t="s">
        <v>939</v>
      </c>
      <c r="AU63" t="s">
        <v>221</v>
      </c>
      <c r="AV63" t="s">
        <v>73</v>
      </c>
      <c r="AW63" t="str">
        <f t="shared" si="0"/>
        <v>Ingeniería Industrial</v>
      </c>
      <c r="AX63" t="str">
        <f t="shared" si="1"/>
        <v>313 8737070</v>
      </c>
      <c r="AY63" t="str">
        <f>IFERROR(INDEX(Vacantes!$C:$C,MATCH(AT63,Vacantes!$A:$A,0)),"")</f>
        <v>127</v>
      </c>
      <c r="AZ63" t="str">
        <f>IFERROR(INDEX(Vacantes!$D:$D,MATCH(AT63,Vacantes!$A:$A,0)),"")</f>
        <v>13 de octubre de 2026</v>
      </c>
      <c r="BA63" t="str">
        <f>IFERROR(INDEX(Vacantes!$E:$E,MATCH(AT63,Vacantes!$A:$A,0)),"")</f>
        <v>7:30 a.m. a 11:30 a.m.</v>
      </c>
    </row>
    <row r="64" spans="1:53" x14ac:dyDescent="0.15">
      <c r="A64" t="s">
        <v>949</v>
      </c>
      <c r="B64" t="s">
        <v>950</v>
      </c>
      <c r="C64" t="s">
        <v>55</v>
      </c>
      <c r="D64">
        <v>1027280496</v>
      </c>
      <c r="E64" t="s">
        <v>76</v>
      </c>
      <c r="F64">
        <v>22</v>
      </c>
      <c r="G64" t="b">
        <v>1</v>
      </c>
      <c r="H64" t="s">
        <v>57</v>
      </c>
      <c r="I64" t="s">
        <v>57</v>
      </c>
      <c r="J64" t="s">
        <v>242</v>
      </c>
      <c r="L64" t="s">
        <v>521</v>
      </c>
      <c r="N64" t="b">
        <v>0</v>
      </c>
      <c r="O64" t="b">
        <v>0</v>
      </c>
      <c r="P64" t="s">
        <v>61</v>
      </c>
      <c r="Q64" t="s">
        <v>144</v>
      </c>
      <c r="R64" t="s">
        <v>108</v>
      </c>
      <c r="U64" t="s">
        <v>151</v>
      </c>
      <c r="W64" t="s">
        <v>64</v>
      </c>
      <c r="AB64" t="b">
        <v>0</v>
      </c>
      <c r="AC64" t="b">
        <v>0</v>
      </c>
      <c r="AE64" t="b">
        <v>0</v>
      </c>
      <c r="AG64" t="b">
        <v>0</v>
      </c>
      <c r="AI64" t="b">
        <v>0</v>
      </c>
      <c r="AK64" t="s">
        <v>65</v>
      </c>
      <c r="AL64" t="s">
        <v>66</v>
      </c>
      <c r="AM64" s="3">
        <v>46276</v>
      </c>
      <c r="AN64" s="4">
        <v>0.5963194444444444</v>
      </c>
      <c r="AO64" t="s">
        <v>951</v>
      </c>
      <c r="AP64" t="s">
        <v>952</v>
      </c>
      <c r="AQ64" t="s">
        <v>69</v>
      </c>
      <c r="AR64">
        <v>76.900000000000006</v>
      </c>
      <c r="AS64" t="s">
        <v>85</v>
      </c>
      <c r="AT64" t="s">
        <v>939</v>
      </c>
      <c r="AU64" t="s">
        <v>221</v>
      </c>
      <c r="AV64" t="s">
        <v>73</v>
      </c>
      <c r="AW64" t="str">
        <f t="shared" si="0"/>
        <v>Comunicación social</v>
      </c>
      <c r="AX64" t="str">
        <f t="shared" si="1"/>
        <v>315 0190006</v>
      </c>
      <c r="AY64" t="str">
        <f>IFERROR(INDEX(Vacantes!$C:$C,MATCH(AT64,Vacantes!$A:$A,0)),"")</f>
        <v>127</v>
      </c>
      <c r="AZ64" t="str">
        <f>IFERROR(INDEX(Vacantes!$D:$D,MATCH(AT64,Vacantes!$A:$A,0)),"")</f>
        <v>13 de octubre de 2026</v>
      </c>
      <c r="BA64" t="str">
        <f>IFERROR(INDEX(Vacantes!$E:$E,MATCH(AT64,Vacantes!$A:$A,0)),"")</f>
        <v>7:30 a.m. a 11:30 a.m.</v>
      </c>
    </row>
    <row r="65" spans="1:53" x14ac:dyDescent="0.15">
      <c r="A65" t="s">
        <v>953</v>
      </c>
      <c r="B65" t="s">
        <v>954</v>
      </c>
      <c r="C65" t="s">
        <v>55</v>
      </c>
      <c r="D65">
        <v>1109186833</v>
      </c>
      <c r="E65" t="s">
        <v>76</v>
      </c>
      <c r="F65">
        <v>20</v>
      </c>
      <c r="G65" t="b">
        <v>1</v>
      </c>
      <c r="I65" t="s">
        <v>57</v>
      </c>
      <c r="J65" t="s">
        <v>78</v>
      </c>
      <c r="L65" t="s">
        <v>277</v>
      </c>
      <c r="N65" t="b">
        <v>1</v>
      </c>
      <c r="O65" t="b">
        <v>0</v>
      </c>
      <c r="P65" t="s">
        <v>60</v>
      </c>
      <c r="Q65" t="s">
        <v>144</v>
      </c>
      <c r="R65" t="s">
        <v>64</v>
      </c>
      <c r="U65" t="s">
        <v>152</v>
      </c>
      <c r="W65" t="s">
        <v>64</v>
      </c>
      <c r="Z65" t="s">
        <v>151</v>
      </c>
      <c r="AB65" t="b">
        <v>0</v>
      </c>
      <c r="AC65" t="b">
        <v>0</v>
      </c>
      <c r="AE65" t="b">
        <v>0</v>
      </c>
      <c r="AG65" t="b">
        <v>0</v>
      </c>
      <c r="AI65" t="b">
        <v>0</v>
      </c>
      <c r="AK65" t="s">
        <v>65</v>
      </c>
      <c r="AL65" t="s">
        <v>66</v>
      </c>
      <c r="AM65" s="3">
        <v>46277</v>
      </c>
      <c r="AN65" s="4">
        <v>0.49733796296296301</v>
      </c>
      <c r="AO65">
        <v>3197399170</v>
      </c>
      <c r="AP65" t="s">
        <v>955</v>
      </c>
      <c r="AQ65" t="s">
        <v>69</v>
      </c>
      <c r="AR65">
        <v>96.7</v>
      </c>
      <c r="AS65" t="s">
        <v>70</v>
      </c>
      <c r="AT65" t="s">
        <v>939</v>
      </c>
      <c r="AU65" t="s">
        <v>221</v>
      </c>
      <c r="AV65" t="s">
        <v>73</v>
      </c>
      <c r="AW65" t="str">
        <f t="shared" si="0"/>
        <v>Psicología</v>
      </c>
      <c r="AX65" t="str">
        <f t="shared" si="1"/>
        <v>3197399170</v>
      </c>
      <c r="AY65" t="str">
        <f>IFERROR(INDEX(Vacantes!$C:$C,MATCH(AT65,Vacantes!$A:$A,0)),"")</f>
        <v>127</v>
      </c>
      <c r="AZ65" t="str">
        <f>IFERROR(INDEX(Vacantes!$D:$D,MATCH(AT65,Vacantes!$A:$A,0)),"")</f>
        <v>13 de octubre de 2026</v>
      </c>
      <c r="BA65" t="str">
        <f>IFERROR(INDEX(Vacantes!$E:$E,MATCH(AT65,Vacantes!$A:$A,0)),"")</f>
        <v>7:30 a.m. a 11:30 a.m.</v>
      </c>
    </row>
    <row r="66" spans="1:53" x14ac:dyDescent="0.15">
      <c r="A66" t="s">
        <v>956</v>
      </c>
      <c r="B66" t="s">
        <v>957</v>
      </c>
      <c r="C66" t="s">
        <v>55</v>
      </c>
      <c r="D66">
        <v>1013256959</v>
      </c>
      <c r="E66" t="s">
        <v>76</v>
      </c>
      <c r="F66">
        <v>22</v>
      </c>
      <c r="G66" t="b">
        <v>1</v>
      </c>
      <c r="H66" t="s">
        <v>88</v>
      </c>
      <c r="I66" t="s">
        <v>57</v>
      </c>
      <c r="J66" t="s">
        <v>106</v>
      </c>
      <c r="L66" t="s">
        <v>107</v>
      </c>
      <c r="N66" t="b">
        <v>0</v>
      </c>
      <c r="O66" t="b">
        <v>0</v>
      </c>
      <c r="P66" t="s">
        <v>61</v>
      </c>
      <c r="Q66" t="s">
        <v>144</v>
      </c>
      <c r="R66" t="s">
        <v>108</v>
      </c>
      <c r="U66" t="s">
        <v>152</v>
      </c>
      <c r="W66" t="s">
        <v>64</v>
      </c>
      <c r="AB66" t="b">
        <v>0</v>
      </c>
      <c r="AC66" t="b">
        <v>0</v>
      </c>
      <c r="AE66" t="b">
        <v>0</v>
      </c>
      <c r="AG66" t="b">
        <v>0</v>
      </c>
      <c r="AI66" t="b">
        <v>0</v>
      </c>
      <c r="AK66" t="s">
        <v>65</v>
      </c>
      <c r="AL66" t="s">
        <v>66</v>
      </c>
      <c r="AM66" s="3">
        <v>46261</v>
      </c>
      <c r="AN66" s="4">
        <v>0.89310185185185187</v>
      </c>
      <c r="AO66">
        <v>3123483364</v>
      </c>
      <c r="AP66" t="s">
        <v>958</v>
      </c>
      <c r="AQ66" t="s">
        <v>69</v>
      </c>
      <c r="AR66">
        <v>78.400000000000006</v>
      </c>
      <c r="AS66" t="s">
        <v>70</v>
      </c>
      <c r="AT66" t="s">
        <v>939</v>
      </c>
      <c r="AU66" t="s">
        <v>221</v>
      </c>
      <c r="AV66" t="s">
        <v>73</v>
      </c>
      <c r="AW66" t="str">
        <f t="shared" ref="AW66:AW129" si="2">IF(L66="Otra",IF(M66="","Otra",M66&amp;""),L66&amp;"")</f>
        <v>Administración de Empresas</v>
      </c>
      <c r="AX66" t="str">
        <f t="shared" ref="AX66:AX129" si="3">IF(OR(AO66="",AO66=0),"",TRIM(AO66))</f>
        <v>3123483364</v>
      </c>
      <c r="AY66" t="str">
        <f>IFERROR(INDEX(Vacantes!$C:$C,MATCH(AT66,Vacantes!$A:$A,0)),"")</f>
        <v>127</v>
      </c>
      <c r="AZ66" t="str">
        <f>IFERROR(INDEX(Vacantes!$D:$D,MATCH(AT66,Vacantes!$A:$A,0)),"")</f>
        <v>13 de octubre de 2026</v>
      </c>
      <c r="BA66" t="str">
        <f>IFERROR(INDEX(Vacantes!$E:$E,MATCH(AT66,Vacantes!$A:$A,0)),"")</f>
        <v>7:30 a.m. a 11:30 a.m.</v>
      </c>
    </row>
    <row r="67" spans="1:53" x14ac:dyDescent="0.15">
      <c r="A67" t="s">
        <v>959</v>
      </c>
      <c r="B67" t="s">
        <v>960</v>
      </c>
      <c r="C67" t="s">
        <v>55</v>
      </c>
      <c r="D67">
        <v>1019153214</v>
      </c>
      <c r="E67" t="s">
        <v>56</v>
      </c>
      <c r="F67">
        <v>26</v>
      </c>
      <c r="G67" t="b">
        <v>1</v>
      </c>
      <c r="H67" t="s">
        <v>88</v>
      </c>
      <c r="I67" t="s">
        <v>57</v>
      </c>
      <c r="J67" t="s">
        <v>234</v>
      </c>
      <c r="L67" t="s">
        <v>107</v>
      </c>
      <c r="N67" t="b">
        <v>0</v>
      </c>
      <c r="O67" t="b">
        <v>0</v>
      </c>
      <c r="P67" t="s">
        <v>60</v>
      </c>
      <c r="Q67" t="s">
        <v>60</v>
      </c>
      <c r="R67" t="s">
        <v>64</v>
      </c>
      <c r="W67" t="s">
        <v>108</v>
      </c>
      <c r="Z67" t="s">
        <v>151</v>
      </c>
      <c r="AB67" t="b">
        <v>0</v>
      </c>
      <c r="AC67" t="b">
        <v>0</v>
      </c>
      <c r="AE67" t="b">
        <v>0</v>
      </c>
      <c r="AG67" t="b">
        <v>0</v>
      </c>
      <c r="AI67" t="b">
        <v>0</v>
      </c>
      <c r="AK67" t="s">
        <v>94</v>
      </c>
      <c r="AL67" t="s">
        <v>66</v>
      </c>
      <c r="AM67" s="3">
        <v>46265</v>
      </c>
      <c r="AN67" s="4">
        <v>0.5632638888888889</v>
      </c>
      <c r="AO67" t="s">
        <v>961</v>
      </c>
      <c r="AP67" t="s">
        <v>962</v>
      </c>
      <c r="AQ67" t="s">
        <v>69</v>
      </c>
      <c r="AR67">
        <v>82.6</v>
      </c>
      <c r="AS67" t="s">
        <v>70</v>
      </c>
      <c r="AT67" t="s">
        <v>939</v>
      </c>
      <c r="AU67" t="s">
        <v>221</v>
      </c>
      <c r="AV67" t="s">
        <v>73</v>
      </c>
      <c r="AW67" t="str">
        <f t="shared" si="2"/>
        <v>Administración de Empresas</v>
      </c>
      <c r="AX67" t="str">
        <f t="shared" si="3"/>
        <v>302 2352387</v>
      </c>
      <c r="AY67" t="str">
        <f>IFERROR(INDEX(Vacantes!$C:$C,MATCH(AT67,Vacantes!$A:$A,0)),"")</f>
        <v>127</v>
      </c>
      <c r="AZ67" t="str">
        <f>IFERROR(INDEX(Vacantes!$D:$D,MATCH(AT67,Vacantes!$A:$A,0)),"")</f>
        <v>13 de octubre de 2026</v>
      </c>
      <c r="BA67" t="str">
        <f>IFERROR(INDEX(Vacantes!$E:$E,MATCH(AT67,Vacantes!$A:$A,0)),"")</f>
        <v>7:30 a.m. a 11:30 a.m.</v>
      </c>
    </row>
    <row r="68" spans="1:53" x14ac:dyDescent="0.15">
      <c r="A68" t="s">
        <v>963</v>
      </c>
      <c r="B68" t="s">
        <v>964</v>
      </c>
      <c r="C68" t="s">
        <v>55</v>
      </c>
      <c r="D68">
        <v>1011085214</v>
      </c>
      <c r="E68" t="s">
        <v>56</v>
      </c>
      <c r="F68">
        <v>21</v>
      </c>
      <c r="G68" t="b">
        <v>1</v>
      </c>
      <c r="H68" t="s">
        <v>88</v>
      </c>
      <c r="I68" t="s">
        <v>57</v>
      </c>
      <c r="J68" t="s">
        <v>78</v>
      </c>
      <c r="L68" t="s">
        <v>277</v>
      </c>
      <c r="N68" t="b">
        <v>0</v>
      </c>
      <c r="O68" t="b">
        <v>0</v>
      </c>
      <c r="P68" t="s">
        <v>60</v>
      </c>
      <c r="Q68" t="s">
        <v>60</v>
      </c>
      <c r="R68" t="s">
        <v>64</v>
      </c>
      <c r="W68" t="s">
        <v>108</v>
      </c>
      <c r="Z68" t="s">
        <v>151</v>
      </c>
      <c r="AB68" t="b">
        <v>0</v>
      </c>
      <c r="AC68" t="b">
        <v>0</v>
      </c>
      <c r="AE68" t="b">
        <v>0</v>
      </c>
      <c r="AG68" t="b">
        <v>0</v>
      </c>
      <c r="AI68" t="b">
        <v>0</v>
      </c>
      <c r="AK68" t="s">
        <v>94</v>
      </c>
      <c r="AL68" t="s">
        <v>66</v>
      </c>
      <c r="AM68" s="3">
        <v>46278</v>
      </c>
      <c r="AN68" s="4">
        <v>0.51098379629629631</v>
      </c>
      <c r="AO68" t="s">
        <v>965</v>
      </c>
      <c r="AP68" t="s">
        <v>966</v>
      </c>
      <c r="AQ68" t="s">
        <v>69</v>
      </c>
      <c r="AR68">
        <v>78.8</v>
      </c>
      <c r="AS68" t="s">
        <v>70</v>
      </c>
      <c r="AT68" t="s">
        <v>939</v>
      </c>
      <c r="AU68" t="s">
        <v>221</v>
      </c>
      <c r="AV68" t="s">
        <v>73</v>
      </c>
      <c r="AW68" t="str">
        <f t="shared" si="2"/>
        <v>Psicología</v>
      </c>
      <c r="AX68" t="str">
        <f t="shared" si="3"/>
        <v>323 2300003</v>
      </c>
      <c r="AY68" t="str">
        <f>IFERROR(INDEX(Vacantes!$C:$C,MATCH(AT68,Vacantes!$A:$A,0)),"")</f>
        <v>127</v>
      </c>
      <c r="AZ68" t="str">
        <f>IFERROR(INDEX(Vacantes!$D:$D,MATCH(AT68,Vacantes!$A:$A,0)),"")</f>
        <v>13 de octubre de 2026</v>
      </c>
      <c r="BA68" t="str">
        <f>IFERROR(INDEX(Vacantes!$E:$E,MATCH(AT68,Vacantes!$A:$A,0)),"")</f>
        <v>7:30 a.m. a 11:30 a.m.</v>
      </c>
    </row>
    <row r="69" spans="1:53" x14ac:dyDescent="0.15">
      <c r="A69" t="s">
        <v>967</v>
      </c>
      <c r="B69" t="s">
        <v>968</v>
      </c>
      <c r="C69" t="s">
        <v>55</v>
      </c>
      <c r="D69">
        <v>1023872170</v>
      </c>
      <c r="E69" t="s">
        <v>56</v>
      </c>
      <c r="F69">
        <v>21</v>
      </c>
      <c r="G69" t="b">
        <v>1</v>
      </c>
      <c r="H69" t="s">
        <v>88</v>
      </c>
      <c r="I69" t="s">
        <v>57</v>
      </c>
      <c r="J69" t="s">
        <v>132</v>
      </c>
      <c r="K69" t="s">
        <v>969</v>
      </c>
      <c r="L69" t="s">
        <v>107</v>
      </c>
      <c r="N69" t="b">
        <v>1</v>
      </c>
      <c r="O69" t="b">
        <v>0</v>
      </c>
      <c r="P69" t="s">
        <v>60</v>
      </c>
      <c r="Q69" t="s">
        <v>61</v>
      </c>
      <c r="R69" t="s">
        <v>64</v>
      </c>
      <c r="W69" t="s">
        <v>108</v>
      </c>
      <c r="Z69" t="s">
        <v>151</v>
      </c>
      <c r="AB69" t="b">
        <v>0</v>
      </c>
      <c r="AC69" t="b">
        <v>0</v>
      </c>
      <c r="AE69" t="b">
        <v>0</v>
      </c>
      <c r="AG69" t="b">
        <v>0</v>
      </c>
      <c r="AI69" t="b">
        <v>0</v>
      </c>
      <c r="AK69" t="s">
        <v>530</v>
      </c>
      <c r="AL69" t="s">
        <v>66</v>
      </c>
      <c r="AM69" s="3">
        <v>46277</v>
      </c>
      <c r="AN69" s="4">
        <v>0.74820601851851853</v>
      </c>
      <c r="AO69" t="s">
        <v>970</v>
      </c>
      <c r="AP69" t="s">
        <v>971</v>
      </c>
      <c r="AQ69" t="s">
        <v>69</v>
      </c>
      <c r="AR69">
        <v>73.099999999999994</v>
      </c>
      <c r="AS69" t="s">
        <v>70</v>
      </c>
      <c r="AT69" t="s">
        <v>939</v>
      </c>
      <c r="AU69" t="s">
        <v>221</v>
      </c>
      <c r="AV69" t="s">
        <v>73</v>
      </c>
      <c r="AW69" t="str">
        <f t="shared" si="2"/>
        <v>Administración de Empresas</v>
      </c>
      <c r="AX69" t="str">
        <f t="shared" si="3"/>
        <v>313 3567458</v>
      </c>
      <c r="AY69" t="str">
        <f>IFERROR(INDEX(Vacantes!$C:$C,MATCH(AT69,Vacantes!$A:$A,0)),"")</f>
        <v>127</v>
      </c>
      <c r="AZ69" t="str">
        <f>IFERROR(INDEX(Vacantes!$D:$D,MATCH(AT69,Vacantes!$A:$A,0)),"")</f>
        <v>13 de octubre de 2026</v>
      </c>
      <c r="BA69" t="str">
        <f>IFERROR(INDEX(Vacantes!$E:$E,MATCH(AT69,Vacantes!$A:$A,0)),"")</f>
        <v>7:30 a.m. a 11:30 a.m.</v>
      </c>
    </row>
    <row r="70" spans="1:53" x14ac:dyDescent="0.15">
      <c r="A70" t="s">
        <v>972</v>
      </c>
      <c r="B70" t="s">
        <v>973</v>
      </c>
      <c r="C70" t="s">
        <v>55</v>
      </c>
      <c r="D70">
        <v>1001309326</v>
      </c>
      <c r="E70" t="s">
        <v>76</v>
      </c>
      <c r="F70">
        <v>26</v>
      </c>
      <c r="G70" t="b">
        <v>1</v>
      </c>
      <c r="H70" t="s">
        <v>57</v>
      </c>
      <c r="I70" t="s">
        <v>57</v>
      </c>
      <c r="J70" t="s">
        <v>106</v>
      </c>
      <c r="L70" t="s">
        <v>277</v>
      </c>
      <c r="N70" t="b">
        <v>0</v>
      </c>
      <c r="O70" t="b">
        <v>0</v>
      </c>
      <c r="P70" t="s">
        <v>60</v>
      </c>
      <c r="Q70" t="s">
        <v>60</v>
      </c>
      <c r="R70" t="s">
        <v>64</v>
      </c>
      <c r="U70" t="s">
        <v>151</v>
      </c>
      <c r="W70" t="s">
        <v>64</v>
      </c>
      <c r="Z70" t="s">
        <v>93</v>
      </c>
      <c r="AB70" t="b">
        <v>0</v>
      </c>
      <c r="AC70" t="b">
        <v>0</v>
      </c>
      <c r="AE70" t="b">
        <v>0</v>
      </c>
      <c r="AG70" t="b">
        <v>0</v>
      </c>
      <c r="AI70" t="b">
        <v>0</v>
      </c>
      <c r="AK70" t="s">
        <v>65</v>
      </c>
      <c r="AL70" t="s">
        <v>66</v>
      </c>
      <c r="AM70" s="3">
        <v>46277</v>
      </c>
      <c r="AN70" s="4">
        <v>0.53759259259259262</v>
      </c>
      <c r="AO70">
        <v>3183529601</v>
      </c>
      <c r="AP70" t="s">
        <v>974</v>
      </c>
      <c r="AQ70" t="s">
        <v>69</v>
      </c>
      <c r="AR70">
        <v>70.7</v>
      </c>
      <c r="AS70" t="s">
        <v>70</v>
      </c>
      <c r="AT70" t="s">
        <v>939</v>
      </c>
      <c r="AU70" t="s">
        <v>221</v>
      </c>
      <c r="AV70" t="s">
        <v>73</v>
      </c>
      <c r="AW70" t="str">
        <f t="shared" si="2"/>
        <v>Psicología</v>
      </c>
      <c r="AX70" t="str">
        <f t="shared" si="3"/>
        <v>3183529601</v>
      </c>
      <c r="AY70" t="str">
        <f>IFERROR(INDEX(Vacantes!$C:$C,MATCH(AT70,Vacantes!$A:$A,0)),"")</f>
        <v>127</v>
      </c>
      <c r="AZ70" t="str">
        <f>IFERROR(INDEX(Vacantes!$D:$D,MATCH(AT70,Vacantes!$A:$A,0)),"")</f>
        <v>13 de octubre de 2026</v>
      </c>
      <c r="BA70" t="str">
        <f>IFERROR(INDEX(Vacantes!$E:$E,MATCH(AT70,Vacantes!$A:$A,0)),"")</f>
        <v>7:30 a.m. a 11:30 a.m.</v>
      </c>
    </row>
    <row r="71" spans="1:53" x14ac:dyDescent="0.15">
      <c r="A71" t="s">
        <v>975</v>
      </c>
      <c r="B71" t="s">
        <v>976</v>
      </c>
      <c r="C71" t="s">
        <v>55</v>
      </c>
      <c r="D71">
        <v>1021671198</v>
      </c>
      <c r="E71" t="s">
        <v>76</v>
      </c>
      <c r="F71">
        <v>20</v>
      </c>
      <c r="G71" t="b">
        <v>1</v>
      </c>
      <c r="H71" t="s">
        <v>57</v>
      </c>
      <c r="I71" t="s">
        <v>57</v>
      </c>
      <c r="J71" t="s">
        <v>288</v>
      </c>
      <c r="L71" t="s">
        <v>277</v>
      </c>
      <c r="N71" t="b">
        <v>1</v>
      </c>
      <c r="O71" t="b">
        <v>0</v>
      </c>
      <c r="P71" t="s">
        <v>60</v>
      </c>
      <c r="Q71" t="s">
        <v>60</v>
      </c>
      <c r="R71" t="s">
        <v>64</v>
      </c>
      <c r="W71" t="s">
        <v>89</v>
      </c>
      <c r="Z71" t="s">
        <v>151</v>
      </c>
      <c r="AB71" t="b">
        <v>0</v>
      </c>
      <c r="AC71" t="b">
        <v>0</v>
      </c>
      <c r="AE71" t="b">
        <v>0</v>
      </c>
      <c r="AG71" t="b">
        <v>0</v>
      </c>
      <c r="AI71" t="b">
        <v>0</v>
      </c>
      <c r="AK71" t="s">
        <v>202</v>
      </c>
      <c r="AL71" t="s">
        <v>66</v>
      </c>
      <c r="AM71" s="3">
        <v>46264</v>
      </c>
      <c r="AN71" s="4">
        <v>0.43060185185185179</v>
      </c>
      <c r="AO71" t="s">
        <v>977</v>
      </c>
      <c r="AP71" t="s">
        <v>978</v>
      </c>
      <c r="AQ71" t="s">
        <v>69</v>
      </c>
      <c r="AR71">
        <v>87.5</v>
      </c>
      <c r="AS71" t="s">
        <v>70</v>
      </c>
      <c r="AT71" t="s">
        <v>156</v>
      </c>
      <c r="AU71" t="s">
        <v>221</v>
      </c>
      <c r="AV71" t="s">
        <v>73</v>
      </c>
      <c r="AW71" t="str">
        <f t="shared" si="2"/>
        <v>Psicología</v>
      </c>
      <c r="AX71" t="str">
        <f t="shared" si="3"/>
        <v>318 7876579</v>
      </c>
      <c r="AY71" t="str">
        <f>IFERROR(INDEX(Vacantes!$C:$C,MATCH(AT71,Vacantes!$A:$A,0)),"")</f>
        <v>127</v>
      </c>
      <c r="AZ71" t="str">
        <f>IFERROR(INDEX(Vacantes!$D:$D,MATCH(AT71,Vacantes!$A:$A,0)),"")</f>
        <v>13 de octubre de 2026</v>
      </c>
      <c r="BA71" t="str">
        <f>IFERROR(INDEX(Vacantes!$E:$E,MATCH(AT71,Vacantes!$A:$A,0)),"")</f>
        <v>1:30 p.m. a 5:30 p.m.</v>
      </c>
    </row>
    <row r="72" spans="1:53" x14ac:dyDescent="0.15">
      <c r="A72" t="s">
        <v>979</v>
      </c>
      <c r="B72" t="s">
        <v>980</v>
      </c>
      <c r="C72" t="s">
        <v>55</v>
      </c>
      <c r="D72">
        <v>1019602144</v>
      </c>
      <c r="E72" t="s">
        <v>76</v>
      </c>
      <c r="F72">
        <v>22</v>
      </c>
      <c r="G72" t="b">
        <v>1</v>
      </c>
      <c r="H72" t="s">
        <v>88</v>
      </c>
      <c r="I72" t="s">
        <v>57</v>
      </c>
      <c r="J72" t="s">
        <v>187</v>
      </c>
      <c r="L72" t="s">
        <v>277</v>
      </c>
      <c r="N72" t="b">
        <v>0</v>
      </c>
      <c r="O72" t="b">
        <v>0</v>
      </c>
      <c r="P72" t="s">
        <v>61</v>
      </c>
      <c r="Q72" t="s">
        <v>60</v>
      </c>
      <c r="R72" t="s">
        <v>64</v>
      </c>
      <c r="W72" t="s">
        <v>113</v>
      </c>
      <c r="Z72" t="s">
        <v>151</v>
      </c>
      <c r="AB72" t="b">
        <v>0</v>
      </c>
      <c r="AC72" t="b">
        <v>0</v>
      </c>
      <c r="AE72" t="b">
        <v>0</v>
      </c>
      <c r="AG72" t="b">
        <v>0</v>
      </c>
      <c r="AI72" t="b">
        <v>0</v>
      </c>
      <c r="AK72" t="s">
        <v>65</v>
      </c>
      <c r="AL72" t="s">
        <v>66</v>
      </c>
      <c r="AM72" s="3">
        <v>46273</v>
      </c>
      <c r="AN72" s="4">
        <v>0.61799768518518516</v>
      </c>
      <c r="AO72" t="s">
        <v>981</v>
      </c>
      <c r="AP72" t="s">
        <v>982</v>
      </c>
      <c r="AQ72" t="s">
        <v>69</v>
      </c>
      <c r="AR72">
        <v>88.2</v>
      </c>
      <c r="AS72" t="s">
        <v>70</v>
      </c>
      <c r="AT72" t="s">
        <v>156</v>
      </c>
      <c r="AU72" t="s">
        <v>221</v>
      </c>
      <c r="AV72" t="s">
        <v>73</v>
      </c>
      <c r="AW72" t="str">
        <f t="shared" si="2"/>
        <v>Psicología</v>
      </c>
      <c r="AX72" t="str">
        <f t="shared" si="3"/>
        <v>300 8890118</v>
      </c>
      <c r="AY72" t="str">
        <f>IFERROR(INDEX(Vacantes!$C:$C,MATCH(AT72,Vacantes!$A:$A,0)),"")</f>
        <v>127</v>
      </c>
      <c r="AZ72" t="str">
        <f>IFERROR(INDEX(Vacantes!$D:$D,MATCH(AT72,Vacantes!$A:$A,0)),"")</f>
        <v>13 de octubre de 2026</v>
      </c>
      <c r="BA72" t="str">
        <f>IFERROR(INDEX(Vacantes!$E:$E,MATCH(AT72,Vacantes!$A:$A,0)),"")</f>
        <v>1:30 p.m. a 5:30 p.m.</v>
      </c>
    </row>
    <row r="73" spans="1:53" x14ac:dyDescent="0.15">
      <c r="A73" t="s">
        <v>983</v>
      </c>
      <c r="B73" t="s">
        <v>984</v>
      </c>
      <c r="C73" t="s">
        <v>55</v>
      </c>
      <c r="D73">
        <v>1019603862</v>
      </c>
      <c r="E73" t="s">
        <v>76</v>
      </c>
      <c r="F73">
        <v>21</v>
      </c>
      <c r="G73" t="b">
        <v>1</v>
      </c>
      <c r="H73" t="s">
        <v>985</v>
      </c>
      <c r="I73" t="s">
        <v>57</v>
      </c>
      <c r="J73" t="s">
        <v>234</v>
      </c>
      <c r="L73" t="s">
        <v>107</v>
      </c>
      <c r="N73" t="b">
        <v>1</v>
      </c>
      <c r="O73" t="b">
        <v>0</v>
      </c>
      <c r="P73" t="s">
        <v>60</v>
      </c>
      <c r="Q73" t="s">
        <v>60</v>
      </c>
      <c r="R73" t="s">
        <v>64</v>
      </c>
      <c r="W73" t="s">
        <v>135</v>
      </c>
      <c r="Z73" t="s">
        <v>151</v>
      </c>
      <c r="AB73" t="b">
        <v>0</v>
      </c>
      <c r="AC73" t="b">
        <v>0</v>
      </c>
      <c r="AE73" t="b">
        <v>0</v>
      </c>
      <c r="AG73" t="b">
        <v>0</v>
      </c>
      <c r="AI73" t="b">
        <v>0</v>
      </c>
      <c r="AK73" t="s">
        <v>202</v>
      </c>
      <c r="AL73" t="s">
        <v>66</v>
      </c>
      <c r="AM73" s="3">
        <v>46265</v>
      </c>
      <c r="AN73" s="4">
        <v>0.69452546296296291</v>
      </c>
      <c r="AO73" t="s">
        <v>986</v>
      </c>
      <c r="AP73" t="s">
        <v>987</v>
      </c>
      <c r="AQ73" t="s">
        <v>69</v>
      </c>
      <c r="AR73">
        <v>81.099999999999994</v>
      </c>
      <c r="AS73" t="s">
        <v>70</v>
      </c>
      <c r="AT73" t="s">
        <v>156</v>
      </c>
      <c r="AU73" t="s">
        <v>221</v>
      </c>
      <c r="AV73" t="s">
        <v>73</v>
      </c>
      <c r="AW73" t="str">
        <f t="shared" si="2"/>
        <v>Administración de Empresas</v>
      </c>
      <c r="AX73" t="str">
        <f t="shared" si="3"/>
        <v>305 3502374</v>
      </c>
      <c r="AY73" t="str">
        <f>IFERROR(INDEX(Vacantes!$C:$C,MATCH(AT73,Vacantes!$A:$A,0)),"")</f>
        <v>127</v>
      </c>
      <c r="AZ73" t="str">
        <f>IFERROR(INDEX(Vacantes!$D:$D,MATCH(AT73,Vacantes!$A:$A,0)),"")</f>
        <v>13 de octubre de 2026</v>
      </c>
      <c r="BA73" t="str">
        <f>IFERROR(INDEX(Vacantes!$E:$E,MATCH(AT73,Vacantes!$A:$A,0)),"")</f>
        <v>1:30 p.m. a 5:30 p.m.</v>
      </c>
    </row>
    <row r="74" spans="1:53" x14ac:dyDescent="0.15">
      <c r="A74" t="s">
        <v>988</v>
      </c>
      <c r="B74" t="s">
        <v>989</v>
      </c>
      <c r="C74" t="s">
        <v>55</v>
      </c>
      <c r="D74">
        <v>1014657993</v>
      </c>
      <c r="E74" t="s">
        <v>76</v>
      </c>
      <c r="F74">
        <v>22</v>
      </c>
      <c r="G74" t="b">
        <v>1</v>
      </c>
      <c r="H74" t="s">
        <v>57</v>
      </c>
      <c r="I74" t="s">
        <v>57</v>
      </c>
      <c r="J74" t="s">
        <v>58</v>
      </c>
      <c r="L74" t="s">
        <v>277</v>
      </c>
      <c r="N74" t="b">
        <v>1</v>
      </c>
      <c r="O74" t="b">
        <v>0</v>
      </c>
      <c r="P74" t="s">
        <v>60</v>
      </c>
      <c r="Q74" t="s">
        <v>60</v>
      </c>
      <c r="R74" t="s">
        <v>108</v>
      </c>
      <c r="U74" t="s">
        <v>151</v>
      </c>
      <c r="W74" t="s">
        <v>64</v>
      </c>
      <c r="AB74" t="b">
        <v>0</v>
      </c>
      <c r="AC74" t="b">
        <v>0</v>
      </c>
      <c r="AE74" t="b">
        <v>0</v>
      </c>
      <c r="AG74" t="b">
        <v>0</v>
      </c>
      <c r="AI74" t="b">
        <v>0</v>
      </c>
      <c r="AK74" t="s">
        <v>94</v>
      </c>
      <c r="AL74" t="s">
        <v>66</v>
      </c>
      <c r="AM74" s="3">
        <v>46277</v>
      </c>
      <c r="AN74" s="4">
        <v>0.39241898148148152</v>
      </c>
      <c r="AO74" t="s">
        <v>990</v>
      </c>
      <c r="AP74" t="s">
        <v>991</v>
      </c>
      <c r="AQ74" t="s">
        <v>69</v>
      </c>
      <c r="AR74">
        <v>93.4</v>
      </c>
      <c r="AS74" t="s">
        <v>70</v>
      </c>
      <c r="AT74" t="s">
        <v>156</v>
      </c>
      <c r="AU74" t="s">
        <v>221</v>
      </c>
      <c r="AV74" t="s">
        <v>73</v>
      </c>
      <c r="AW74" t="str">
        <f t="shared" si="2"/>
        <v>Psicología</v>
      </c>
      <c r="AX74" t="str">
        <f t="shared" si="3"/>
        <v>323 8265677</v>
      </c>
      <c r="AY74" t="str">
        <f>IFERROR(INDEX(Vacantes!$C:$C,MATCH(AT74,Vacantes!$A:$A,0)),"")</f>
        <v>127</v>
      </c>
      <c r="AZ74" t="str">
        <f>IFERROR(INDEX(Vacantes!$D:$D,MATCH(AT74,Vacantes!$A:$A,0)),"")</f>
        <v>13 de octubre de 2026</v>
      </c>
      <c r="BA74" t="str">
        <f>IFERROR(INDEX(Vacantes!$E:$E,MATCH(AT74,Vacantes!$A:$A,0)),"")</f>
        <v>1:30 p.m. a 5:30 p.m.</v>
      </c>
    </row>
    <row r="75" spans="1:53" x14ac:dyDescent="0.15">
      <c r="A75" t="s">
        <v>992</v>
      </c>
      <c r="B75" t="s">
        <v>993</v>
      </c>
      <c r="C75" t="s">
        <v>55</v>
      </c>
      <c r="D75">
        <v>1034988548</v>
      </c>
      <c r="E75" t="s">
        <v>76</v>
      </c>
      <c r="F75">
        <v>20</v>
      </c>
      <c r="G75" t="b">
        <v>1</v>
      </c>
      <c r="H75" t="s">
        <v>397</v>
      </c>
      <c r="I75" t="s">
        <v>57</v>
      </c>
      <c r="J75" t="s">
        <v>161</v>
      </c>
      <c r="L75" t="s">
        <v>277</v>
      </c>
      <c r="N75" t="b">
        <v>0</v>
      </c>
      <c r="O75" t="b">
        <v>0</v>
      </c>
      <c r="P75" t="s">
        <v>61</v>
      </c>
      <c r="Q75" t="s">
        <v>60</v>
      </c>
      <c r="R75" t="s">
        <v>64</v>
      </c>
      <c r="U75" t="s">
        <v>93</v>
      </c>
      <c r="W75" t="s">
        <v>64</v>
      </c>
      <c r="Z75" t="s">
        <v>151</v>
      </c>
      <c r="AB75" t="b">
        <v>0</v>
      </c>
      <c r="AC75" t="b">
        <v>1</v>
      </c>
      <c r="AE75" t="b">
        <v>0</v>
      </c>
      <c r="AG75" t="b">
        <v>0</v>
      </c>
      <c r="AH75" t="s">
        <v>994</v>
      </c>
      <c r="AI75" t="b">
        <v>0</v>
      </c>
      <c r="AK75" t="s">
        <v>94</v>
      </c>
      <c r="AL75" t="s">
        <v>66</v>
      </c>
      <c r="AM75" s="3">
        <v>46265</v>
      </c>
      <c r="AN75" s="4">
        <v>0.92298611111111106</v>
      </c>
      <c r="AO75" t="s">
        <v>995</v>
      </c>
      <c r="AP75" t="s">
        <v>996</v>
      </c>
      <c r="AQ75" t="s">
        <v>69</v>
      </c>
      <c r="AR75">
        <v>80.8</v>
      </c>
      <c r="AS75" t="s">
        <v>85</v>
      </c>
      <c r="AT75" t="s">
        <v>156</v>
      </c>
      <c r="AU75" t="s">
        <v>221</v>
      </c>
      <c r="AV75" t="s">
        <v>73</v>
      </c>
      <c r="AW75" t="str">
        <f t="shared" si="2"/>
        <v>Psicología</v>
      </c>
      <c r="AX75" t="str">
        <f t="shared" si="3"/>
        <v>318 5936496</v>
      </c>
      <c r="AY75" t="str">
        <f>IFERROR(INDEX(Vacantes!$C:$C,MATCH(AT75,Vacantes!$A:$A,0)),"")</f>
        <v>127</v>
      </c>
      <c r="AZ75" t="str">
        <f>IFERROR(INDEX(Vacantes!$D:$D,MATCH(AT75,Vacantes!$A:$A,0)),"")</f>
        <v>13 de octubre de 2026</v>
      </c>
      <c r="BA75" t="str">
        <f>IFERROR(INDEX(Vacantes!$E:$E,MATCH(AT75,Vacantes!$A:$A,0)),"")</f>
        <v>1:30 p.m. a 5:30 p.m.</v>
      </c>
    </row>
    <row r="76" spans="1:53" x14ac:dyDescent="0.15">
      <c r="A76" t="s">
        <v>997</v>
      </c>
      <c r="B76" t="s">
        <v>998</v>
      </c>
      <c r="C76" t="s">
        <v>55</v>
      </c>
      <c r="D76">
        <v>1011082341</v>
      </c>
      <c r="E76" t="s">
        <v>76</v>
      </c>
      <c r="F76">
        <v>21</v>
      </c>
      <c r="G76" t="b">
        <v>1</v>
      </c>
      <c r="I76" t="s">
        <v>57</v>
      </c>
      <c r="J76" t="s">
        <v>187</v>
      </c>
      <c r="L76" t="s">
        <v>521</v>
      </c>
      <c r="N76" t="b">
        <v>1</v>
      </c>
      <c r="O76" t="b">
        <v>0</v>
      </c>
      <c r="P76" t="s">
        <v>61</v>
      </c>
      <c r="Q76" t="s">
        <v>60</v>
      </c>
      <c r="R76" t="s">
        <v>113</v>
      </c>
      <c r="U76" t="s">
        <v>151</v>
      </c>
      <c r="W76" t="s">
        <v>64</v>
      </c>
      <c r="AB76" t="b">
        <v>0</v>
      </c>
      <c r="AC76" t="b">
        <v>0</v>
      </c>
      <c r="AE76" t="b">
        <v>0</v>
      </c>
      <c r="AG76" t="b">
        <v>0</v>
      </c>
      <c r="AI76" t="b">
        <v>0</v>
      </c>
      <c r="AK76" t="s">
        <v>94</v>
      </c>
      <c r="AL76" t="s">
        <v>66</v>
      </c>
      <c r="AM76" s="3">
        <v>46255</v>
      </c>
      <c r="AN76" s="4">
        <v>0.41466435185185191</v>
      </c>
      <c r="AO76" t="s">
        <v>999</v>
      </c>
      <c r="AP76" t="s">
        <v>245</v>
      </c>
      <c r="AQ76" t="s">
        <v>69</v>
      </c>
      <c r="AR76">
        <v>81.7</v>
      </c>
      <c r="AS76" t="s">
        <v>70</v>
      </c>
      <c r="AT76" t="s">
        <v>156</v>
      </c>
      <c r="AU76" t="s">
        <v>221</v>
      </c>
      <c r="AV76" t="s">
        <v>184</v>
      </c>
      <c r="AW76" t="str">
        <f t="shared" si="2"/>
        <v>Comunicación social</v>
      </c>
      <c r="AX76" t="str">
        <f t="shared" si="3"/>
        <v>310 5545269</v>
      </c>
      <c r="AY76" t="str">
        <f>IFERROR(INDEX(Vacantes!$C:$C,MATCH(AT76,Vacantes!$A:$A,0)),"")</f>
        <v>127</v>
      </c>
      <c r="AZ76" t="str">
        <f>IFERROR(INDEX(Vacantes!$D:$D,MATCH(AT76,Vacantes!$A:$A,0)),"")</f>
        <v>13 de octubre de 2026</v>
      </c>
      <c r="BA76" t="str">
        <f>IFERROR(INDEX(Vacantes!$E:$E,MATCH(AT76,Vacantes!$A:$A,0)),"")</f>
        <v>1:30 p.m. a 5:30 p.m.</v>
      </c>
    </row>
    <row r="77" spans="1:53" x14ac:dyDescent="0.15">
      <c r="A77" t="s">
        <v>1126</v>
      </c>
      <c r="B77" t="s">
        <v>1127</v>
      </c>
      <c r="C77" t="s">
        <v>55</v>
      </c>
      <c r="D77">
        <v>1007557956</v>
      </c>
      <c r="E77" t="s">
        <v>76</v>
      </c>
      <c r="F77">
        <v>23</v>
      </c>
      <c r="G77" t="b">
        <v>1</v>
      </c>
      <c r="H77" t="s">
        <v>88</v>
      </c>
      <c r="I77" t="s">
        <v>57</v>
      </c>
      <c r="J77" t="s">
        <v>132</v>
      </c>
      <c r="K77" t="s">
        <v>1128</v>
      </c>
      <c r="L77" t="s">
        <v>521</v>
      </c>
      <c r="N77" t="b">
        <v>0</v>
      </c>
      <c r="O77" t="b">
        <v>0</v>
      </c>
      <c r="P77" t="s">
        <v>60</v>
      </c>
      <c r="Q77" t="s">
        <v>60</v>
      </c>
      <c r="R77" t="s">
        <v>113</v>
      </c>
      <c r="W77" t="s">
        <v>108</v>
      </c>
      <c r="AB77" t="b">
        <v>0</v>
      </c>
      <c r="AC77" t="b">
        <v>0</v>
      </c>
      <c r="AE77" t="b">
        <v>0</v>
      </c>
      <c r="AG77" t="b">
        <v>0</v>
      </c>
      <c r="AI77" t="b">
        <v>0</v>
      </c>
      <c r="AK77" t="s">
        <v>94</v>
      </c>
      <c r="AL77" t="s">
        <v>66</v>
      </c>
      <c r="AM77" s="3">
        <v>46275</v>
      </c>
      <c r="AN77" s="4">
        <v>0.52508101851851852</v>
      </c>
      <c r="AO77" t="s">
        <v>1129</v>
      </c>
      <c r="AP77" t="s">
        <v>1130</v>
      </c>
      <c r="AQ77" t="s">
        <v>69</v>
      </c>
      <c r="AR77">
        <v>89.2</v>
      </c>
      <c r="AS77" t="s">
        <v>70</v>
      </c>
      <c r="AT77" t="s">
        <v>1131</v>
      </c>
      <c r="AU77" t="s">
        <v>221</v>
      </c>
      <c r="AV77" t="s">
        <v>73</v>
      </c>
      <c r="AW77" t="str">
        <f t="shared" si="2"/>
        <v>Comunicación social</v>
      </c>
      <c r="AX77" t="str">
        <f t="shared" si="3"/>
        <v>313 2713653</v>
      </c>
      <c r="AY77" t="str">
        <f>IFERROR(INDEX(Vacantes!$C:$C,MATCH(AT77,Vacantes!$A:$A,0)),"")</f>
        <v>Regional Centro</v>
      </c>
      <c r="AZ77" t="str">
        <f>IFERROR(INDEX(Vacantes!$D:$D,MATCH(AT77,Vacantes!$A:$A,0)),"")</f>
        <v>13 de octubre de 2026</v>
      </c>
      <c r="BA77" t="str">
        <f>IFERROR(INDEX(Vacantes!$E:$E,MATCH(AT77,Vacantes!$A:$A,0)),"")</f>
        <v>12:30 p.m. a 4:00 p.m.</v>
      </c>
    </row>
    <row r="78" spans="1:53" x14ac:dyDescent="0.15">
      <c r="A78" t="s">
        <v>1132</v>
      </c>
      <c r="B78" t="s">
        <v>1133</v>
      </c>
      <c r="C78" t="s">
        <v>55</v>
      </c>
      <c r="D78">
        <v>1014662117</v>
      </c>
      <c r="E78" t="s">
        <v>76</v>
      </c>
      <c r="F78">
        <v>20</v>
      </c>
      <c r="G78" t="b">
        <v>1</v>
      </c>
      <c r="H78" t="s">
        <v>57</v>
      </c>
      <c r="I78" t="s">
        <v>57</v>
      </c>
      <c r="J78" t="s">
        <v>150</v>
      </c>
      <c r="L78" t="s">
        <v>107</v>
      </c>
      <c r="N78" t="b">
        <v>0</v>
      </c>
      <c r="O78" t="b">
        <v>0</v>
      </c>
      <c r="P78" t="s">
        <v>61</v>
      </c>
      <c r="Q78" t="s">
        <v>61</v>
      </c>
      <c r="R78" t="s">
        <v>108</v>
      </c>
      <c r="W78" t="s">
        <v>89</v>
      </c>
      <c r="AB78" t="b">
        <v>0</v>
      </c>
      <c r="AC78" t="b">
        <v>0</v>
      </c>
      <c r="AE78" t="b">
        <v>0</v>
      </c>
      <c r="AG78" t="b">
        <v>0</v>
      </c>
      <c r="AI78" t="b">
        <v>0</v>
      </c>
      <c r="AK78" t="s">
        <v>65</v>
      </c>
      <c r="AL78" t="s">
        <v>66</v>
      </c>
      <c r="AM78" s="3">
        <v>46263</v>
      </c>
      <c r="AN78" s="4">
        <v>0.50123842592592593</v>
      </c>
      <c r="AO78" t="s">
        <v>1134</v>
      </c>
      <c r="AP78" t="s">
        <v>1135</v>
      </c>
      <c r="AQ78" t="s">
        <v>69</v>
      </c>
      <c r="AR78">
        <v>91.1</v>
      </c>
      <c r="AS78" t="s">
        <v>70</v>
      </c>
      <c r="AT78" t="s">
        <v>1131</v>
      </c>
      <c r="AU78" t="s">
        <v>221</v>
      </c>
      <c r="AV78" t="s">
        <v>73</v>
      </c>
      <c r="AW78" t="str">
        <f t="shared" si="2"/>
        <v>Administración de Empresas</v>
      </c>
      <c r="AX78" t="str">
        <f t="shared" si="3"/>
        <v>304 6772464</v>
      </c>
      <c r="AY78" t="str">
        <f>IFERROR(INDEX(Vacantes!$C:$C,MATCH(AT78,Vacantes!$A:$A,0)),"")</f>
        <v>Regional Centro</v>
      </c>
      <c r="AZ78" t="str">
        <f>IFERROR(INDEX(Vacantes!$D:$D,MATCH(AT78,Vacantes!$A:$A,0)),"")</f>
        <v>13 de octubre de 2026</v>
      </c>
      <c r="BA78" t="str">
        <f>IFERROR(INDEX(Vacantes!$E:$E,MATCH(AT78,Vacantes!$A:$A,0)),"")</f>
        <v>12:30 p.m. a 4:00 p.m.</v>
      </c>
    </row>
    <row r="79" spans="1:53" x14ac:dyDescent="0.15">
      <c r="A79" t="s">
        <v>1136</v>
      </c>
      <c r="B79" t="s">
        <v>1137</v>
      </c>
      <c r="C79" t="s">
        <v>55</v>
      </c>
      <c r="D79">
        <v>1025060093</v>
      </c>
      <c r="E79" t="s">
        <v>76</v>
      </c>
      <c r="F79">
        <v>22</v>
      </c>
      <c r="G79" t="b">
        <v>1</v>
      </c>
      <c r="H79" t="s">
        <v>57</v>
      </c>
      <c r="I79" t="s">
        <v>57</v>
      </c>
      <c r="J79" t="s">
        <v>187</v>
      </c>
      <c r="L79" t="s">
        <v>856</v>
      </c>
      <c r="N79" t="b">
        <v>0</v>
      </c>
      <c r="O79" t="b">
        <v>0</v>
      </c>
      <c r="P79" t="s">
        <v>61</v>
      </c>
      <c r="Q79" t="s">
        <v>60</v>
      </c>
      <c r="R79" t="s">
        <v>113</v>
      </c>
      <c r="W79" t="s">
        <v>108</v>
      </c>
      <c r="AB79" t="b">
        <v>0</v>
      </c>
      <c r="AC79" t="b">
        <v>0</v>
      </c>
      <c r="AE79" t="b">
        <v>0</v>
      </c>
      <c r="AG79" t="b">
        <v>0</v>
      </c>
      <c r="AI79" t="b">
        <v>0</v>
      </c>
      <c r="AK79" t="s">
        <v>94</v>
      </c>
      <c r="AL79" t="s">
        <v>66</v>
      </c>
      <c r="AM79" s="3">
        <v>46278</v>
      </c>
      <c r="AN79" s="4">
        <v>0.73040509259259256</v>
      </c>
      <c r="AO79" t="s">
        <v>1138</v>
      </c>
      <c r="AP79" t="s">
        <v>1139</v>
      </c>
      <c r="AQ79" t="s">
        <v>69</v>
      </c>
      <c r="AR79">
        <v>73.2</v>
      </c>
      <c r="AS79" t="s">
        <v>70</v>
      </c>
      <c r="AT79" t="s">
        <v>1131</v>
      </c>
      <c r="AU79" t="s">
        <v>221</v>
      </c>
      <c r="AV79" t="s">
        <v>73</v>
      </c>
      <c r="AW79" t="str">
        <f t="shared" si="2"/>
        <v>Diseño Gráfico</v>
      </c>
      <c r="AX79" t="str">
        <f t="shared" si="3"/>
        <v>300 3424911</v>
      </c>
      <c r="AY79" t="str">
        <f>IFERROR(INDEX(Vacantes!$C:$C,MATCH(AT79,Vacantes!$A:$A,0)),"")</f>
        <v>Regional Centro</v>
      </c>
      <c r="AZ79" t="str">
        <f>IFERROR(INDEX(Vacantes!$D:$D,MATCH(AT79,Vacantes!$A:$A,0)),"")</f>
        <v>13 de octubre de 2026</v>
      </c>
      <c r="BA79" t="str">
        <f>IFERROR(INDEX(Vacantes!$E:$E,MATCH(AT79,Vacantes!$A:$A,0)),"")</f>
        <v>12:30 p.m. a 4:00 p.m.</v>
      </c>
    </row>
    <row r="80" spans="1:53" x14ac:dyDescent="0.15">
      <c r="A80" t="s">
        <v>1140</v>
      </c>
      <c r="B80" t="s">
        <v>1141</v>
      </c>
      <c r="C80" t="s">
        <v>55</v>
      </c>
      <c r="D80">
        <v>1000127209</v>
      </c>
      <c r="E80" t="s">
        <v>56</v>
      </c>
      <c r="F80">
        <v>25</v>
      </c>
      <c r="G80" t="b">
        <v>1</v>
      </c>
      <c r="H80" t="s">
        <v>77</v>
      </c>
      <c r="I80" t="s">
        <v>57</v>
      </c>
      <c r="J80" t="s">
        <v>1142</v>
      </c>
      <c r="L80" t="s">
        <v>521</v>
      </c>
      <c r="N80" t="b">
        <v>0</v>
      </c>
      <c r="O80" t="b">
        <v>0</v>
      </c>
      <c r="P80" t="s">
        <v>144</v>
      </c>
      <c r="Q80" t="s">
        <v>60</v>
      </c>
      <c r="R80" t="s">
        <v>113</v>
      </c>
      <c r="W80" t="s">
        <v>108</v>
      </c>
      <c r="AB80" t="b">
        <v>0</v>
      </c>
      <c r="AC80" t="b">
        <v>0</v>
      </c>
      <c r="AE80" t="b">
        <v>0</v>
      </c>
      <c r="AG80" t="b">
        <v>0</v>
      </c>
      <c r="AI80" t="b">
        <v>0</v>
      </c>
      <c r="AK80" t="s">
        <v>202</v>
      </c>
      <c r="AL80" t="s">
        <v>66</v>
      </c>
      <c r="AM80" s="3">
        <v>46261</v>
      </c>
      <c r="AN80" s="4">
        <v>0.39112268518518523</v>
      </c>
      <c r="AO80" t="s">
        <v>1143</v>
      </c>
      <c r="AP80" t="s">
        <v>1144</v>
      </c>
      <c r="AQ80" t="s">
        <v>69</v>
      </c>
      <c r="AR80">
        <v>88.3</v>
      </c>
      <c r="AS80" t="s">
        <v>70</v>
      </c>
      <c r="AT80" t="s">
        <v>1131</v>
      </c>
      <c r="AU80" t="s">
        <v>221</v>
      </c>
      <c r="AV80" t="s">
        <v>73</v>
      </c>
      <c r="AW80" t="str">
        <f t="shared" si="2"/>
        <v>Comunicación social</v>
      </c>
      <c r="AX80" t="str">
        <f t="shared" si="3"/>
        <v>322 9603522</v>
      </c>
      <c r="AY80" t="str">
        <f>IFERROR(INDEX(Vacantes!$C:$C,MATCH(AT80,Vacantes!$A:$A,0)),"")</f>
        <v>Regional Centro</v>
      </c>
      <c r="AZ80" t="str">
        <f>IFERROR(INDEX(Vacantes!$D:$D,MATCH(AT80,Vacantes!$A:$A,0)),"")</f>
        <v>13 de octubre de 2026</v>
      </c>
      <c r="BA80" t="str">
        <f>IFERROR(INDEX(Vacantes!$E:$E,MATCH(AT80,Vacantes!$A:$A,0)),"")</f>
        <v>12:30 p.m. a 4:00 p.m.</v>
      </c>
    </row>
    <row r="81" spans="1:53" x14ac:dyDescent="0.15">
      <c r="A81" t="s">
        <v>1145</v>
      </c>
      <c r="B81" t="s">
        <v>1146</v>
      </c>
      <c r="C81" t="s">
        <v>55</v>
      </c>
      <c r="D81">
        <v>1000698286</v>
      </c>
      <c r="E81" t="s">
        <v>76</v>
      </c>
      <c r="F81">
        <v>23</v>
      </c>
      <c r="G81" t="b">
        <v>1</v>
      </c>
      <c r="H81" t="s">
        <v>131</v>
      </c>
      <c r="I81" t="s">
        <v>57</v>
      </c>
      <c r="J81" t="s">
        <v>106</v>
      </c>
      <c r="L81" t="s">
        <v>521</v>
      </c>
      <c r="N81" t="b">
        <v>0</v>
      </c>
      <c r="O81" t="b">
        <v>0</v>
      </c>
      <c r="P81" t="s">
        <v>60</v>
      </c>
      <c r="Q81" t="s">
        <v>60</v>
      </c>
      <c r="R81" t="s">
        <v>113</v>
      </c>
      <c r="W81" t="s">
        <v>108</v>
      </c>
      <c r="AB81" t="b">
        <v>0</v>
      </c>
      <c r="AC81" t="b">
        <v>0</v>
      </c>
      <c r="AE81" t="b">
        <v>0</v>
      </c>
      <c r="AG81" t="b">
        <v>0</v>
      </c>
      <c r="AI81" t="b">
        <v>0</v>
      </c>
      <c r="AK81" t="s">
        <v>65</v>
      </c>
      <c r="AL81" t="s">
        <v>66</v>
      </c>
      <c r="AM81" s="3">
        <v>46277</v>
      </c>
      <c r="AN81" s="4">
        <v>0.64651620370370366</v>
      </c>
      <c r="AO81">
        <v>3163285338</v>
      </c>
      <c r="AP81" t="s">
        <v>1147</v>
      </c>
      <c r="AQ81" t="s">
        <v>69</v>
      </c>
      <c r="AR81">
        <v>75.900000000000006</v>
      </c>
      <c r="AS81" t="s">
        <v>70</v>
      </c>
      <c r="AT81" t="s">
        <v>1131</v>
      </c>
      <c r="AU81" t="s">
        <v>221</v>
      </c>
      <c r="AV81" t="s">
        <v>73</v>
      </c>
      <c r="AW81" t="str">
        <f t="shared" si="2"/>
        <v>Comunicación social</v>
      </c>
      <c r="AX81" t="str">
        <f t="shared" si="3"/>
        <v>3163285338</v>
      </c>
      <c r="AY81" t="str">
        <f>IFERROR(INDEX(Vacantes!$C:$C,MATCH(AT81,Vacantes!$A:$A,0)),"")</f>
        <v>Regional Centro</v>
      </c>
      <c r="AZ81" t="str">
        <f>IFERROR(INDEX(Vacantes!$D:$D,MATCH(AT81,Vacantes!$A:$A,0)),"")</f>
        <v>13 de octubre de 2026</v>
      </c>
      <c r="BA81" t="str">
        <f>IFERROR(INDEX(Vacantes!$E:$E,MATCH(AT81,Vacantes!$A:$A,0)),"")</f>
        <v>12:30 p.m. a 4:00 p.m.</v>
      </c>
    </row>
    <row r="82" spans="1:53" x14ac:dyDescent="0.15">
      <c r="A82" t="s">
        <v>1148</v>
      </c>
      <c r="B82" t="s">
        <v>1149</v>
      </c>
      <c r="C82" t="s">
        <v>55</v>
      </c>
      <c r="D82">
        <v>1146635183</v>
      </c>
      <c r="E82" t="s">
        <v>76</v>
      </c>
      <c r="F82">
        <v>21</v>
      </c>
      <c r="G82" t="b">
        <v>1</v>
      </c>
      <c r="H82" t="s">
        <v>131</v>
      </c>
      <c r="I82" t="s">
        <v>57</v>
      </c>
      <c r="J82" t="s">
        <v>78</v>
      </c>
      <c r="L82" t="s">
        <v>107</v>
      </c>
      <c r="N82" t="b">
        <v>0</v>
      </c>
      <c r="O82" t="b">
        <v>0</v>
      </c>
      <c r="P82" t="s">
        <v>61</v>
      </c>
      <c r="Q82" t="s">
        <v>60</v>
      </c>
      <c r="R82" t="s">
        <v>108</v>
      </c>
      <c r="W82" t="s">
        <v>113</v>
      </c>
      <c r="AB82" t="b">
        <v>0</v>
      </c>
      <c r="AC82" t="b">
        <v>0</v>
      </c>
      <c r="AE82" t="b">
        <v>0</v>
      </c>
      <c r="AG82" t="b">
        <v>0</v>
      </c>
      <c r="AI82" t="b">
        <v>0</v>
      </c>
      <c r="AK82" t="s">
        <v>65</v>
      </c>
      <c r="AL82" t="s">
        <v>66</v>
      </c>
      <c r="AM82" s="3">
        <v>46278</v>
      </c>
      <c r="AN82" s="4">
        <v>0.6369097222222222</v>
      </c>
      <c r="AO82" t="s">
        <v>1150</v>
      </c>
      <c r="AP82" t="s">
        <v>1151</v>
      </c>
      <c r="AQ82" t="s">
        <v>69</v>
      </c>
      <c r="AR82">
        <v>72.599999999999994</v>
      </c>
      <c r="AS82" t="s">
        <v>70</v>
      </c>
      <c r="AT82" t="s">
        <v>1131</v>
      </c>
      <c r="AU82" t="s">
        <v>221</v>
      </c>
      <c r="AV82" t="s">
        <v>73</v>
      </c>
      <c r="AW82" t="str">
        <f t="shared" si="2"/>
        <v>Administración de Empresas</v>
      </c>
      <c r="AX82" t="str">
        <f t="shared" si="3"/>
        <v>301 5595946</v>
      </c>
      <c r="AY82" t="str">
        <f>IFERROR(INDEX(Vacantes!$C:$C,MATCH(AT82,Vacantes!$A:$A,0)),"")</f>
        <v>Regional Centro</v>
      </c>
      <c r="AZ82" t="str">
        <f>IFERROR(INDEX(Vacantes!$D:$D,MATCH(AT82,Vacantes!$A:$A,0)),"")</f>
        <v>13 de octubre de 2026</v>
      </c>
      <c r="BA82" t="str">
        <f>IFERROR(INDEX(Vacantes!$E:$E,MATCH(AT82,Vacantes!$A:$A,0)),"")</f>
        <v>12:30 p.m. a 4:00 p.m.</v>
      </c>
    </row>
    <row r="83" spans="1:53" x14ac:dyDescent="0.15">
      <c r="A83" t="s">
        <v>1239</v>
      </c>
      <c r="B83" t="s">
        <v>1240</v>
      </c>
      <c r="C83" t="s">
        <v>55</v>
      </c>
      <c r="D83">
        <v>1076905047</v>
      </c>
      <c r="E83" t="s">
        <v>56</v>
      </c>
      <c r="F83">
        <v>20</v>
      </c>
      <c r="G83" t="b">
        <v>1</v>
      </c>
      <c r="I83" t="s">
        <v>57</v>
      </c>
      <c r="J83" t="s">
        <v>463</v>
      </c>
      <c r="L83" t="s">
        <v>709</v>
      </c>
      <c r="N83" t="b">
        <v>1</v>
      </c>
      <c r="O83" t="b">
        <v>0</v>
      </c>
      <c r="P83" t="s">
        <v>61</v>
      </c>
      <c r="Q83" t="s">
        <v>144</v>
      </c>
      <c r="R83" t="s">
        <v>62</v>
      </c>
      <c r="W83" t="s">
        <v>89</v>
      </c>
      <c r="AB83" t="b">
        <v>0</v>
      </c>
      <c r="AC83" t="b">
        <v>0</v>
      </c>
      <c r="AE83" t="b">
        <v>0</v>
      </c>
      <c r="AG83" t="b">
        <v>0</v>
      </c>
      <c r="AI83" t="b">
        <v>0</v>
      </c>
      <c r="AK83" t="s">
        <v>202</v>
      </c>
      <c r="AL83" t="s">
        <v>66</v>
      </c>
      <c r="AM83" s="3">
        <v>46256</v>
      </c>
      <c r="AN83" s="4">
        <v>0.42581018518518521</v>
      </c>
      <c r="AO83" t="s">
        <v>1241</v>
      </c>
      <c r="AP83" t="s">
        <v>1242</v>
      </c>
      <c r="AQ83" t="s">
        <v>69</v>
      </c>
      <c r="AR83">
        <v>97.4</v>
      </c>
      <c r="AS83" t="s">
        <v>70</v>
      </c>
      <c r="AT83" t="s">
        <v>183</v>
      </c>
      <c r="AU83" t="s">
        <v>221</v>
      </c>
      <c r="AV83" t="s">
        <v>184</v>
      </c>
      <c r="AW83" t="str">
        <f t="shared" si="2"/>
        <v>Ingeniería de Sistemas</v>
      </c>
      <c r="AX83" t="str">
        <f t="shared" si="3"/>
        <v>311 5244990</v>
      </c>
      <c r="AY83" t="str">
        <f>IFERROR(INDEX(Vacantes!$C:$C,MATCH(AT83,Vacantes!$A:$A,0)),"")</f>
        <v>127</v>
      </c>
      <c r="AZ83" t="str">
        <f>IFERROR(INDEX(Vacantes!$D:$D,MATCH(AT83,Vacantes!$A:$A,0)),"")</f>
        <v>13 de octubre de 2026</v>
      </c>
      <c r="BA83" t="str">
        <f>IFERROR(INDEX(Vacantes!$E:$E,MATCH(AT83,Vacantes!$A:$A,0)),"")</f>
        <v>7:30 a.m. a 11:30 a.m.</v>
      </c>
    </row>
    <row r="84" spans="1:53" x14ac:dyDescent="0.15">
      <c r="A84" t="s">
        <v>1243</v>
      </c>
      <c r="B84" t="s">
        <v>1244</v>
      </c>
      <c r="C84" t="s">
        <v>55</v>
      </c>
      <c r="D84">
        <v>1016592928</v>
      </c>
      <c r="E84" t="s">
        <v>76</v>
      </c>
      <c r="F84">
        <v>22</v>
      </c>
      <c r="G84" t="b">
        <v>1</v>
      </c>
      <c r="H84" t="s">
        <v>293</v>
      </c>
      <c r="I84" t="s">
        <v>57</v>
      </c>
      <c r="J84" t="s">
        <v>463</v>
      </c>
      <c r="L84" t="s">
        <v>709</v>
      </c>
      <c r="N84" t="b">
        <v>1</v>
      </c>
      <c r="O84" t="b">
        <v>0</v>
      </c>
      <c r="P84" t="s">
        <v>60</v>
      </c>
      <c r="Q84" t="s">
        <v>60</v>
      </c>
      <c r="R84" t="s">
        <v>62</v>
      </c>
      <c r="W84" t="s">
        <v>62</v>
      </c>
      <c r="AB84" t="b">
        <v>0</v>
      </c>
      <c r="AC84" t="b">
        <v>0</v>
      </c>
      <c r="AE84" t="b">
        <v>0</v>
      </c>
      <c r="AG84" t="b">
        <v>0</v>
      </c>
      <c r="AI84" t="b">
        <v>0</v>
      </c>
      <c r="AK84" t="s">
        <v>202</v>
      </c>
      <c r="AL84" t="s">
        <v>66</v>
      </c>
      <c r="AM84" s="3">
        <v>46266</v>
      </c>
      <c r="AN84" s="4">
        <v>0.75907407407407412</v>
      </c>
      <c r="AO84" t="s">
        <v>1245</v>
      </c>
      <c r="AP84" t="s">
        <v>1246</v>
      </c>
      <c r="AQ84" t="s">
        <v>69</v>
      </c>
      <c r="AR84">
        <v>98</v>
      </c>
      <c r="AS84" t="s">
        <v>70</v>
      </c>
      <c r="AT84" t="s">
        <v>183</v>
      </c>
      <c r="AU84" t="s">
        <v>221</v>
      </c>
      <c r="AV84" t="s">
        <v>184</v>
      </c>
      <c r="AW84" t="str">
        <f t="shared" si="2"/>
        <v>Ingeniería de Sistemas</v>
      </c>
      <c r="AX84" t="str">
        <f t="shared" si="3"/>
        <v>311 2494264</v>
      </c>
      <c r="AY84" t="str">
        <f>IFERROR(INDEX(Vacantes!$C:$C,MATCH(AT84,Vacantes!$A:$A,0)),"")</f>
        <v>127</v>
      </c>
      <c r="AZ84" t="str">
        <f>IFERROR(INDEX(Vacantes!$D:$D,MATCH(AT84,Vacantes!$A:$A,0)),"")</f>
        <v>13 de octubre de 2026</v>
      </c>
      <c r="BA84" t="str">
        <f>IFERROR(INDEX(Vacantes!$E:$E,MATCH(AT84,Vacantes!$A:$A,0)),"")</f>
        <v>7:30 a.m. a 11:30 a.m.</v>
      </c>
    </row>
    <row r="85" spans="1:53" x14ac:dyDescent="0.15">
      <c r="A85" t="s">
        <v>1247</v>
      </c>
      <c r="B85" t="s">
        <v>1248</v>
      </c>
      <c r="C85" t="s">
        <v>55</v>
      </c>
      <c r="D85">
        <v>1002367458</v>
      </c>
      <c r="E85" t="s">
        <v>76</v>
      </c>
      <c r="F85">
        <v>22</v>
      </c>
      <c r="G85" t="b">
        <v>1</v>
      </c>
      <c r="I85" t="s">
        <v>57</v>
      </c>
      <c r="J85" t="s">
        <v>132</v>
      </c>
      <c r="K85" t="s">
        <v>1249</v>
      </c>
      <c r="L85" t="s">
        <v>705</v>
      </c>
      <c r="N85" t="b">
        <v>0</v>
      </c>
      <c r="O85" t="b">
        <v>0</v>
      </c>
      <c r="P85" t="s">
        <v>61</v>
      </c>
      <c r="Q85" t="s">
        <v>60</v>
      </c>
      <c r="R85" t="s">
        <v>62</v>
      </c>
      <c r="AB85" t="b">
        <v>0</v>
      </c>
      <c r="AC85" t="b">
        <v>0</v>
      </c>
      <c r="AE85" t="b">
        <v>0</v>
      </c>
      <c r="AG85" t="b">
        <v>0</v>
      </c>
      <c r="AI85" t="b">
        <v>0</v>
      </c>
      <c r="AK85" t="s">
        <v>94</v>
      </c>
      <c r="AL85" t="s">
        <v>66</v>
      </c>
      <c r="AM85" s="3">
        <v>46255</v>
      </c>
      <c r="AN85" s="4">
        <v>0.41469907407407408</v>
      </c>
      <c r="AO85" t="s">
        <v>1250</v>
      </c>
      <c r="AP85" t="s">
        <v>1251</v>
      </c>
      <c r="AQ85" t="s">
        <v>69</v>
      </c>
      <c r="AR85">
        <v>82.6</v>
      </c>
      <c r="AS85" t="s">
        <v>70</v>
      </c>
      <c r="AT85" t="s">
        <v>183</v>
      </c>
      <c r="AU85" t="s">
        <v>221</v>
      </c>
      <c r="AV85" t="s">
        <v>184</v>
      </c>
      <c r="AW85" t="str">
        <f t="shared" si="2"/>
        <v>Ingeniería de Software</v>
      </c>
      <c r="AX85" t="str">
        <f t="shared" si="3"/>
        <v>314 4277940</v>
      </c>
      <c r="AY85" t="str">
        <f>IFERROR(INDEX(Vacantes!$C:$C,MATCH(AT85,Vacantes!$A:$A,0)),"")</f>
        <v>127</v>
      </c>
      <c r="AZ85" t="str">
        <f>IFERROR(INDEX(Vacantes!$D:$D,MATCH(AT85,Vacantes!$A:$A,0)),"")</f>
        <v>13 de octubre de 2026</v>
      </c>
      <c r="BA85" t="str">
        <f>IFERROR(INDEX(Vacantes!$E:$E,MATCH(AT85,Vacantes!$A:$A,0)),"")</f>
        <v>7:30 a.m. a 11:30 a.m.</v>
      </c>
    </row>
    <row r="86" spans="1:53" x14ac:dyDescent="0.15">
      <c r="A86" t="s">
        <v>1284</v>
      </c>
      <c r="B86" t="s">
        <v>1285</v>
      </c>
      <c r="C86" t="s">
        <v>55</v>
      </c>
      <c r="D86">
        <v>1193115873</v>
      </c>
      <c r="E86" t="s">
        <v>56</v>
      </c>
      <c r="F86">
        <v>26</v>
      </c>
      <c r="G86" t="b">
        <v>1</v>
      </c>
      <c r="H86" t="s">
        <v>88</v>
      </c>
      <c r="I86" t="s">
        <v>57</v>
      </c>
      <c r="J86" t="s">
        <v>187</v>
      </c>
      <c r="L86" t="s">
        <v>107</v>
      </c>
      <c r="N86" t="b">
        <v>0</v>
      </c>
      <c r="O86" t="b">
        <v>0</v>
      </c>
      <c r="P86" t="s">
        <v>61</v>
      </c>
      <c r="Q86" t="s">
        <v>60</v>
      </c>
      <c r="R86" t="s">
        <v>108</v>
      </c>
      <c r="W86" t="s">
        <v>109</v>
      </c>
      <c r="AA86" t="s">
        <v>176</v>
      </c>
      <c r="AB86" t="b">
        <v>0</v>
      </c>
      <c r="AC86" t="b">
        <v>0</v>
      </c>
      <c r="AE86" t="b">
        <v>0</v>
      </c>
      <c r="AG86" t="b">
        <v>0</v>
      </c>
      <c r="AI86" t="b">
        <v>0</v>
      </c>
      <c r="AK86" t="s">
        <v>94</v>
      </c>
      <c r="AL86" t="s">
        <v>66</v>
      </c>
      <c r="AM86" s="3">
        <v>46278</v>
      </c>
      <c r="AN86" s="4">
        <v>0.70621527777777782</v>
      </c>
      <c r="AO86" t="s">
        <v>1286</v>
      </c>
      <c r="AP86" t="s">
        <v>1287</v>
      </c>
      <c r="AQ86" t="s">
        <v>69</v>
      </c>
      <c r="AR86">
        <v>86.1</v>
      </c>
      <c r="AS86" t="s">
        <v>70</v>
      </c>
      <c r="AT86" t="s">
        <v>1288</v>
      </c>
      <c r="AU86" t="s">
        <v>221</v>
      </c>
      <c r="AV86" t="s">
        <v>73</v>
      </c>
      <c r="AW86" t="str">
        <f t="shared" si="2"/>
        <v>Administración de Empresas</v>
      </c>
      <c r="AX86" t="str">
        <f t="shared" si="3"/>
        <v>321 3877492</v>
      </c>
      <c r="AY86" t="str">
        <f>IFERROR(INDEX(Vacantes!$C:$C,MATCH(AT86,Vacantes!$A:$A,0)),"")</f>
        <v>Regional Centro</v>
      </c>
      <c r="AZ86" t="str">
        <f>IFERROR(INDEX(Vacantes!$D:$D,MATCH(AT86,Vacantes!$A:$A,0)),"")</f>
        <v>13 de octubre de 2026</v>
      </c>
      <c r="BA86" t="str">
        <f>IFERROR(INDEX(Vacantes!$E:$E,MATCH(AT86,Vacantes!$A:$A,0)),"")</f>
        <v>12:30 p.m. a 4:00 p.m.</v>
      </c>
    </row>
    <row r="87" spans="1:53" x14ac:dyDescent="0.15">
      <c r="A87" t="s">
        <v>1289</v>
      </c>
      <c r="B87" t="s">
        <v>1290</v>
      </c>
      <c r="C87" t="s">
        <v>55</v>
      </c>
      <c r="D87">
        <v>1031421663</v>
      </c>
      <c r="E87" t="s">
        <v>56</v>
      </c>
      <c r="F87">
        <v>20</v>
      </c>
      <c r="G87" t="b">
        <v>1</v>
      </c>
      <c r="H87" t="s">
        <v>1291</v>
      </c>
      <c r="I87" t="s">
        <v>57</v>
      </c>
      <c r="J87" t="s">
        <v>78</v>
      </c>
      <c r="L87" t="s">
        <v>79</v>
      </c>
      <c r="N87" t="b">
        <v>0</v>
      </c>
      <c r="O87" t="b">
        <v>0</v>
      </c>
      <c r="P87" t="s">
        <v>61</v>
      </c>
      <c r="Q87" t="s">
        <v>60</v>
      </c>
      <c r="R87" t="s">
        <v>108</v>
      </c>
      <c r="W87" t="s">
        <v>109</v>
      </c>
      <c r="AA87" t="s">
        <v>176</v>
      </c>
      <c r="AB87" t="b">
        <v>0</v>
      </c>
      <c r="AC87" t="b">
        <v>0</v>
      </c>
      <c r="AE87" t="b">
        <v>0</v>
      </c>
      <c r="AG87" t="b">
        <v>0</v>
      </c>
      <c r="AI87" t="b">
        <v>0</v>
      </c>
      <c r="AK87" t="s">
        <v>202</v>
      </c>
      <c r="AL87" t="s">
        <v>66</v>
      </c>
      <c r="AM87" s="3">
        <v>46267</v>
      </c>
      <c r="AN87" s="4">
        <v>0.77230324074074075</v>
      </c>
      <c r="AO87">
        <v>3208971335</v>
      </c>
      <c r="AP87" t="s">
        <v>1292</v>
      </c>
      <c r="AQ87" t="s">
        <v>69</v>
      </c>
      <c r="AR87">
        <v>85.7</v>
      </c>
      <c r="AS87" t="s">
        <v>85</v>
      </c>
      <c r="AT87" t="s">
        <v>1288</v>
      </c>
      <c r="AU87" t="s">
        <v>221</v>
      </c>
      <c r="AV87" t="s">
        <v>73</v>
      </c>
      <c r="AW87" t="str">
        <f t="shared" si="2"/>
        <v>Economía</v>
      </c>
      <c r="AX87" t="str">
        <f t="shared" si="3"/>
        <v>3208971335</v>
      </c>
      <c r="AY87" t="str">
        <f>IFERROR(INDEX(Vacantes!$C:$C,MATCH(AT87,Vacantes!$A:$A,0)),"")</f>
        <v>Regional Centro</v>
      </c>
      <c r="AZ87" t="str">
        <f>IFERROR(INDEX(Vacantes!$D:$D,MATCH(AT87,Vacantes!$A:$A,0)),"")</f>
        <v>13 de octubre de 2026</v>
      </c>
      <c r="BA87" t="str">
        <f>IFERROR(INDEX(Vacantes!$E:$E,MATCH(AT87,Vacantes!$A:$A,0)),"")</f>
        <v>12:30 p.m. a 4:00 p.m.</v>
      </c>
    </row>
    <row r="88" spans="1:53" x14ac:dyDescent="0.15">
      <c r="A88" t="s">
        <v>1293</v>
      </c>
      <c r="B88" t="s">
        <v>1294</v>
      </c>
      <c r="C88" t="s">
        <v>55</v>
      </c>
      <c r="D88">
        <v>1013256749</v>
      </c>
      <c r="E88" t="s">
        <v>56</v>
      </c>
      <c r="F88">
        <v>22</v>
      </c>
      <c r="G88" t="b">
        <v>1</v>
      </c>
      <c r="H88" t="s">
        <v>57</v>
      </c>
      <c r="I88" t="s">
        <v>57</v>
      </c>
      <c r="J88" t="s">
        <v>106</v>
      </c>
      <c r="L88" t="s">
        <v>107</v>
      </c>
      <c r="N88" t="b">
        <v>0</v>
      </c>
      <c r="O88" t="b">
        <v>0</v>
      </c>
      <c r="P88" t="s">
        <v>61</v>
      </c>
      <c r="Q88" t="s">
        <v>61</v>
      </c>
      <c r="R88" t="s">
        <v>109</v>
      </c>
      <c r="V88" t="s">
        <v>283</v>
      </c>
      <c r="W88" t="s">
        <v>109</v>
      </c>
      <c r="AA88" t="s">
        <v>110</v>
      </c>
      <c r="AB88" t="b">
        <v>0</v>
      </c>
      <c r="AC88" t="b">
        <v>0</v>
      </c>
      <c r="AE88" t="b">
        <v>0</v>
      </c>
      <c r="AG88" t="b">
        <v>0</v>
      </c>
      <c r="AI88" t="b">
        <v>0</v>
      </c>
      <c r="AK88" t="s">
        <v>65</v>
      </c>
      <c r="AL88" t="s">
        <v>66</v>
      </c>
      <c r="AM88" s="3">
        <v>46278</v>
      </c>
      <c r="AN88" s="4">
        <v>0.53662037037037036</v>
      </c>
      <c r="AO88" t="s">
        <v>1295</v>
      </c>
      <c r="AP88" t="s">
        <v>1296</v>
      </c>
      <c r="AQ88" t="s">
        <v>69</v>
      </c>
      <c r="AR88">
        <v>75.8</v>
      </c>
      <c r="AS88" t="s">
        <v>70</v>
      </c>
      <c r="AT88" t="s">
        <v>1288</v>
      </c>
      <c r="AU88" t="s">
        <v>221</v>
      </c>
      <c r="AV88" t="s">
        <v>73</v>
      </c>
      <c r="AW88" t="str">
        <f t="shared" si="2"/>
        <v>Administración de Empresas</v>
      </c>
      <c r="AX88" t="str">
        <f t="shared" si="3"/>
        <v>301 6040200</v>
      </c>
      <c r="AY88" t="str">
        <f>IFERROR(INDEX(Vacantes!$C:$C,MATCH(AT88,Vacantes!$A:$A,0)),"")</f>
        <v>Regional Centro</v>
      </c>
      <c r="AZ88" t="str">
        <f>IFERROR(INDEX(Vacantes!$D:$D,MATCH(AT88,Vacantes!$A:$A,0)),"")</f>
        <v>13 de octubre de 2026</v>
      </c>
      <c r="BA88" t="str">
        <f>IFERROR(INDEX(Vacantes!$E:$E,MATCH(AT88,Vacantes!$A:$A,0)),"")</f>
        <v>12:30 p.m. a 4:00 p.m.</v>
      </c>
    </row>
    <row r="89" spans="1:53" x14ac:dyDescent="0.15">
      <c r="A89" t="s">
        <v>1297</v>
      </c>
      <c r="B89" t="s">
        <v>1298</v>
      </c>
      <c r="C89" t="s">
        <v>55</v>
      </c>
      <c r="D89">
        <v>1077721001</v>
      </c>
      <c r="E89" t="s">
        <v>76</v>
      </c>
      <c r="F89">
        <v>22</v>
      </c>
      <c r="G89" t="b">
        <v>1</v>
      </c>
      <c r="H89" t="s">
        <v>88</v>
      </c>
      <c r="I89" t="s">
        <v>57</v>
      </c>
      <c r="J89" t="s">
        <v>78</v>
      </c>
      <c r="L89" t="s">
        <v>107</v>
      </c>
      <c r="N89" t="b">
        <v>0</v>
      </c>
      <c r="O89" t="b">
        <v>0</v>
      </c>
      <c r="P89" t="s">
        <v>61</v>
      </c>
      <c r="Q89" t="s">
        <v>60</v>
      </c>
      <c r="R89" t="s">
        <v>108</v>
      </c>
      <c r="W89" t="s">
        <v>109</v>
      </c>
      <c r="AA89" t="s">
        <v>176</v>
      </c>
      <c r="AB89" t="b">
        <v>0</v>
      </c>
      <c r="AC89" t="b">
        <v>0</v>
      </c>
      <c r="AE89" t="b">
        <v>0</v>
      </c>
      <c r="AG89" t="b">
        <v>0</v>
      </c>
      <c r="AI89" t="b">
        <v>0</v>
      </c>
      <c r="AK89" t="s">
        <v>65</v>
      </c>
      <c r="AL89" t="s">
        <v>66</v>
      </c>
      <c r="AM89" s="3">
        <v>46271</v>
      </c>
      <c r="AN89" s="4">
        <v>0.72023148148148153</v>
      </c>
      <c r="AO89">
        <v>3142249659</v>
      </c>
      <c r="AP89" t="s">
        <v>1299</v>
      </c>
      <c r="AQ89" t="s">
        <v>69</v>
      </c>
      <c r="AR89">
        <v>79.599999999999994</v>
      </c>
      <c r="AS89" t="s">
        <v>70</v>
      </c>
      <c r="AT89" t="s">
        <v>1288</v>
      </c>
      <c r="AU89" t="s">
        <v>221</v>
      </c>
      <c r="AV89" t="s">
        <v>73</v>
      </c>
      <c r="AW89" t="str">
        <f t="shared" si="2"/>
        <v>Administración de Empresas</v>
      </c>
      <c r="AX89" t="str">
        <f t="shared" si="3"/>
        <v>3142249659</v>
      </c>
      <c r="AY89" t="str">
        <f>IFERROR(INDEX(Vacantes!$C:$C,MATCH(AT89,Vacantes!$A:$A,0)),"")</f>
        <v>Regional Centro</v>
      </c>
      <c r="AZ89" t="str">
        <f>IFERROR(INDEX(Vacantes!$D:$D,MATCH(AT89,Vacantes!$A:$A,0)),"")</f>
        <v>13 de octubre de 2026</v>
      </c>
      <c r="BA89" t="str">
        <f>IFERROR(INDEX(Vacantes!$E:$E,MATCH(AT89,Vacantes!$A:$A,0)),"")</f>
        <v>12:30 p.m. a 4:00 p.m.</v>
      </c>
    </row>
    <row r="90" spans="1:53" x14ac:dyDescent="0.15">
      <c r="A90" t="s">
        <v>1300</v>
      </c>
      <c r="B90" t="s">
        <v>1301</v>
      </c>
      <c r="C90" t="s">
        <v>55</v>
      </c>
      <c r="D90">
        <v>1006037327</v>
      </c>
      <c r="E90" t="s">
        <v>76</v>
      </c>
      <c r="F90">
        <v>23</v>
      </c>
      <c r="G90" t="b">
        <v>1</v>
      </c>
      <c r="I90" t="s">
        <v>57</v>
      </c>
      <c r="J90" t="s">
        <v>132</v>
      </c>
      <c r="K90" t="s">
        <v>654</v>
      </c>
      <c r="L90" t="s">
        <v>117</v>
      </c>
      <c r="N90" t="b">
        <v>0</v>
      </c>
      <c r="O90" t="b">
        <v>0</v>
      </c>
      <c r="P90" t="s">
        <v>60</v>
      </c>
      <c r="Q90" t="s">
        <v>60</v>
      </c>
      <c r="R90" t="s">
        <v>108</v>
      </c>
      <c r="W90" t="s">
        <v>109</v>
      </c>
      <c r="AA90" t="s">
        <v>439</v>
      </c>
      <c r="AB90" t="b">
        <v>0</v>
      </c>
      <c r="AC90" t="b">
        <v>0</v>
      </c>
      <c r="AE90" t="b">
        <v>0</v>
      </c>
      <c r="AG90" t="b">
        <v>0</v>
      </c>
      <c r="AI90" t="b">
        <v>0</v>
      </c>
      <c r="AK90" t="s">
        <v>94</v>
      </c>
      <c r="AL90" t="s">
        <v>66</v>
      </c>
      <c r="AM90" s="3">
        <v>46255</v>
      </c>
      <c r="AN90" s="4">
        <v>0.41468749999999999</v>
      </c>
      <c r="AO90" t="s">
        <v>1302</v>
      </c>
      <c r="AP90" t="s">
        <v>1303</v>
      </c>
      <c r="AQ90" t="s">
        <v>69</v>
      </c>
      <c r="AR90">
        <v>88.3</v>
      </c>
      <c r="AS90" t="s">
        <v>70</v>
      </c>
      <c r="AT90" t="s">
        <v>1288</v>
      </c>
      <c r="AU90" t="s">
        <v>221</v>
      </c>
      <c r="AV90" t="s">
        <v>73</v>
      </c>
      <c r="AW90" t="str">
        <f t="shared" si="2"/>
        <v>Marketing / Mercadeo</v>
      </c>
      <c r="AX90" t="str">
        <f t="shared" si="3"/>
        <v>313 7808424</v>
      </c>
      <c r="AY90" t="str">
        <f>IFERROR(INDEX(Vacantes!$C:$C,MATCH(AT90,Vacantes!$A:$A,0)),"")</f>
        <v>Regional Centro</v>
      </c>
      <c r="AZ90" t="str">
        <f>IFERROR(INDEX(Vacantes!$D:$D,MATCH(AT90,Vacantes!$A:$A,0)),"")</f>
        <v>13 de octubre de 2026</v>
      </c>
      <c r="BA90" t="str">
        <f>IFERROR(INDEX(Vacantes!$E:$E,MATCH(AT90,Vacantes!$A:$A,0)),"")</f>
        <v>12:30 p.m. a 4:00 p.m.</v>
      </c>
    </row>
    <row r="91" spans="1:53" x14ac:dyDescent="0.15">
      <c r="A91" t="s">
        <v>1304</v>
      </c>
      <c r="B91" t="s">
        <v>1305</v>
      </c>
      <c r="C91" t="s">
        <v>55</v>
      </c>
      <c r="D91">
        <v>1081275499</v>
      </c>
      <c r="E91" t="s">
        <v>76</v>
      </c>
      <c r="F91">
        <v>20</v>
      </c>
      <c r="G91" t="b">
        <v>1</v>
      </c>
      <c r="H91" t="s">
        <v>397</v>
      </c>
      <c r="I91" t="s">
        <v>57</v>
      </c>
      <c r="J91" t="s">
        <v>161</v>
      </c>
      <c r="L91" t="s">
        <v>79</v>
      </c>
      <c r="N91" t="b">
        <v>0</v>
      </c>
      <c r="O91" t="b">
        <v>0</v>
      </c>
      <c r="P91" t="s">
        <v>61</v>
      </c>
      <c r="Q91" t="s">
        <v>61</v>
      </c>
      <c r="R91" t="s">
        <v>109</v>
      </c>
      <c r="V91" t="s">
        <v>176</v>
      </c>
      <c r="W91" t="s">
        <v>81</v>
      </c>
      <c r="AB91" t="b">
        <v>0</v>
      </c>
      <c r="AC91" t="b">
        <v>0</v>
      </c>
      <c r="AE91" t="b">
        <v>0</v>
      </c>
      <c r="AG91" t="b">
        <v>0</v>
      </c>
      <c r="AI91" t="b">
        <v>0</v>
      </c>
      <c r="AK91" t="s">
        <v>202</v>
      </c>
      <c r="AL91" t="s">
        <v>66</v>
      </c>
      <c r="AM91" s="3">
        <v>46276</v>
      </c>
      <c r="AN91" s="4">
        <v>0.65149305555555559</v>
      </c>
      <c r="AO91" t="s">
        <v>1306</v>
      </c>
      <c r="AP91" t="s">
        <v>1307</v>
      </c>
      <c r="AQ91" t="s">
        <v>69</v>
      </c>
      <c r="AR91">
        <v>87.2</v>
      </c>
      <c r="AS91" t="s">
        <v>70</v>
      </c>
      <c r="AT91" t="s">
        <v>1288</v>
      </c>
      <c r="AU91" t="s">
        <v>221</v>
      </c>
      <c r="AV91" t="s">
        <v>184</v>
      </c>
      <c r="AW91" t="str">
        <f t="shared" si="2"/>
        <v>Economía</v>
      </c>
      <c r="AX91" t="str">
        <f t="shared" si="3"/>
        <v>314 4065467</v>
      </c>
      <c r="AY91" t="str">
        <f>IFERROR(INDEX(Vacantes!$C:$C,MATCH(AT91,Vacantes!$A:$A,0)),"")</f>
        <v>Regional Centro</v>
      </c>
      <c r="AZ91" t="str">
        <f>IFERROR(INDEX(Vacantes!$D:$D,MATCH(AT91,Vacantes!$A:$A,0)),"")</f>
        <v>13 de octubre de 2026</v>
      </c>
      <c r="BA91" t="str">
        <f>IFERROR(INDEX(Vacantes!$E:$E,MATCH(AT91,Vacantes!$A:$A,0)),"")</f>
        <v>12:30 p.m. a 4:00 p.m.</v>
      </c>
    </row>
    <row r="92" spans="1:53" x14ac:dyDescent="0.15">
      <c r="A92" t="s">
        <v>1308</v>
      </c>
      <c r="B92" t="s">
        <v>1309</v>
      </c>
      <c r="C92" t="s">
        <v>55</v>
      </c>
      <c r="D92">
        <v>1014859269</v>
      </c>
      <c r="E92" t="s">
        <v>56</v>
      </c>
      <c r="F92">
        <v>21</v>
      </c>
      <c r="G92" t="b">
        <v>1</v>
      </c>
      <c r="H92" t="s">
        <v>88</v>
      </c>
      <c r="I92" t="s">
        <v>57</v>
      </c>
      <c r="J92" t="s">
        <v>78</v>
      </c>
      <c r="L92" t="s">
        <v>143</v>
      </c>
      <c r="N92" t="b">
        <v>0</v>
      </c>
      <c r="O92" t="b">
        <v>0</v>
      </c>
      <c r="P92" t="s">
        <v>61</v>
      </c>
      <c r="Q92" t="s">
        <v>61</v>
      </c>
      <c r="R92" t="s">
        <v>108</v>
      </c>
      <c r="W92" t="s">
        <v>109</v>
      </c>
      <c r="AA92" t="s">
        <v>176</v>
      </c>
      <c r="AB92" t="b">
        <v>0</v>
      </c>
      <c r="AC92" t="b">
        <v>0</v>
      </c>
      <c r="AE92" t="b">
        <v>0</v>
      </c>
      <c r="AG92" t="b">
        <v>0</v>
      </c>
      <c r="AI92" t="b">
        <v>0</v>
      </c>
      <c r="AK92" t="s">
        <v>94</v>
      </c>
      <c r="AL92" t="s">
        <v>66</v>
      </c>
      <c r="AM92" s="3">
        <v>46271</v>
      </c>
      <c r="AN92" s="4">
        <v>0.94869212962962968</v>
      </c>
      <c r="AO92" t="s">
        <v>1310</v>
      </c>
      <c r="AP92" t="s">
        <v>1311</v>
      </c>
      <c r="AQ92" t="s">
        <v>69</v>
      </c>
      <c r="AR92">
        <v>95</v>
      </c>
      <c r="AS92" t="s">
        <v>70</v>
      </c>
      <c r="AT92" t="s">
        <v>1288</v>
      </c>
      <c r="AU92" t="s">
        <v>221</v>
      </c>
      <c r="AV92" t="s">
        <v>184</v>
      </c>
      <c r="AW92" t="str">
        <f t="shared" si="2"/>
        <v>Ingeniería Industrial</v>
      </c>
      <c r="AX92" t="str">
        <f t="shared" si="3"/>
        <v>321 2966629</v>
      </c>
      <c r="AY92" t="str">
        <f>IFERROR(INDEX(Vacantes!$C:$C,MATCH(AT92,Vacantes!$A:$A,0)),"")</f>
        <v>Regional Centro</v>
      </c>
      <c r="AZ92" t="str">
        <f>IFERROR(INDEX(Vacantes!$D:$D,MATCH(AT92,Vacantes!$A:$A,0)),"")</f>
        <v>13 de octubre de 2026</v>
      </c>
      <c r="BA92" t="str">
        <f>IFERROR(INDEX(Vacantes!$E:$E,MATCH(AT92,Vacantes!$A:$A,0)),"")</f>
        <v>12:30 p.m. a 4:00 p.m.</v>
      </c>
    </row>
    <row r="93" spans="1:53" x14ac:dyDescent="0.15">
      <c r="A93" t="s">
        <v>1343</v>
      </c>
      <c r="B93" t="s">
        <v>1344</v>
      </c>
      <c r="C93" t="s">
        <v>55</v>
      </c>
      <c r="D93">
        <v>1029500104</v>
      </c>
      <c r="E93" t="s">
        <v>76</v>
      </c>
      <c r="F93">
        <v>21</v>
      </c>
      <c r="G93" t="b">
        <v>1</v>
      </c>
      <c r="I93" t="s">
        <v>57</v>
      </c>
      <c r="J93" t="s">
        <v>458</v>
      </c>
      <c r="L93" t="s">
        <v>107</v>
      </c>
      <c r="N93" t="b">
        <v>1</v>
      </c>
      <c r="O93" t="b">
        <v>0</v>
      </c>
      <c r="P93" t="s">
        <v>61</v>
      </c>
      <c r="Q93" t="s">
        <v>61</v>
      </c>
      <c r="R93" t="s">
        <v>108</v>
      </c>
      <c r="W93" t="s">
        <v>109</v>
      </c>
      <c r="AA93" t="s">
        <v>439</v>
      </c>
      <c r="AB93" t="b">
        <v>0</v>
      </c>
      <c r="AC93" t="b">
        <v>0</v>
      </c>
      <c r="AE93" t="b">
        <v>0</v>
      </c>
      <c r="AG93" t="b">
        <v>0</v>
      </c>
      <c r="AI93" t="b">
        <v>0</v>
      </c>
      <c r="AK93" t="s">
        <v>65</v>
      </c>
      <c r="AL93" t="s">
        <v>66</v>
      </c>
      <c r="AM93" s="3">
        <v>46256</v>
      </c>
      <c r="AN93" s="4">
        <v>0.42581018518518521</v>
      </c>
      <c r="AO93" t="s">
        <v>1345</v>
      </c>
      <c r="AP93" t="s">
        <v>1346</v>
      </c>
      <c r="AQ93" t="s">
        <v>69</v>
      </c>
      <c r="AR93">
        <v>87.2</v>
      </c>
      <c r="AS93" t="s">
        <v>85</v>
      </c>
      <c r="AT93" t="s">
        <v>442</v>
      </c>
      <c r="AU93" t="s">
        <v>221</v>
      </c>
      <c r="AV93" t="s">
        <v>73</v>
      </c>
      <c r="AW93" t="str">
        <f t="shared" si="2"/>
        <v>Administración de Empresas</v>
      </c>
      <c r="AX93" t="str">
        <f t="shared" si="3"/>
        <v>302 3029042</v>
      </c>
      <c r="AY93" t="str">
        <f>IFERROR(INDEX(Vacantes!$C:$C,MATCH(AT93,Vacantes!$A:$A,0)),"")</f>
        <v>127</v>
      </c>
      <c r="AZ93" t="str">
        <f>IFERROR(INDEX(Vacantes!$D:$D,MATCH(AT93,Vacantes!$A:$A,0)),"")</f>
        <v>13 de octubre de 2026</v>
      </c>
      <c r="BA93" t="str">
        <f>IFERROR(INDEX(Vacantes!$E:$E,MATCH(AT93,Vacantes!$A:$A,0)),"")</f>
        <v>1:30 p.m. a 5:30 p.m.</v>
      </c>
    </row>
    <row r="94" spans="1:53" x14ac:dyDescent="0.15">
      <c r="A94" t="s">
        <v>1347</v>
      </c>
      <c r="B94" t="s">
        <v>1348</v>
      </c>
      <c r="C94" t="s">
        <v>55</v>
      </c>
      <c r="D94">
        <v>1001300590</v>
      </c>
      <c r="E94" t="s">
        <v>56</v>
      </c>
      <c r="F94">
        <v>22</v>
      </c>
      <c r="G94" t="b">
        <v>1</v>
      </c>
      <c r="I94" t="s">
        <v>57</v>
      </c>
      <c r="J94" t="s">
        <v>78</v>
      </c>
      <c r="L94" t="s">
        <v>79</v>
      </c>
      <c r="N94" t="b">
        <v>0</v>
      </c>
      <c r="O94" t="b">
        <v>0</v>
      </c>
      <c r="P94" t="s">
        <v>61</v>
      </c>
      <c r="Q94" t="s">
        <v>60</v>
      </c>
      <c r="R94" t="s">
        <v>244</v>
      </c>
      <c r="W94" t="s">
        <v>81</v>
      </c>
      <c r="AB94" t="b">
        <v>0</v>
      </c>
      <c r="AC94" t="b">
        <v>0</v>
      </c>
      <c r="AE94" t="b">
        <v>0</v>
      </c>
      <c r="AG94" t="b">
        <v>0</v>
      </c>
      <c r="AI94" t="b">
        <v>0</v>
      </c>
      <c r="AK94" t="s">
        <v>248</v>
      </c>
      <c r="AL94" t="s">
        <v>66</v>
      </c>
      <c r="AM94" s="3">
        <v>46256</v>
      </c>
      <c r="AN94" s="4">
        <v>0.53620370370370374</v>
      </c>
      <c r="AO94" t="s">
        <v>1349</v>
      </c>
      <c r="AP94" t="s">
        <v>1350</v>
      </c>
      <c r="AQ94" t="s">
        <v>69</v>
      </c>
      <c r="AR94">
        <v>92.2</v>
      </c>
      <c r="AS94" t="s">
        <v>70</v>
      </c>
      <c r="AT94" t="s">
        <v>89</v>
      </c>
      <c r="AU94" t="s">
        <v>221</v>
      </c>
      <c r="AV94" t="s">
        <v>73</v>
      </c>
      <c r="AW94" t="str">
        <f t="shared" si="2"/>
        <v>Economía</v>
      </c>
      <c r="AX94" t="str">
        <f t="shared" si="3"/>
        <v>312 2329005</v>
      </c>
      <c r="AY94" t="str">
        <f>IFERROR(INDEX(Vacantes!$C:$C,MATCH(AT94,Vacantes!$A:$A,0)),"")</f>
        <v>127</v>
      </c>
      <c r="AZ94" t="str">
        <f>IFERROR(INDEX(Vacantes!$D:$D,MATCH(AT94,Vacantes!$A:$A,0)),"")</f>
        <v>13 de octubre de 2026</v>
      </c>
      <c r="BA94" t="str">
        <f>IFERROR(INDEX(Vacantes!$E:$E,MATCH(AT94,Vacantes!$A:$A,0)),"")</f>
        <v>1:30 p.m. a 5:30 p.m.</v>
      </c>
    </row>
    <row r="95" spans="1:53" x14ac:dyDescent="0.15">
      <c r="A95" t="s">
        <v>1351</v>
      </c>
      <c r="B95" t="s">
        <v>1352</v>
      </c>
      <c r="C95" t="s">
        <v>55</v>
      </c>
      <c r="D95">
        <v>1002156347</v>
      </c>
      <c r="E95" t="s">
        <v>56</v>
      </c>
      <c r="F95">
        <v>24</v>
      </c>
      <c r="G95" t="b">
        <v>1</v>
      </c>
      <c r="H95" t="s">
        <v>57</v>
      </c>
      <c r="I95" t="s">
        <v>57</v>
      </c>
      <c r="J95" t="s">
        <v>187</v>
      </c>
      <c r="L95" t="s">
        <v>243</v>
      </c>
      <c r="N95" t="b">
        <v>0</v>
      </c>
      <c r="O95" t="b">
        <v>0</v>
      </c>
      <c r="P95" t="s">
        <v>61</v>
      </c>
      <c r="Q95" t="s">
        <v>60</v>
      </c>
      <c r="R95" t="s">
        <v>244</v>
      </c>
      <c r="T95" t="s">
        <v>82</v>
      </c>
      <c r="W95" t="s">
        <v>80</v>
      </c>
      <c r="AB95" t="b">
        <v>0</v>
      </c>
      <c r="AC95" t="b">
        <v>0</v>
      </c>
      <c r="AE95" t="b">
        <v>0</v>
      </c>
      <c r="AG95" t="b">
        <v>0</v>
      </c>
      <c r="AI95" t="b">
        <v>0</v>
      </c>
      <c r="AK95" t="s">
        <v>202</v>
      </c>
      <c r="AL95" t="s">
        <v>66</v>
      </c>
      <c r="AM95" s="3">
        <v>46278</v>
      </c>
      <c r="AN95" s="4">
        <v>0.35966435185185192</v>
      </c>
      <c r="AO95" t="s">
        <v>1353</v>
      </c>
      <c r="AP95" t="s">
        <v>1354</v>
      </c>
      <c r="AQ95" t="s">
        <v>69</v>
      </c>
      <c r="AR95">
        <v>76.599999999999994</v>
      </c>
      <c r="AS95" t="s">
        <v>70</v>
      </c>
      <c r="AT95" t="s">
        <v>89</v>
      </c>
      <c r="AU95" t="s">
        <v>221</v>
      </c>
      <c r="AV95" t="s">
        <v>73</v>
      </c>
      <c r="AW95" t="str">
        <f t="shared" si="2"/>
        <v>Derecho</v>
      </c>
      <c r="AX95" t="str">
        <f t="shared" si="3"/>
        <v>310 3456622</v>
      </c>
      <c r="AY95" t="str">
        <f>IFERROR(INDEX(Vacantes!$C:$C,MATCH(AT95,Vacantes!$A:$A,0)),"")</f>
        <v>127</v>
      </c>
      <c r="AZ95" t="str">
        <f>IFERROR(INDEX(Vacantes!$D:$D,MATCH(AT95,Vacantes!$A:$A,0)),"")</f>
        <v>13 de octubre de 2026</v>
      </c>
      <c r="BA95" t="str">
        <f>IFERROR(INDEX(Vacantes!$E:$E,MATCH(AT95,Vacantes!$A:$A,0)),"")</f>
        <v>1:30 p.m. a 5:30 p.m.</v>
      </c>
    </row>
    <row r="96" spans="1:53" x14ac:dyDescent="0.15">
      <c r="A96" t="s">
        <v>1360</v>
      </c>
      <c r="B96" t="s">
        <v>1361</v>
      </c>
      <c r="C96" t="s">
        <v>55</v>
      </c>
      <c r="D96">
        <v>1013260058</v>
      </c>
      <c r="E96" t="s">
        <v>76</v>
      </c>
      <c r="F96">
        <v>20</v>
      </c>
      <c r="G96" t="b">
        <v>1</v>
      </c>
      <c r="H96" t="s">
        <v>131</v>
      </c>
      <c r="I96" t="s">
        <v>57</v>
      </c>
      <c r="J96" t="s">
        <v>458</v>
      </c>
      <c r="L96" t="s">
        <v>107</v>
      </c>
      <c r="N96" t="b">
        <v>1</v>
      </c>
      <c r="O96" t="b">
        <v>0</v>
      </c>
      <c r="P96" t="s">
        <v>60</v>
      </c>
      <c r="Q96" t="s">
        <v>60</v>
      </c>
      <c r="R96" t="s">
        <v>108</v>
      </c>
      <c r="W96" t="s">
        <v>109</v>
      </c>
      <c r="AA96" t="s">
        <v>439</v>
      </c>
      <c r="AB96" t="b">
        <v>0</v>
      </c>
      <c r="AC96" t="b">
        <v>0</v>
      </c>
      <c r="AE96" t="b">
        <v>0</v>
      </c>
      <c r="AG96" t="b">
        <v>0</v>
      </c>
      <c r="AI96" t="b">
        <v>0</v>
      </c>
      <c r="AK96" t="s">
        <v>65</v>
      </c>
      <c r="AL96" t="s">
        <v>66</v>
      </c>
      <c r="AM96" s="3">
        <v>46258</v>
      </c>
      <c r="AN96" s="4">
        <v>0.6683217592592593</v>
      </c>
      <c r="AO96">
        <v>3002356621</v>
      </c>
      <c r="AP96" t="s">
        <v>1362</v>
      </c>
      <c r="AQ96" t="s">
        <v>69</v>
      </c>
      <c r="AR96">
        <v>84.8</v>
      </c>
      <c r="AS96" t="s">
        <v>70</v>
      </c>
      <c r="AT96" t="s">
        <v>442</v>
      </c>
      <c r="AU96" t="s">
        <v>221</v>
      </c>
      <c r="AV96" t="s">
        <v>73</v>
      </c>
      <c r="AW96" t="str">
        <f t="shared" si="2"/>
        <v>Administración de Empresas</v>
      </c>
      <c r="AX96" t="str">
        <f t="shared" si="3"/>
        <v>3002356621</v>
      </c>
      <c r="AY96" t="str">
        <f>IFERROR(INDEX(Vacantes!$C:$C,MATCH(AT96,Vacantes!$A:$A,0)),"")</f>
        <v>127</v>
      </c>
      <c r="AZ96" t="str">
        <f>IFERROR(INDEX(Vacantes!$D:$D,MATCH(AT96,Vacantes!$A:$A,0)),"")</f>
        <v>13 de octubre de 2026</v>
      </c>
      <c r="BA96" t="str">
        <f>IFERROR(INDEX(Vacantes!$E:$E,MATCH(AT96,Vacantes!$A:$A,0)),"")</f>
        <v>1:30 p.m. a 5:30 p.m.</v>
      </c>
    </row>
    <row r="97" spans="1:53" x14ac:dyDescent="0.15">
      <c r="A97" t="s">
        <v>1363</v>
      </c>
      <c r="B97" t="s">
        <v>1364</v>
      </c>
      <c r="C97" t="s">
        <v>55</v>
      </c>
      <c r="D97">
        <v>1007475387</v>
      </c>
      <c r="E97" t="s">
        <v>76</v>
      </c>
      <c r="F97">
        <v>24</v>
      </c>
      <c r="G97" t="b">
        <v>1</v>
      </c>
      <c r="H97" t="s">
        <v>538</v>
      </c>
      <c r="I97" t="s">
        <v>57</v>
      </c>
      <c r="J97" t="s">
        <v>495</v>
      </c>
      <c r="L97" t="s">
        <v>107</v>
      </c>
      <c r="N97" t="b">
        <v>0</v>
      </c>
      <c r="O97" t="b">
        <v>0</v>
      </c>
      <c r="P97" t="s">
        <v>60</v>
      </c>
      <c r="Q97" t="s">
        <v>60</v>
      </c>
      <c r="R97" t="s">
        <v>64</v>
      </c>
      <c r="W97" t="s">
        <v>89</v>
      </c>
      <c r="Z97" t="s">
        <v>151</v>
      </c>
      <c r="AB97" t="b">
        <v>0</v>
      </c>
      <c r="AC97" t="b">
        <v>0</v>
      </c>
      <c r="AE97" t="b">
        <v>0</v>
      </c>
      <c r="AG97" t="b">
        <v>0</v>
      </c>
      <c r="AI97" t="b">
        <v>0</v>
      </c>
      <c r="AK97" t="s">
        <v>94</v>
      </c>
      <c r="AL97" t="s">
        <v>66</v>
      </c>
      <c r="AM97" s="3">
        <v>46259</v>
      </c>
      <c r="AN97" s="4">
        <v>0.55432870370370368</v>
      </c>
      <c r="AO97" t="s">
        <v>1365</v>
      </c>
      <c r="AP97" t="s">
        <v>1366</v>
      </c>
      <c r="AQ97" t="s">
        <v>69</v>
      </c>
      <c r="AR97">
        <v>80</v>
      </c>
      <c r="AS97" t="s">
        <v>70</v>
      </c>
      <c r="AT97" t="s">
        <v>97</v>
      </c>
      <c r="AU97" t="s">
        <v>221</v>
      </c>
      <c r="AV97" t="s">
        <v>73</v>
      </c>
      <c r="AW97" t="str">
        <f t="shared" si="2"/>
        <v>Administración de Empresas</v>
      </c>
      <c r="AX97" t="str">
        <f t="shared" si="3"/>
        <v>313 3019024</v>
      </c>
      <c r="AY97" t="str">
        <f>IFERROR(INDEX(Vacantes!$C:$C,MATCH(AT97,Vacantes!$A:$A,0)),"")</f>
        <v>127</v>
      </c>
      <c r="AZ97" t="str">
        <f>IFERROR(INDEX(Vacantes!$D:$D,MATCH(AT97,Vacantes!$A:$A,0)),"")</f>
        <v>13 de octubre de 2026</v>
      </c>
      <c r="BA97" t="str">
        <f>IFERROR(INDEX(Vacantes!$E:$E,MATCH(AT97,Vacantes!$A:$A,0)),"")</f>
        <v>7:30 a.m. a 11:30 a.m.</v>
      </c>
    </row>
    <row r="98" spans="1:53" x14ac:dyDescent="0.15">
      <c r="A98" t="s">
        <v>1367</v>
      </c>
      <c r="B98" t="s">
        <v>1368</v>
      </c>
      <c r="C98" t="s">
        <v>55</v>
      </c>
      <c r="D98">
        <v>1002760191</v>
      </c>
      <c r="E98" t="s">
        <v>76</v>
      </c>
      <c r="F98">
        <v>22</v>
      </c>
      <c r="G98" t="b">
        <v>1</v>
      </c>
      <c r="H98" t="s">
        <v>1369</v>
      </c>
      <c r="I98" t="s">
        <v>57</v>
      </c>
      <c r="J98" t="s">
        <v>554</v>
      </c>
      <c r="L98" t="s">
        <v>80</v>
      </c>
      <c r="N98" t="b">
        <v>0</v>
      </c>
      <c r="O98" t="b">
        <v>0</v>
      </c>
      <c r="P98" t="s">
        <v>60</v>
      </c>
      <c r="Q98" t="s">
        <v>60</v>
      </c>
      <c r="R98" t="s">
        <v>80</v>
      </c>
      <c r="W98" t="s">
        <v>81</v>
      </c>
      <c r="Y98" t="s">
        <v>82</v>
      </c>
      <c r="AB98" t="b">
        <v>0</v>
      </c>
      <c r="AC98" t="b">
        <v>0</v>
      </c>
      <c r="AE98" t="b">
        <v>0</v>
      </c>
      <c r="AG98" t="b">
        <v>0</v>
      </c>
      <c r="AI98" t="b">
        <v>0</v>
      </c>
      <c r="AK98" t="s">
        <v>94</v>
      </c>
      <c r="AL98" t="s">
        <v>66</v>
      </c>
      <c r="AM98" s="3">
        <v>46264</v>
      </c>
      <c r="AN98" s="4">
        <v>0.43061342592592589</v>
      </c>
      <c r="AO98" t="s">
        <v>1370</v>
      </c>
      <c r="AP98" t="s">
        <v>1371</v>
      </c>
      <c r="AQ98" t="s">
        <v>69</v>
      </c>
      <c r="AR98">
        <v>86.4</v>
      </c>
      <c r="AS98" t="s">
        <v>70</v>
      </c>
      <c r="AT98" t="s">
        <v>102</v>
      </c>
      <c r="AU98" t="s">
        <v>221</v>
      </c>
      <c r="AV98" t="s">
        <v>73</v>
      </c>
      <c r="AW98" t="str">
        <f t="shared" si="2"/>
        <v>Finanzas</v>
      </c>
      <c r="AX98" t="str">
        <f t="shared" si="3"/>
        <v>310 7613100</v>
      </c>
      <c r="AY98" t="str">
        <f>IFERROR(INDEX(Vacantes!$C:$C,MATCH(AT98,Vacantes!$A:$A,0)),"")</f>
        <v>127</v>
      </c>
      <c r="AZ98" t="str">
        <f>IFERROR(INDEX(Vacantes!$D:$D,MATCH(AT98,Vacantes!$A:$A,0)),"")</f>
        <v>13 de octubre de 2026</v>
      </c>
      <c r="BA98" t="str">
        <f>IFERROR(INDEX(Vacantes!$E:$E,MATCH(AT98,Vacantes!$A:$A,0)),"")</f>
        <v>7:30 a.m. a 11:30 a.m.</v>
      </c>
    </row>
    <row r="99" spans="1:53" x14ac:dyDescent="0.15">
      <c r="A99" t="s">
        <v>1421</v>
      </c>
      <c r="B99" t="s">
        <v>1422</v>
      </c>
      <c r="C99" t="s">
        <v>55</v>
      </c>
      <c r="D99">
        <v>1095788078</v>
      </c>
      <c r="E99" t="s">
        <v>76</v>
      </c>
      <c r="F99">
        <v>22</v>
      </c>
      <c r="G99" t="b">
        <v>1</v>
      </c>
      <c r="I99" t="s">
        <v>57</v>
      </c>
      <c r="J99" t="s">
        <v>187</v>
      </c>
      <c r="L99" t="s">
        <v>135</v>
      </c>
      <c r="N99" t="b">
        <v>1</v>
      </c>
      <c r="O99" t="b">
        <v>0</v>
      </c>
      <c r="P99" t="s">
        <v>61</v>
      </c>
      <c r="Q99" t="s">
        <v>61</v>
      </c>
      <c r="R99" t="s">
        <v>135</v>
      </c>
      <c r="W99" t="s">
        <v>108</v>
      </c>
      <c r="AB99" t="b">
        <v>0</v>
      </c>
      <c r="AC99" t="b">
        <v>0</v>
      </c>
      <c r="AE99" t="b">
        <v>0</v>
      </c>
      <c r="AG99" t="b">
        <v>0</v>
      </c>
      <c r="AI99" t="b">
        <v>0</v>
      </c>
      <c r="AK99" t="s">
        <v>65</v>
      </c>
      <c r="AL99" t="s">
        <v>66</v>
      </c>
      <c r="AM99" s="3">
        <v>46278</v>
      </c>
      <c r="AN99" s="4">
        <v>0.43967592592592591</v>
      </c>
      <c r="AO99" t="s">
        <v>1423</v>
      </c>
      <c r="AP99" t="s">
        <v>1424</v>
      </c>
      <c r="AQ99" t="s">
        <v>69</v>
      </c>
      <c r="AR99">
        <v>86.2</v>
      </c>
      <c r="AS99" t="s">
        <v>70</v>
      </c>
      <c r="AT99" t="s">
        <v>137</v>
      </c>
      <c r="AU99" t="s">
        <v>221</v>
      </c>
      <c r="AV99" t="s">
        <v>73</v>
      </c>
      <c r="AW99" t="str">
        <f t="shared" si="2"/>
        <v>Logística</v>
      </c>
      <c r="AX99" t="str">
        <f t="shared" si="3"/>
        <v>320 4915165</v>
      </c>
      <c r="AY99" t="str">
        <f>IFERROR(INDEX(Vacantes!$C:$C,MATCH(AT99,Vacantes!$A:$A,0)),"")</f>
        <v>127</v>
      </c>
      <c r="AZ99" t="str">
        <f>IFERROR(INDEX(Vacantes!$D:$D,MATCH(AT99,Vacantes!$A:$A,0)),"")</f>
        <v>13 de octubre de 2026</v>
      </c>
      <c r="BA99" t="str">
        <f>IFERROR(INDEX(Vacantes!$E:$E,MATCH(AT99,Vacantes!$A:$A,0)),"")</f>
        <v>7:30 a.m. a 11:30 a.m.</v>
      </c>
    </row>
    <row r="100" spans="1:53" x14ac:dyDescent="0.15">
      <c r="A100" t="s">
        <v>1444</v>
      </c>
      <c r="B100" t="s">
        <v>1445</v>
      </c>
      <c r="C100" t="s">
        <v>55</v>
      </c>
      <c r="D100">
        <v>1004360759</v>
      </c>
      <c r="E100" t="s">
        <v>56</v>
      </c>
      <c r="F100">
        <v>23</v>
      </c>
      <c r="G100" t="b">
        <v>1</v>
      </c>
      <c r="H100" t="s">
        <v>1446</v>
      </c>
      <c r="I100" t="s">
        <v>57</v>
      </c>
      <c r="J100" t="s">
        <v>1003</v>
      </c>
      <c r="L100" t="s">
        <v>134</v>
      </c>
      <c r="N100" t="b">
        <v>0</v>
      </c>
      <c r="O100" t="b">
        <v>0</v>
      </c>
      <c r="P100" t="s">
        <v>60</v>
      </c>
      <c r="Q100" t="s">
        <v>60</v>
      </c>
      <c r="R100" t="s">
        <v>64</v>
      </c>
      <c r="W100" t="s">
        <v>135</v>
      </c>
      <c r="Z100" t="s">
        <v>152</v>
      </c>
      <c r="AB100" t="b">
        <v>0</v>
      </c>
      <c r="AC100" t="b">
        <v>0</v>
      </c>
      <c r="AE100" t="b">
        <v>0</v>
      </c>
      <c r="AG100" t="b">
        <v>0</v>
      </c>
      <c r="AI100" t="b">
        <v>0</v>
      </c>
      <c r="AK100" t="s">
        <v>202</v>
      </c>
      <c r="AL100" t="s">
        <v>66</v>
      </c>
      <c r="AM100" s="3">
        <v>46277</v>
      </c>
      <c r="AN100" s="4">
        <v>0.91222222222222227</v>
      </c>
      <c r="AO100" t="s">
        <v>1447</v>
      </c>
      <c r="AP100" t="s">
        <v>1448</v>
      </c>
      <c r="AQ100" t="s">
        <v>69</v>
      </c>
      <c r="AR100">
        <v>79.8</v>
      </c>
      <c r="AS100" t="s">
        <v>70</v>
      </c>
      <c r="AT100" t="s">
        <v>939</v>
      </c>
      <c r="AU100" t="s">
        <v>221</v>
      </c>
      <c r="AV100" t="s">
        <v>73</v>
      </c>
      <c r="AW100" t="str">
        <f t="shared" si="2"/>
        <v>Negocios Internacionales</v>
      </c>
      <c r="AX100" t="str">
        <f t="shared" si="3"/>
        <v>304 3749681</v>
      </c>
      <c r="AY100" t="str">
        <f>IFERROR(INDEX(Vacantes!$C:$C,MATCH(AT100,Vacantes!$A:$A,0)),"")</f>
        <v>127</v>
      </c>
      <c r="AZ100" t="str">
        <f>IFERROR(INDEX(Vacantes!$D:$D,MATCH(AT100,Vacantes!$A:$A,0)),"")</f>
        <v>13 de octubre de 2026</v>
      </c>
      <c r="BA100" t="str">
        <f>IFERROR(INDEX(Vacantes!$E:$E,MATCH(AT100,Vacantes!$A:$A,0)),"")</f>
        <v>7:30 a.m. a 11:30 a.m.</v>
      </c>
    </row>
    <row r="101" spans="1:53" x14ac:dyDescent="0.15">
      <c r="A101" t="s">
        <v>1449</v>
      </c>
      <c r="B101" t="s">
        <v>1450</v>
      </c>
      <c r="C101" t="s">
        <v>55</v>
      </c>
      <c r="D101">
        <v>1011088751</v>
      </c>
      <c r="E101" t="s">
        <v>76</v>
      </c>
      <c r="F101">
        <v>20</v>
      </c>
      <c r="G101" t="b">
        <v>1</v>
      </c>
      <c r="H101" t="s">
        <v>77</v>
      </c>
      <c r="I101" t="s">
        <v>57</v>
      </c>
      <c r="J101" t="s">
        <v>234</v>
      </c>
      <c r="L101" t="s">
        <v>143</v>
      </c>
      <c r="N101" t="b">
        <v>1</v>
      </c>
      <c r="O101" t="b">
        <v>0</v>
      </c>
      <c r="P101" t="s">
        <v>60</v>
      </c>
      <c r="Q101" t="s">
        <v>61</v>
      </c>
      <c r="R101" t="s">
        <v>64</v>
      </c>
      <c r="W101" t="s">
        <v>135</v>
      </c>
      <c r="Z101" t="s">
        <v>151</v>
      </c>
      <c r="AB101" t="b">
        <v>0</v>
      </c>
      <c r="AC101" t="b">
        <v>0</v>
      </c>
      <c r="AE101" t="b">
        <v>0</v>
      </c>
      <c r="AG101" t="b">
        <v>0</v>
      </c>
      <c r="AI101" t="b">
        <v>0</v>
      </c>
      <c r="AK101" t="s">
        <v>65</v>
      </c>
      <c r="AL101" t="s">
        <v>66</v>
      </c>
      <c r="AM101" s="3">
        <v>46264</v>
      </c>
      <c r="AN101" s="4">
        <v>0.43060185185185179</v>
      </c>
      <c r="AO101" t="s">
        <v>1451</v>
      </c>
      <c r="AP101" t="s">
        <v>1452</v>
      </c>
      <c r="AQ101" t="s">
        <v>69</v>
      </c>
      <c r="AR101">
        <v>95.1</v>
      </c>
      <c r="AS101" t="s">
        <v>70</v>
      </c>
      <c r="AT101" t="s">
        <v>156</v>
      </c>
      <c r="AU101" t="s">
        <v>221</v>
      </c>
      <c r="AV101" t="s">
        <v>73</v>
      </c>
      <c r="AW101" t="str">
        <f t="shared" si="2"/>
        <v>Ingeniería Industrial</v>
      </c>
      <c r="AX101" t="str">
        <f t="shared" si="3"/>
        <v>315 6775560</v>
      </c>
      <c r="AY101" t="str">
        <f>IFERROR(INDEX(Vacantes!$C:$C,MATCH(AT101,Vacantes!$A:$A,0)),"")</f>
        <v>127</v>
      </c>
      <c r="AZ101" t="str">
        <f>IFERROR(INDEX(Vacantes!$D:$D,MATCH(AT101,Vacantes!$A:$A,0)),"")</f>
        <v>13 de octubre de 2026</v>
      </c>
      <c r="BA101" t="str">
        <f>IFERROR(INDEX(Vacantes!$E:$E,MATCH(AT101,Vacantes!$A:$A,0)),"")</f>
        <v>1:30 p.m. a 5:30 p.m.</v>
      </c>
    </row>
    <row r="102" spans="1:53" x14ac:dyDescent="0.15">
      <c r="A102" t="s">
        <v>1453</v>
      </c>
      <c r="B102" t="s">
        <v>1454</v>
      </c>
      <c r="C102" t="s">
        <v>55</v>
      </c>
      <c r="D102">
        <v>1010004486</v>
      </c>
      <c r="E102" t="s">
        <v>56</v>
      </c>
      <c r="F102">
        <v>22</v>
      </c>
      <c r="G102" t="b">
        <v>1</v>
      </c>
      <c r="H102" t="s">
        <v>57</v>
      </c>
      <c r="I102" t="s">
        <v>57</v>
      </c>
      <c r="J102" t="s">
        <v>495</v>
      </c>
      <c r="L102" t="s">
        <v>521</v>
      </c>
      <c r="N102" t="b">
        <v>0</v>
      </c>
      <c r="O102" t="b">
        <v>0</v>
      </c>
      <c r="P102" t="s">
        <v>60</v>
      </c>
      <c r="Q102" t="s">
        <v>60</v>
      </c>
      <c r="R102" t="s">
        <v>113</v>
      </c>
      <c r="U102" t="s">
        <v>151</v>
      </c>
      <c r="W102" t="s">
        <v>64</v>
      </c>
      <c r="AB102" t="b">
        <v>0</v>
      </c>
      <c r="AC102" t="b">
        <v>0</v>
      </c>
      <c r="AE102" t="b">
        <v>0</v>
      </c>
      <c r="AG102" t="b">
        <v>0</v>
      </c>
      <c r="AI102" t="b">
        <v>0</v>
      </c>
      <c r="AK102" t="s">
        <v>94</v>
      </c>
      <c r="AL102" t="s">
        <v>66</v>
      </c>
      <c r="AM102" s="3">
        <v>46269</v>
      </c>
      <c r="AN102" s="4">
        <v>0.24934027777777781</v>
      </c>
      <c r="AO102">
        <v>3182840338</v>
      </c>
      <c r="AP102" t="s">
        <v>1455</v>
      </c>
      <c r="AQ102" t="s">
        <v>69</v>
      </c>
      <c r="AR102">
        <v>90.7</v>
      </c>
      <c r="AS102" t="s">
        <v>70</v>
      </c>
      <c r="AT102" t="s">
        <v>156</v>
      </c>
      <c r="AU102" t="s">
        <v>221</v>
      </c>
      <c r="AV102" t="s">
        <v>73</v>
      </c>
      <c r="AW102" t="str">
        <f t="shared" si="2"/>
        <v>Comunicación social</v>
      </c>
      <c r="AX102" t="str">
        <f t="shared" si="3"/>
        <v>3182840338</v>
      </c>
      <c r="AY102" t="str">
        <f>IFERROR(INDEX(Vacantes!$C:$C,MATCH(AT102,Vacantes!$A:$A,0)),"")</f>
        <v>127</v>
      </c>
      <c r="AZ102" t="str">
        <f>IFERROR(INDEX(Vacantes!$D:$D,MATCH(AT102,Vacantes!$A:$A,0)),"")</f>
        <v>13 de octubre de 2026</v>
      </c>
      <c r="BA102" t="str">
        <f>IFERROR(INDEX(Vacantes!$E:$E,MATCH(AT102,Vacantes!$A:$A,0)),"")</f>
        <v>1:30 p.m. a 5:30 p.m.</v>
      </c>
    </row>
    <row r="103" spans="1:53" x14ac:dyDescent="0.15">
      <c r="A103" t="s">
        <v>1456</v>
      </c>
      <c r="B103" t="s">
        <v>1457</v>
      </c>
      <c r="C103" t="s">
        <v>55</v>
      </c>
      <c r="D103">
        <v>1025322663</v>
      </c>
      <c r="E103" t="s">
        <v>76</v>
      </c>
      <c r="F103">
        <v>20</v>
      </c>
      <c r="G103" t="b">
        <v>1</v>
      </c>
      <c r="I103" t="s">
        <v>57</v>
      </c>
      <c r="J103" t="s">
        <v>242</v>
      </c>
      <c r="L103" t="s">
        <v>107</v>
      </c>
      <c r="N103" t="b">
        <v>0</v>
      </c>
      <c r="O103" t="b">
        <v>0</v>
      </c>
      <c r="P103" t="s">
        <v>60</v>
      </c>
      <c r="Q103" t="s">
        <v>60</v>
      </c>
      <c r="R103" t="s">
        <v>135</v>
      </c>
      <c r="U103" t="s">
        <v>152</v>
      </c>
      <c r="W103" t="s">
        <v>64</v>
      </c>
      <c r="AB103" t="b">
        <v>0</v>
      </c>
      <c r="AC103" t="b">
        <v>0</v>
      </c>
      <c r="AE103" t="b">
        <v>0</v>
      </c>
      <c r="AG103" t="b">
        <v>0</v>
      </c>
      <c r="AI103" t="b">
        <v>0</v>
      </c>
      <c r="AK103" t="s">
        <v>202</v>
      </c>
      <c r="AL103" t="s">
        <v>66</v>
      </c>
      <c r="AM103" s="3">
        <v>46257</v>
      </c>
      <c r="AN103" s="4">
        <v>0.77711805555555558</v>
      </c>
      <c r="AO103" t="s">
        <v>1458</v>
      </c>
      <c r="AP103" t="s">
        <v>1459</v>
      </c>
      <c r="AQ103" t="s">
        <v>69</v>
      </c>
      <c r="AR103">
        <v>87.3</v>
      </c>
      <c r="AS103" t="s">
        <v>70</v>
      </c>
      <c r="AT103" t="s">
        <v>156</v>
      </c>
      <c r="AU103" t="s">
        <v>221</v>
      </c>
      <c r="AV103" t="s">
        <v>184</v>
      </c>
      <c r="AW103" t="str">
        <f t="shared" si="2"/>
        <v>Administración de Empresas</v>
      </c>
      <c r="AX103" t="str">
        <f t="shared" si="3"/>
        <v>304 6848832</v>
      </c>
      <c r="AY103" t="str">
        <f>IFERROR(INDEX(Vacantes!$C:$C,MATCH(AT103,Vacantes!$A:$A,0)),"")</f>
        <v>127</v>
      </c>
      <c r="AZ103" t="str">
        <f>IFERROR(INDEX(Vacantes!$D:$D,MATCH(AT103,Vacantes!$A:$A,0)),"")</f>
        <v>13 de octubre de 2026</v>
      </c>
      <c r="BA103" t="str">
        <f>IFERROR(INDEX(Vacantes!$E:$E,MATCH(AT103,Vacantes!$A:$A,0)),"")</f>
        <v>1:30 p.m. a 5:30 p.m.</v>
      </c>
    </row>
    <row r="104" spans="1:53" x14ac:dyDescent="0.15">
      <c r="A104" t="s">
        <v>1496</v>
      </c>
      <c r="B104" t="s">
        <v>1497</v>
      </c>
      <c r="C104" t="s">
        <v>55</v>
      </c>
      <c r="D104">
        <v>1034400353</v>
      </c>
      <c r="E104" t="s">
        <v>56</v>
      </c>
      <c r="F104">
        <v>19</v>
      </c>
      <c r="G104" t="b">
        <v>1</v>
      </c>
      <c r="I104" t="s">
        <v>57</v>
      </c>
      <c r="J104" t="s">
        <v>242</v>
      </c>
      <c r="L104" t="s">
        <v>132</v>
      </c>
      <c r="M104" t="s">
        <v>1498</v>
      </c>
      <c r="N104" t="b">
        <v>0</v>
      </c>
      <c r="O104" t="b">
        <v>0</v>
      </c>
      <c r="P104" t="s">
        <v>60</v>
      </c>
      <c r="Q104" t="s">
        <v>60</v>
      </c>
      <c r="R104" t="s">
        <v>62</v>
      </c>
      <c r="T104" t="s">
        <v>82</v>
      </c>
      <c r="W104" t="s">
        <v>80</v>
      </c>
      <c r="AB104" t="b">
        <v>0</v>
      </c>
      <c r="AC104" t="b">
        <v>0</v>
      </c>
      <c r="AE104" t="b">
        <v>0</v>
      </c>
      <c r="AG104" t="b">
        <v>0</v>
      </c>
      <c r="AI104" t="b">
        <v>0</v>
      </c>
      <c r="AK104" t="s">
        <v>94</v>
      </c>
      <c r="AL104" t="s">
        <v>66</v>
      </c>
      <c r="AM104" s="3">
        <v>46256</v>
      </c>
      <c r="AN104" s="4">
        <v>0.65561342592592597</v>
      </c>
      <c r="AO104">
        <v>3003382233</v>
      </c>
      <c r="AP104" t="s">
        <v>1499</v>
      </c>
      <c r="AQ104" t="s">
        <v>69</v>
      </c>
      <c r="AR104">
        <v>98.5</v>
      </c>
      <c r="AS104" t="s">
        <v>85</v>
      </c>
      <c r="AT104" t="s">
        <v>183</v>
      </c>
      <c r="AU104" t="s">
        <v>221</v>
      </c>
      <c r="AV104" t="s">
        <v>184</v>
      </c>
      <c r="AW104" t="str">
        <f t="shared" si="2"/>
        <v>Ciencia De Datos</v>
      </c>
      <c r="AX104" t="str">
        <f t="shared" si="3"/>
        <v>3003382233</v>
      </c>
      <c r="AY104" t="str">
        <f>IFERROR(INDEX(Vacantes!$C:$C,MATCH(AT104,Vacantes!$A:$A,0)),"")</f>
        <v>127</v>
      </c>
      <c r="AZ104" t="str">
        <f>IFERROR(INDEX(Vacantes!$D:$D,MATCH(AT104,Vacantes!$A:$A,0)),"")</f>
        <v>13 de octubre de 2026</v>
      </c>
      <c r="BA104" t="str">
        <f>IFERROR(INDEX(Vacantes!$E:$E,MATCH(AT104,Vacantes!$A:$A,0)),"")</f>
        <v>7:30 a.m. a 11:30 a.m.</v>
      </c>
    </row>
    <row r="105" spans="1:53" x14ac:dyDescent="0.15">
      <c r="A105" s="5" t="s">
        <v>1524</v>
      </c>
      <c r="B105" s="5" t="s">
        <v>1525</v>
      </c>
      <c r="C105" s="5" t="s">
        <v>55</v>
      </c>
      <c r="D105" s="5">
        <v>1069302644</v>
      </c>
      <c r="E105" s="5" t="s">
        <v>76</v>
      </c>
      <c r="F105" s="5">
        <v>20</v>
      </c>
      <c r="G105" s="5" t="b">
        <v>1</v>
      </c>
      <c r="H105" s="5"/>
      <c r="I105" s="5" t="s">
        <v>57</v>
      </c>
      <c r="J105" s="5" t="s">
        <v>234</v>
      </c>
      <c r="K105" s="5"/>
      <c r="L105" s="5" t="s">
        <v>1043</v>
      </c>
      <c r="M105" s="5"/>
      <c r="N105" s="5" t="b">
        <v>1</v>
      </c>
      <c r="O105" s="5" t="b">
        <v>0</v>
      </c>
      <c r="P105" s="5" t="s">
        <v>60</v>
      </c>
      <c r="Q105" s="5" t="s">
        <v>60</v>
      </c>
      <c r="R105" s="5" t="s">
        <v>80</v>
      </c>
      <c r="S105" s="5"/>
      <c r="T105" s="5"/>
      <c r="U105" s="5"/>
      <c r="V105" s="5"/>
      <c r="W105" s="5" t="s">
        <v>81</v>
      </c>
      <c r="X105" s="5"/>
      <c r="Y105" s="5" t="s">
        <v>82</v>
      </c>
      <c r="Z105" s="5"/>
      <c r="AA105" s="5"/>
      <c r="AB105" s="5" t="b">
        <v>0</v>
      </c>
      <c r="AC105" s="5" t="b">
        <v>0</v>
      </c>
      <c r="AD105" s="5"/>
      <c r="AE105" s="5" t="b">
        <v>0</v>
      </c>
      <c r="AF105" s="5"/>
      <c r="AG105" s="5" t="b">
        <v>0</v>
      </c>
      <c r="AH105" s="5"/>
      <c r="AI105" s="5" t="b">
        <v>0</v>
      </c>
      <c r="AJ105" s="5"/>
      <c r="AK105" s="5" t="s">
        <v>153</v>
      </c>
      <c r="AL105" s="5" t="s">
        <v>66</v>
      </c>
      <c r="AM105" s="6">
        <v>46257</v>
      </c>
      <c r="AN105" s="7">
        <v>0.77718750000000003</v>
      </c>
      <c r="AO105" s="5" t="s">
        <v>1526</v>
      </c>
      <c r="AP105" s="5" t="s">
        <v>1527</v>
      </c>
      <c r="AQ105" s="5" t="s">
        <v>69</v>
      </c>
      <c r="AR105" s="5">
        <v>81.2</v>
      </c>
      <c r="AS105" s="5" t="s">
        <v>70</v>
      </c>
      <c r="AT105" s="5" t="s">
        <v>71</v>
      </c>
      <c r="AU105" s="5" t="s">
        <v>221</v>
      </c>
      <c r="AV105" s="5" t="s">
        <v>73</v>
      </c>
      <c r="AW105" s="5" t="str">
        <f t="shared" si="2"/>
        <v>Contaduría Pública</v>
      </c>
      <c r="AX105" s="5" t="str">
        <f t="shared" si="3"/>
        <v>305 3525708</v>
      </c>
      <c r="AY105" s="5" t="str">
        <f>IFERROR(INDEX(Vacantes!$C:$C,MATCH(AT105,Vacantes!$A:$A,0)),"")</f>
        <v>127</v>
      </c>
      <c r="AZ105" s="5" t="str">
        <f>IFERROR(INDEX(Vacantes!$D:$D,MATCH(AT105,Vacantes!$A:$A,0)),"")</f>
        <v>13 de octubre de 2026</v>
      </c>
      <c r="BA105" s="5" t="str">
        <f>IFERROR(INDEX(Vacantes!$E:$E,MATCH(AT105,Vacantes!$A:$A,0)),"")</f>
        <v>7:30 a.m. a 11:30 a.m.</v>
      </c>
    </row>
    <row r="106" spans="1:53" x14ac:dyDescent="0.15">
      <c r="A106" t="s">
        <v>1528</v>
      </c>
      <c r="B106" t="s">
        <v>1529</v>
      </c>
      <c r="C106" t="s">
        <v>55</v>
      </c>
      <c r="D106">
        <v>1007529993</v>
      </c>
      <c r="E106" t="s">
        <v>76</v>
      </c>
      <c r="F106">
        <v>24</v>
      </c>
      <c r="G106" t="b">
        <v>1</v>
      </c>
      <c r="H106" t="s">
        <v>88</v>
      </c>
      <c r="I106" t="s">
        <v>57</v>
      </c>
      <c r="J106" t="s">
        <v>78</v>
      </c>
      <c r="L106" t="s">
        <v>107</v>
      </c>
      <c r="N106" t="b">
        <v>0</v>
      </c>
      <c r="O106" t="b">
        <v>0</v>
      </c>
      <c r="P106" t="s">
        <v>61</v>
      </c>
      <c r="Q106" t="s">
        <v>61</v>
      </c>
      <c r="R106" t="s">
        <v>80</v>
      </c>
      <c r="W106" t="s">
        <v>81</v>
      </c>
      <c r="Y106" t="s">
        <v>82</v>
      </c>
      <c r="AB106" t="b">
        <v>0</v>
      </c>
      <c r="AC106" t="b">
        <v>0</v>
      </c>
      <c r="AE106" t="b">
        <v>0</v>
      </c>
      <c r="AG106" t="b">
        <v>0</v>
      </c>
      <c r="AI106" t="b">
        <v>0</v>
      </c>
      <c r="AK106" t="s">
        <v>65</v>
      </c>
      <c r="AL106" t="s">
        <v>66</v>
      </c>
      <c r="AM106" s="3">
        <v>46261</v>
      </c>
      <c r="AN106" s="4">
        <v>0.39037037037037042</v>
      </c>
      <c r="AO106" t="s">
        <v>1530</v>
      </c>
      <c r="AP106" t="s">
        <v>1531</v>
      </c>
      <c r="AQ106" t="s">
        <v>69</v>
      </c>
      <c r="AR106">
        <v>84.9</v>
      </c>
      <c r="AS106" t="s">
        <v>70</v>
      </c>
      <c r="AT106" t="s">
        <v>71</v>
      </c>
      <c r="AV106" t="s">
        <v>73</v>
      </c>
      <c r="AW106" t="str">
        <f t="shared" si="2"/>
        <v>Administración de Empresas</v>
      </c>
      <c r="AX106" t="str">
        <f t="shared" si="3"/>
        <v>315 5444444</v>
      </c>
      <c r="AY106" t="str">
        <f>IFERROR(INDEX(Vacantes!$C:$C,MATCH(AT106,Vacantes!$A:$A,0)),"")</f>
        <v>127</v>
      </c>
      <c r="AZ106" t="str">
        <f>IFERROR(INDEX(Vacantes!$D:$D,MATCH(AT106,Vacantes!$A:$A,0)),"")</f>
        <v>13 de octubre de 2026</v>
      </c>
      <c r="BA106" t="str">
        <f>IFERROR(INDEX(Vacantes!$E:$E,MATCH(AT106,Vacantes!$A:$A,0)),"")</f>
        <v>7:30 a.m. a 11:30 a.m.</v>
      </c>
    </row>
    <row r="107" spans="1:53" x14ac:dyDescent="0.15">
      <c r="A107" t="s">
        <v>1532</v>
      </c>
      <c r="B107" t="s">
        <v>1533</v>
      </c>
      <c r="C107" t="s">
        <v>55</v>
      </c>
      <c r="D107">
        <v>1034576632</v>
      </c>
      <c r="E107" t="s">
        <v>56</v>
      </c>
      <c r="F107">
        <v>21</v>
      </c>
      <c r="G107" t="b">
        <v>1</v>
      </c>
      <c r="I107" t="s">
        <v>57</v>
      </c>
      <c r="J107" t="s">
        <v>458</v>
      </c>
      <c r="L107" t="s">
        <v>107</v>
      </c>
      <c r="N107" t="b">
        <v>1</v>
      </c>
      <c r="O107" t="b">
        <v>0</v>
      </c>
      <c r="P107" t="s">
        <v>61</v>
      </c>
      <c r="Q107" t="s">
        <v>60</v>
      </c>
      <c r="R107" t="s">
        <v>80</v>
      </c>
      <c r="W107" t="s">
        <v>89</v>
      </c>
      <c r="Y107" t="s">
        <v>82</v>
      </c>
      <c r="AB107" t="b">
        <v>0</v>
      </c>
      <c r="AC107" t="b">
        <v>0</v>
      </c>
      <c r="AE107" t="b">
        <v>0</v>
      </c>
      <c r="AG107" t="b">
        <v>0</v>
      </c>
      <c r="AI107" t="b">
        <v>0</v>
      </c>
      <c r="AK107" t="s">
        <v>202</v>
      </c>
      <c r="AL107" t="s">
        <v>66</v>
      </c>
      <c r="AM107" s="3">
        <v>46275</v>
      </c>
      <c r="AN107" s="4">
        <v>0.3818287037037037</v>
      </c>
      <c r="AO107" t="s">
        <v>1534</v>
      </c>
      <c r="AP107" t="s">
        <v>1535</v>
      </c>
      <c r="AQ107" t="s">
        <v>69</v>
      </c>
      <c r="AR107">
        <v>88.6</v>
      </c>
      <c r="AS107" t="s">
        <v>70</v>
      </c>
      <c r="AT107" t="s">
        <v>71</v>
      </c>
      <c r="AU107" t="s">
        <v>72</v>
      </c>
      <c r="AV107" t="s">
        <v>73</v>
      </c>
      <c r="AW107" t="str">
        <f t="shared" si="2"/>
        <v>Administración de Empresas</v>
      </c>
      <c r="AX107" t="str">
        <f t="shared" si="3"/>
        <v>322 3704429</v>
      </c>
      <c r="AY107" t="str">
        <f>IFERROR(INDEX(Vacantes!$C:$C,MATCH(AT107,Vacantes!$A:$A,0)),"")</f>
        <v>127</v>
      </c>
      <c r="AZ107" t="str">
        <f>IFERROR(INDEX(Vacantes!$D:$D,MATCH(AT107,Vacantes!$A:$A,0)),"")</f>
        <v>13 de octubre de 2026</v>
      </c>
      <c r="BA107" t="str">
        <f>IFERROR(INDEX(Vacantes!$E:$E,MATCH(AT107,Vacantes!$A:$A,0)),"")</f>
        <v>7:30 a.m. a 11:30 a.m.</v>
      </c>
    </row>
    <row r="108" spans="1:53" x14ac:dyDescent="0.15">
      <c r="A108" t="s">
        <v>1536</v>
      </c>
      <c r="B108" t="s">
        <v>1537</v>
      </c>
      <c r="C108" t="s">
        <v>55</v>
      </c>
      <c r="D108">
        <v>1054283421</v>
      </c>
      <c r="E108" t="s">
        <v>76</v>
      </c>
      <c r="F108">
        <v>21</v>
      </c>
      <c r="G108" t="b">
        <v>1</v>
      </c>
      <c r="I108" t="s">
        <v>57</v>
      </c>
      <c r="J108" t="s">
        <v>554</v>
      </c>
      <c r="L108" t="s">
        <v>79</v>
      </c>
      <c r="N108" t="b">
        <v>0</v>
      </c>
      <c r="O108" t="b">
        <v>0</v>
      </c>
      <c r="P108" t="s">
        <v>60</v>
      </c>
      <c r="Q108" t="s">
        <v>61</v>
      </c>
      <c r="R108" t="s">
        <v>80</v>
      </c>
      <c r="U108" t="s">
        <v>63</v>
      </c>
      <c r="W108" t="s">
        <v>64</v>
      </c>
      <c r="Y108" t="s">
        <v>82</v>
      </c>
      <c r="AB108" t="b">
        <v>0</v>
      </c>
      <c r="AC108" t="b">
        <v>0</v>
      </c>
      <c r="AE108" t="b">
        <v>0</v>
      </c>
      <c r="AG108" t="b">
        <v>0</v>
      </c>
      <c r="AI108" t="b">
        <v>0</v>
      </c>
      <c r="AK108" t="s">
        <v>94</v>
      </c>
      <c r="AL108" t="s">
        <v>66</v>
      </c>
      <c r="AM108" s="3">
        <v>46255</v>
      </c>
      <c r="AN108" s="4">
        <v>0.41468749999999999</v>
      </c>
      <c r="AO108" t="s">
        <v>1538</v>
      </c>
      <c r="AP108" t="s">
        <v>1539</v>
      </c>
      <c r="AQ108" t="s">
        <v>69</v>
      </c>
      <c r="AR108">
        <v>88.3</v>
      </c>
      <c r="AS108" t="s">
        <v>70</v>
      </c>
      <c r="AT108" t="s">
        <v>71</v>
      </c>
      <c r="AV108" t="s">
        <v>73</v>
      </c>
      <c r="AW108" t="str">
        <f t="shared" si="2"/>
        <v>Economía</v>
      </c>
      <c r="AX108" t="str">
        <f t="shared" si="3"/>
        <v>315 6756238</v>
      </c>
      <c r="AY108" t="str">
        <f>IFERROR(INDEX(Vacantes!$C:$C,MATCH(AT108,Vacantes!$A:$A,0)),"")</f>
        <v>127</v>
      </c>
      <c r="AZ108" t="str">
        <f>IFERROR(INDEX(Vacantes!$D:$D,MATCH(AT108,Vacantes!$A:$A,0)),"")</f>
        <v>13 de octubre de 2026</v>
      </c>
      <c r="BA108" t="str">
        <f>IFERROR(INDEX(Vacantes!$E:$E,MATCH(AT108,Vacantes!$A:$A,0)),"")</f>
        <v>7:30 a.m. a 11:30 a.m.</v>
      </c>
    </row>
    <row r="109" spans="1:53" x14ac:dyDescent="0.15">
      <c r="A109" t="s">
        <v>1540</v>
      </c>
      <c r="B109" t="s">
        <v>1541</v>
      </c>
      <c r="C109" t="s">
        <v>55</v>
      </c>
      <c r="D109">
        <v>1016833922</v>
      </c>
      <c r="E109" t="s">
        <v>76</v>
      </c>
      <c r="F109">
        <v>20</v>
      </c>
      <c r="G109" t="b">
        <v>1</v>
      </c>
      <c r="I109" t="s">
        <v>57</v>
      </c>
      <c r="J109" t="s">
        <v>106</v>
      </c>
      <c r="L109" t="s">
        <v>79</v>
      </c>
      <c r="N109" t="b">
        <v>0</v>
      </c>
      <c r="O109" t="b">
        <v>0</v>
      </c>
      <c r="P109" t="s">
        <v>61</v>
      </c>
      <c r="Q109" t="s">
        <v>60</v>
      </c>
      <c r="R109" t="s">
        <v>80</v>
      </c>
      <c r="W109" t="s">
        <v>89</v>
      </c>
      <c r="Y109" t="s">
        <v>82</v>
      </c>
      <c r="AB109" t="b">
        <v>0</v>
      </c>
      <c r="AC109" t="b">
        <v>0</v>
      </c>
      <c r="AE109" t="b">
        <v>0</v>
      </c>
      <c r="AG109" t="b">
        <v>0</v>
      </c>
      <c r="AI109" t="b">
        <v>0</v>
      </c>
      <c r="AK109" t="s">
        <v>94</v>
      </c>
      <c r="AL109" t="s">
        <v>66</v>
      </c>
      <c r="AM109" s="3">
        <v>46255</v>
      </c>
      <c r="AN109" s="4">
        <v>0.54874999999999996</v>
      </c>
      <c r="AO109" t="s">
        <v>1542</v>
      </c>
      <c r="AP109" t="s">
        <v>1543</v>
      </c>
      <c r="AQ109" t="s">
        <v>69</v>
      </c>
      <c r="AR109">
        <v>80.400000000000006</v>
      </c>
      <c r="AS109" t="s">
        <v>70</v>
      </c>
      <c r="AT109" t="s">
        <v>71</v>
      </c>
      <c r="AV109" t="s">
        <v>73</v>
      </c>
      <c r="AW109" t="str">
        <f t="shared" si="2"/>
        <v>Economía</v>
      </c>
      <c r="AX109" t="str">
        <f t="shared" si="3"/>
        <v>310 6748268</v>
      </c>
      <c r="AY109" t="str">
        <f>IFERROR(INDEX(Vacantes!$C:$C,MATCH(AT109,Vacantes!$A:$A,0)),"")</f>
        <v>127</v>
      </c>
      <c r="AZ109" t="str">
        <f>IFERROR(INDEX(Vacantes!$D:$D,MATCH(AT109,Vacantes!$A:$A,0)),"")</f>
        <v>13 de octubre de 2026</v>
      </c>
      <c r="BA109" t="str">
        <f>IFERROR(INDEX(Vacantes!$E:$E,MATCH(AT109,Vacantes!$A:$A,0)),"")</f>
        <v>7:30 a.m. a 11:30 a.m.</v>
      </c>
    </row>
    <row r="110" spans="1:53" x14ac:dyDescent="0.15">
      <c r="A110" t="s">
        <v>1544</v>
      </c>
      <c r="B110" t="s">
        <v>1545</v>
      </c>
      <c r="C110" t="s">
        <v>55</v>
      </c>
      <c r="D110">
        <v>1118362920</v>
      </c>
      <c r="E110" t="s">
        <v>56</v>
      </c>
      <c r="F110">
        <v>21</v>
      </c>
      <c r="G110" t="b">
        <v>1</v>
      </c>
      <c r="H110" t="s">
        <v>1546</v>
      </c>
      <c r="I110" t="s">
        <v>57</v>
      </c>
      <c r="J110" t="s">
        <v>132</v>
      </c>
      <c r="K110" t="s">
        <v>654</v>
      </c>
      <c r="L110" t="s">
        <v>107</v>
      </c>
      <c r="N110" t="b">
        <v>0</v>
      </c>
      <c r="O110" t="b">
        <v>0</v>
      </c>
      <c r="P110" t="s">
        <v>60</v>
      </c>
      <c r="Q110" t="s">
        <v>60</v>
      </c>
      <c r="R110" t="s">
        <v>80</v>
      </c>
      <c r="W110" t="s">
        <v>135</v>
      </c>
      <c r="Y110" t="s">
        <v>82</v>
      </c>
      <c r="AB110" t="b">
        <v>0</v>
      </c>
      <c r="AC110" t="b">
        <v>0</v>
      </c>
      <c r="AE110" t="b">
        <v>0</v>
      </c>
      <c r="AG110" t="b">
        <v>0</v>
      </c>
      <c r="AI110" t="b">
        <v>0</v>
      </c>
      <c r="AK110" t="s">
        <v>202</v>
      </c>
      <c r="AL110" t="s">
        <v>66</v>
      </c>
      <c r="AM110" s="3">
        <v>46278</v>
      </c>
      <c r="AN110" s="4">
        <v>0.8583912037037037</v>
      </c>
      <c r="AO110" t="s">
        <v>1547</v>
      </c>
      <c r="AP110" t="s">
        <v>1548</v>
      </c>
      <c r="AQ110" t="s">
        <v>69</v>
      </c>
      <c r="AR110">
        <v>75.599999999999994</v>
      </c>
      <c r="AS110" t="s">
        <v>70</v>
      </c>
      <c r="AT110" t="s">
        <v>71</v>
      </c>
      <c r="AU110" t="s">
        <v>221</v>
      </c>
      <c r="AV110" t="s">
        <v>73</v>
      </c>
      <c r="AW110" t="str">
        <f t="shared" si="2"/>
        <v>Administración de Empresas</v>
      </c>
      <c r="AX110" t="str">
        <f t="shared" si="3"/>
        <v>321 8367707</v>
      </c>
      <c r="AY110" t="str">
        <f>IFERROR(INDEX(Vacantes!$C:$C,MATCH(AT110,Vacantes!$A:$A,0)),"")</f>
        <v>127</v>
      </c>
      <c r="AZ110" t="str">
        <f>IFERROR(INDEX(Vacantes!$D:$D,MATCH(AT110,Vacantes!$A:$A,0)),"")</f>
        <v>13 de octubre de 2026</v>
      </c>
      <c r="BA110" t="str">
        <f>IFERROR(INDEX(Vacantes!$E:$E,MATCH(AT110,Vacantes!$A:$A,0)),"")</f>
        <v>7:30 a.m. a 11:30 a.m.</v>
      </c>
    </row>
    <row r="111" spans="1:53" x14ac:dyDescent="0.15">
      <c r="A111" t="s">
        <v>1549</v>
      </c>
      <c r="B111" t="s">
        <v>1550</v>
      </c>
      <c r="C111" t="s">
        <v>55</v>
      </c>
      <c r="D111">
        <v>1096801863</v>
      </c>
      <c r="E111" t="s">
        <v>76</v>
      </c>
      <c r="F111">
        <v>20</v>
      </c>
      <c r="G111" t="b">
        <v>1</v>
      </c>
      <c r="H111" t="s">
        <v>494</v>
      </c>
      <c r="I111" t="s">
        <v>57</v>
      </c>
      <c r="J111" t="s">
        <v>78</v>
      </c>
      <c r="L111" t="s">
        <v>79</v>
      </c>
      <c r="N111" t="b">
        <v>0</v>
      </c>
      <c r="O111" t="b">
        <v>0</v>
      </c>
      <c r="P111" t="s">
        <v>61</v>
      </c>
      <c r="Q111" t="s">
        <v>144</v>
      </c>
      <c r="R111" t="s">
        <v>244</v>
      </c>
      <c r="W111" t="s">
        <v>135</v>
      </c>
      <c r="AB111" t="b">
        <v>0</v>
      </c>
      <c r="AC111" t="b">
        <v>0</v>
      </c>
      <c r="AE111" t="b">
        <v>0</v>
      </c>
      <c r="AG111" t="b">
        <v>0</v>
      </c>
      <c r="AI111" t="b">
        <v>0</v>
      </c>
      <c r="AK111" t="s">
        <v>65</v>
      </c>
      <c r="AL111" t="s">
        <v>66</v>
      </c>
      <c r="AM111" s="3">
        <v>46277</v>
      </c>
      <c r="AN111" s="4">
        <v>0.48548611111111112</v>
      </c>
      <c r="AO111" t="s">
        <v>1551</v>
      </c>
      <c r="AP111" t="s">
        <v>1552</v>
      </c>
      <c r="AQ111" t="s">
        <v>69</v>
      </c>
      <c r="AR111">
        <v>89.4</v>
      </c>
      <c r="AS111" t="s">
        <v>70</v>
      </c>
      <c r="AT111" t="s">
        <v>71</v>
      </c>
      <c r="AU111" t="s">
        <v>221</v>
      </c>
      <c r="AV111" t="s">
        <v>73</v>
      </c>
      <c r="AW111" t="str">
        <f t="shared" si="2"/>
        <v>Economía</v>
      </c>
      <c r="AX111" t="str">
        <f t="shared" si="3"/>
        <v>301 5337662</v>
      </c>
      <c r="AY111" t="str">
        <f>IFERROR(INDEX(Vacantes!$C:$C,MATCH(AT111,Vacantes!$A:$A,0)),"")</f>
        <v>127</v>
      </c>
      <c r="AZ111" t="str">
        <f>IFERROR(INDEX(Vacantes!$D:$D,MATCH(AT111,Vacantes!$A:$A,0)),"")</f>
        <v>13 de octubre de 2026</v>
      </c>
      <c r="BA111" t="str">
        <f>IFERROR(INDEX(Vacantes!$E:$E,MATCH(AT111,Vacantes!$A:$A,0)),"")</f>
        <v>7:30 a.m. a 11:30 a.m.</v>
      </c>
    </row>
    <row r="112" spans="1:53" x14ac:dyDescent="0.15">
      <c r="A112" t="s">
        <v>1553</v>
      </c>
      <c r="B112" t="s">
        <v>1554</v>
      </c>
      <c r="C112" t="s">
        <v>55</v>
      </c>
      <c r="D112">
        <v>1023242066</v>
      </c>
      <c r="E112" t="s">
        <v>56</v>
      </c>
      <c r="F112">
        <v>22</v>
      </c>
      <c r="G112" t="b">
        <v>1</v>
      </c>
      <c r="H112" t="s">
        <v>985</v>
      </c>
      <c r="I112" t="s">
        <v>57</v>
      </c>
      <c r="J112" t="s">
        <v>78</v>
      </c>
      <c r="L112" t="s">
        <v>143</v>
      </c>
      <c r="N112" t="b">
        <v>0</v>
      </c>
      <c r="O112" t="b">
        <v>0</v>
      </c>
      <c r="P112" t="s">
        <v>61</v>
      </c>
      <c r="Q112" t="s">
        <v>61</v>
      </c>
      <c r="R112" t="s">
        <v>80</v>
      </c>
      <c r="W112" t="s">
        <v>135</v>
      </c>
      <c r="Y112" t="s">
        <v>82</v>
      </c>
      <c r="AB112" t="b">
        <v>0</v>
      </c>
      <c r="AC112" t="b">
        <v>0</v>
      </c>
      <c r="AE112" t="b">
        <v>0</v>
      </c>
      <c r="AG112" t="b">
        <v>0</v>
      </c>
      <c r="AI112" t="b">
        <v>0</v>
      </c>
      <c r="AK112" t="s">
        <v>94</v>
      </c>
      <c r="AL112" t="s">
        <v>66</v>
      </c>
      <c r="AM112" s="3">
        <v>46260</v>
      </c>
      <c r="AN112" s="4">
        <v>0.22783564814814811</v>
      </c>
      <c r="AO112">
        <v>3143988803</v>
      </c>
      <c r="AP112" t="s">
        <v>1555</v>
      </c>
      <c r="AQ112" t="s">
        <v>69</v>
      </c>
      <c r="AR112">
        <v>80.3</v>
      </c>
      <c r="AS112" t="s">
        <v>70</v>
      </c>
      <c r="AT112" t="s">
        <v>71</v>
      </c>
      <c r="AU112" t="s">
        <v>221</v>
      </c>
      <c r="AV112" t="s">
        <v>73</v>
      </c>
      <c r="AW112" t="str">
        <f t="shared" si="2"/>
        <v>Ingeniería Industrial</v>
      </c>
      <c r="AX112" t="str">
        <f t="shared" si="3"/>
        <v>3143988803</v>
      </c>
      <c r="AY112" t="str">
        <f>IFERROR(INDEX(Vacantes!$C:$C,MATCH(AT112,Vacantes!$A:$A,0)),"")</f>
        <v>127</v>
      </c>
      <c r="AZ112" t="str">
        <f>IFERROR(INDEX(Vacantes!$D:$D,MATCH(AT112,Vacantes!$A:$A,0)),"")</f>
        <v>13 de octubre de 2026</v>
      </c>
      <c r="BA112" t="str">
        <f>IFERROR(INDEX(Vacantes!$E:$E,MATCH(AT112,Vacantes!$A:$A,0)),"")</f>
        <v>7:30 a.m. a 11:30 a.m.</v>
      </c>
    </row>
    <row r="113" spans="1:53" x14ac:dyDescent="0.15">
      <c r="A113" t="s">
        <v>1556</v>
      </c>
      <c r="B113" t="s">
        <v>1557</v>
      </c>
      <c r="C113" t="s">
        <v>55</v>
      </c>
      <c r="D113">
        <v>1111755107</v>
      </c>
      <c r="E113" t="s">
        <v>76</v>
      </c>
      <c r="F113">
        <v>21</v>
      </c>
      <c r="G113" t="b">
        <v>1</v>
      </c>
      <c r="H113" t="s">
        <v>57</v>
      </c>
      <c r="I113" t="s">
        <v>57</v>
      </c>
      <c r="J113" t="s">
        <v>150</v>
      </c>
      <c r="L113" t="s">
        <v>936</v>
      </c>
      <c r="N113" t="b">
        <v>0</v>
      </c>
      <c r="O113" t="b">
        <v>0</v>
      </c>
      <c r="P113" t="s">
        <v>61</v>
      </c>
      <c r="Q113" t="s">
        <v>144</v>
      </c>
      <c r="R113" t="s">
        <v>244</v>
      </c>
      <c r="W113" t="s">
        <v>135</v>
      </c>
      <c r="AB113" t="b">
        <v>0</v>
      </c>
      <c r="AC113" t="b">
        <v>0</v>
      </c>
      <c r="AE113" t="b">
        <v>0</v>
      </c>
      <c r="AG113" t="b">
        <v>0</v>
      </c>
      <c r="AI113" t="b">
        <v>0</v>
      </c>
      <c r="AK113" t="s">
        <v>65</v>
      </c>
      <c r="AL113" t="s">
        <v>66</v>
      </c>
      <c r="AM113" s="3">
        <v>46264</v>
      </c>
      <c r="AN113" s="4">
        <v>0.78413194444444445</v>
      </c>
      <c r="AO113">
        <v>3013632349</v>
      </c>
      <c r="AP113" t="s">
        <v>1558</v>
      </c>
      <c r="AQ113" t="s">
        <v>69</v>
      </c>
      <c r="AR113">
        <v>80.8</v>
      </c>
      <c r="AS113" t="s">
        <v>70</v>
      </c>
      <c r="AT113" t="s">
        <v>89</v>
      </c>
      <c r="AU113" t="s">
        <v>221</v>
      </c>
      <c r="AV113" t="s">
        <v>73</v>
      </c>
      <c r="AW113" t="str">
        <f t="shared" si="2"/>
        <v>Relaciones Internacionales</v>
      </c>
      <c r="AX113" t="str">
        <f t="shared" si="3"/>
        <v>3013632349</v>
      </c>
      <c r="AY113" t="str">
        <f>IFERROR(INDEX(Vacantes!$C:$C,MATCH(AT113,Vacantes!$A:$A,0)),"")</f>
        <v>127</v>
      </c>
      <c r="AZ113" t="str">
        <f>IFERROR(INDEX(Vacantes!$D:$D,MATCH(AT113,Vacantes!$A:$A,0)),"")</f>
        <v>13 de octubre de 2026</v>
      </c>
      <c r="BA113" t="str">
        <f>IFERROR(INDEX(Vacantes!$E:$E,MATCH(AT113,Vacantes!$A:$A,0)),"")</f>
        <v>1:30 p.m. a 5:30 p.m.</v>
      </c>
    </row>
    <row r="114" spans="1:53" x14ac:dyDescent="0.15">
      <c r="A114" t="s">
        <v>1559</v>
      </c>
      <c r="B114" t="s">
        <v>1560</v>
      </c>
      <c r="C114" t="s">
        <v>55</v>
      </c>
      <c r="D114">
        <v>1014978352</v>
      </c>
      <c r="E114" t="s">
        <v>56</v>
      </c>
      <c r="F114">
        <v>21</v>
      </c>
      <c r="G114" t="b">
        <v>1</v>
      </c>
      <c r="H114" t="s">
        <v>57</v>
      </c>
      <c r="I114" t="s">
        <v>57</v>
      </c>
      <c r="J114" t="s">
        <v>78</v>
      </c>
      <c r="L114" t="s">
        <v>107</v>
      </c>
      <c r="N114" t="b">
        <v>0</v>
      </c>
      <c r="O114" t="b">
        <v>0</v>
      </c>
      <c r="P114" t="s">
        <v>61</v>
      </c>
      <c r="Q114" t="s">
        <v>61</v>
      </c>
      <c r="R114" t="s">
        <v>244</v>
      </c>
      <c r="W114" t="s">
        <v>109</v>
      </c>
      <c r="AA114" t="s">
        <v>188</v>
      </c>
      <c r="AB114" t="b">
        <v>0</v>
      </c>
      <c r="AC114" t="b">
        <v>0</v>
      </c>
      <c r="AE114" t="b">
        <v>0</v>
      </c>
      <c r="AG114" t="b">
        <v>0</v>
      </c>
      <c r="AI114" t="b">
        <v>0</v>
      </c>
      <c r="AK114" t="s">
        <v>65</v>
      </c>
      <c r="AL114" t="s">
        <v>66</v>
      </c>
      <c r="AM114" s="3">
        <v>46278</v>
      </c>
      <c r="AN114" s="4">
        <v>1.9108796296296301E-2</v>
      </c>
      <c r="AO114" t="s">
        <v>1561</v>
      </c>
      <c r="AP114" t="s">
        <v>1562</v>
      </c>
      <c r="AQ114" t="s">
        <v>69</v>
      </c>
      <c r="AR114">
        <v>77</v>
      </c>
      <c r="AS114" t="s">
        <v>70</v>
      </c>
      <c r="AT114" t="s">
        <v>89</v>
      </c>
      <c r="AU114" t="s">
        <v>221</v>
      </c>
      <c r="AV114" t="s">
        <v>73</v>
      </c>
      <c r="AW114" t="str">
        <f t="shared" si="2"/>
        <v>Administración de Empresas</v>
      </c>
      <c r="AX114" t="str">
        <f t="shared" si="3"/>
        <v>314 3392961</v>
      </c>
      <c r="AY114" t="str">
        <f>IFERROR(INDEX(Vacantes!$C:$C,MATCH(AT114,Vacantes!$A:$A,0)),"")</f>
        <v>127</v>
      </c>
      <c r="AZ114" t="str">
        <f>IFERROR(INDEX(Vacantes!$D:$D,MATCH(AT114,Vacantes!$A:$A,0)),"")</f>
        <v>13 de octubre de 2026</v>
      </c>
      <c r="BA114" t="str">
        <f>IFERROR(INDEX(Vacantes!$E:$E,MATCH(AT114,Vacantes!$A:$A,0)),"")</f>
        <v>1:30 p.m. a 5:30 p.m.</v>
      </c>
    </row>
    <row r="115" spans="1:53" x14ac:dyDescent="0.15">
      <c r="A115" t="s">
        <v>1563</v>
      </c>
      <c r="B115" t="s">
        <v>1564</v>
      </c>
      <c r="C115" t="s">
        <v>55</v>
      </c>
      <c r="D115">
        <v>1110365169</v>
      </c>
      <c r="E115" t="s">
        <v>76</v>
      </c>
      <c r="F115">
        <v>21</v>
      </c>
      <c r="G115" t="b">
        <v>1</v>
      </c>
      <c r="H115" t="s">
        <v>88</v>
      </c>
      <c r="I115" t="s">
        <v>57</v>
      </c>
      <c r="J115" t="s">
        <v>150</v>
      </c>
      <c r="L115" t="s">
        <v>79</v>
      </c>
      <c r="N115" t="b">
        <v>0</v>
      </c>
      <c r="O115" t="b">
        <v>0</v>
      </c>
      <c r="P115" t="s">
        <v>61</v>
      </c>
      <c r="Q115" t="s">
        <v>61</v>
      </c>
      <c r="R115" t="s">
        <v>244</v>
      </c>
      <c r="T115" t="s">
        <v>82</v>
      </c>
      <c r="W115" t="s">
        <v>80</v>
      </c>
      <c r="AB115" t="b">
        <v>0</v>
      </c>
      <c r="AC115" t="b">
        <v>0</v>
      </c>
      <c r="AE115" t="b">
        <v>0</v>
      </c>
      <c r="AG115" t="b">
        <v>0</v>
      </c>
      <c r="AI115" t="b">
        <v>0</v>
      </c>
      <c r="AK115" t="s">
        <v>65</v>
      </c>
      <c r="AL115" t="s">
        <v>66</v>
      </c>
      <c r="AM115" s="3">
        <v>46277</v>
      </c>
      <c r="AN115" s="4">
        <v>0.5035532407407407</v>
      </c>
      <c r="AO115" t="s">
        <v>1565</v>
      </c>
      <c r="AP115" t="s">
        <v>1566</v>
      </c>
      <c r="AQ115" t="s">
        <v>69</v>
      </c>
      <c r="AR115">
        <v>92.3</v>
      </c>
      <c r="AS115" t="s">
        <v>70</v>
      </c>
      <c r="AT115" t="s">
        <v>89</v>
      </c>
      <c r="AV115" t="s">
        <v>73</v>
      </c>
      <c r="AW115" t="str">
        <f t="shared" si="2"/>
        <v>Economía</v>
      </c>
      <c r="AX115" t="str">
        <f t="shared" si="3"/>
        <v>310 6711911</v>
      </c>
      <c r="AY115" t="str">
        <f>IFERROR(INDEX(Vacantes!$C:$C,MATCH(AT115,Vacantes!$A:$A,0)),"")</f>
        <v>127</v>
      </c>
      <c r="AZ115" t="str">
        <f>IFERROR(INDEX(Vacantes!$D:$D,MATCH(AT115,Vacantes!$A:$A,0)),"")</f>
        <v>13 de octubre de 2026</v>
      </c>
      <c r="BA115" t="str">
        <f>IFERROR(INDEX(Vacantes!$E:$E,MATCH(AT115,Vacantes!$A:$A,0)),"")</f>
        <v>1:30 p.m. a 5:30 p.m.</v>
      </c>
    </row>
    <row r="116" spans="1:53" x14ac:dyDescent="0.15">
      <c r="A116" t="s">
        <v>1567</v>
      </c>
      <c r="B116" t="s">
        <v>1568</v>
      </c>
      <c r="C116" t="s">
        <v>55</v>
      </c>
      <c r="D116">
        <v>1000719548</v>
      </c>
      <c r="E116" t="s">
        <v>56</v>
      </c>
      <c r="F116">
        <v>24</v>
      </c>
      <c r="G116" t="b">
        <v>1</v>
      </c>
      <c r="H116" t="s">
        <v>88</v>
      </c>
      <c r="I116" t="s">
        <v>57</v>
      </c>
      <c r="J116" t="s">
        <v>78</v>
      </c>
      <c r="L116" t="s">
        <v>107</v>
      </c>
      <c r="N116" t="b">
        <v>0</v>
      </c>
      <c r="O116" t="b">
        <v>0</v>
      </c>
      <c r="P116" t="s">
        <v>60</v>
      </c>
      <c r="Q116" t="s">
        <v>61</v>
      </c>
      <c r="R116" t="s">
        <v>244</v>
      </c>
      <c r="W116" t="s">
        <v>109</v>
      </c>
      <c r="AA116" t="s">
        <v>110</v>
      </c>
      <c r="AB116" t="b">
        <v>0</v>
      </c>
      <c r="AC116" t="b">
        <v>1</v>
      </c>
      <c r="AE116" t="b">
        <v>0</v>
      </c>
      <c r="AG116" t="b">
        <v>0</v>
      </c>
      <c r="AH116" t="s">
        <v>1569</v>
      </c>
      <c r="AI116" t="b">
        <v>0</v>
      </c>
      <c r="AK116" t="s">
        <v>94</v>
      </c>
      <c r="AL116" t="s">
        <v>66</v>
      </c>
      <c r="AM116" s="3">
        <v>46267</v>
      </c>
      <c r="AN116" s="4">
        <v>0.77230324074074075</v>
      </c>
      <c r="AO116" t="s">
        <v>1570</v>
      </c>
      <c r="AP116" t="s">
        <v>1571</v>
      </c>
      <c r="AQ116" t="s">
        <v>69</v>
      </c>
      <c r="AR116">
        <v>93.9</v>
      </c>
      <c r="AS116" t="s">
        <v>70</v>
      </c>
      <c r="AT116" t="s">
        <v>89</v>
      </c>
      <c r="AU116" t="s">
        <v>221</v>
      </c>
      <c r="AV116" t="s">
        <v>73</v>
      </c>
      <c r="AW116" t="str">
        <f t="shared" si="2"/>
        <v>Administración de Empresas</v>
      </c>
      <c r="AX116" t="str">
        <f t="shared" si="3"/>
        <v>321 2247261</v>
      </c>
      <c r="AY116" t="str">
        <f>IFERROR(INDEX(Vacantes!$C:$C,MATCH(AT116,Vacantes!$A:$A,0)),"")</f>
        <v>127</v>
      </c>
      <c r="AZ116" t="str">
        <f>IFERROR(INDEX(Vacantes!$D:$D,MATCH(AT116,Vacantes!$A:$A,0)),"")</f>
        <v>13 de octubre de 2026</v>
      </c>
      <c r="BA116" t="str">
        <f>IFERROR(INDEX(Vacantes!$E:$E,MATCH(AT116,Vacantes!$A:$A,0)),"")</f>
        <v>1:30 p.m. a 5:30 p.m.</v>
      </c>
    </row>
    <row r="117" spans="1:53" x14ac:dyDescent="0.15">
      <c r="A117" t="s">
        <v>1572</v>
      </c>
      <c r="B117" t="s">
        <v>1573</v>
      </c>
      <c r="C117" t="s">
        <v>55</v>
      </c>
      <c r="D117">
        <v>1032676292</v>
      </c>
      <c r="E117" t="s">
        <v>76</v>
      </c>
      <c r="F117">
        <v>22</v>
      </c>
      <c r="G117" t="b">
        <v>1</v>
      </c>
      <c r="H117" t="s">
        <v>88</v>
      </c>
      <c r="I117" t="s">
        <v>57</v>
      </c>
      <c r="J117" t="s">
        <v>1142</v>
      </c>
      <c r="L117" t="s">
        <v>143</v>
      </c>
      <c r="N117" t="b">
        <v>0</v>
      </c>
      <c r="O117" t="b">
        <v>0</v>
      </c>
      <c r="P117" t="s">
        <v>60</v>
      </c>
      <c r="Q117" t="s">
        <v>60</v>
      </c>
      <c r="R117" t="s">
        <v>244</v>
      </c>
      <c r="W117" t="s">
        <v>89</v>
      </c>
      <c r="AB117" t="b">
        <v>0</v>
      </c>
      <c r="AC117" t="b">
        <v>0</v>
      </c>
      <c r="AE117" t="b">
        <v>0</v>
      </c>
      <c r="AG117" t="b">
        <v>0</v>
      </c>
      <c r="AI117" t="b">
        <v>0</v>
      </c>
      <c r="AK117" t="s">
        <v>530</v>
      </c>
      <c r="AL117" t="s">
        <v>66</v>
      </c>
      <c r="AM117" s="3">
        <v>46278</v>
      </c>
      <c r="AN117" s="4">
        <v>0.63692129629629635</v>
      </c>
      <c r="AO117">
        <v>3054515758</v>
      </c>
      <c r="AP117" t="s">
        <v>1574</v>
      </c>
      <c r="AQ117" t="s">
        <v>69</v>
      </c>
      <c r="AR117">
        <v>78.2</v>
      </c>
      <c r="AS117" t="s">
        <v>70</v>
      </c>
      <c r="AT117" t="s">
        <v>89</v>
      </c>
      <c r="AU117" t="s">
        <v>221</v>
      </c>
      <c r="AV117" t="s">
        <v>73</v>
      </c>
      <c r="AW117" t="str">
        <f t="shared" si="2"/>
        <v>Ingeniería Industrial</v>
      </c>
      <c r="AX117" t="str">
        <f t="shared" si="3"/>
        <v>3054515758</v>
      </c>
      <c r="AY117" t="str">
        <f>IFERROR(INDEX(Vacantes!$C:$C,MATCH(AT117,Vacantes!$A:$A,0)),"")</f>
        <v>127</v>
      </c>
      <c r="AZ117" t="str">
        <f>IFERROR(INDEX(Vacantes!$D:$D,MATCH(AT117,Vacantes!$A:$A,0)),"")</f>
        <v>13 de octubre de 2026</v>
      </c>
      <c r="BA117" t="str">
        <f>IFERROR(INDEX(Vacantes!$E:$E,MATCH(AT117,Vacantes!$A:$A,0)),"")</f>
        <v>1:30 p.m. a 5:30 p.m.</v>
      </c>
    </row>
    <row r="118" spans="1:53" x14ac:dyDescent="0.15">
      <c r="A118" t="s">
        <v>1575</v>
      </c>
      <c r="B118" t="s">
        <v>1576</v>
      </c>
      <c r="C118" t="s">
        <v>55</v>
      </c>
      <c r="D118">
        <v>1011091671</v>
      </c>
      <c r="E118" t="s">
        <v>76</v>
      </c>
      <c r="F118">
        <v>20</v>
      </c>
      <c r="G118" t="b">
        <v>1</v>
      </c>
      <c r="I118" t="s">
        <v>57</v>
      </c>
      <c r="J118" t="s">
        <v>234</v>
      </c>
      <c r="L118" t="s">
        <v>107</v>
      </c>
      <c r="N118" t="b">
        <v>1</v>
      </c>
      <c r="O118" t="b">
        <v>0</v>
      </c>
      <c r="P118" t="s">
        <v>60</v>
      </c>
      <c r="Q118" t="s">
        <v>61</v>
      </c>
      <c r="R118" t="s">
        <v>64</v>
      </c>
      <c r="W118" t="s">
        <v>108</v>
      </c>
      <c r="Z118" t="s">
        <v>151</v>
      </c>
      <c r="AB118" t="b">
        <v>0</v>
      </c>
      <c r="AC118" t="b">
        <v>0</v>
      </c>
      <c r="AE118" t="b">
        <v>0</v>
      </c>
      <c r="AG118" t="b">
        <v>0</v>
      </c>
      <c r="AI118" t="b">
        <v>0</v>
      </c>
      <c r="AK118" t="s">
        <v>94</v>
      </c>
      <c r="AL118" t="s">
        <v>66</v>
      </c>
      <c r="AM118" s="3">
        <v>46257</v>
      </c>
      <c r="AN118" s="4">
        <v>0.77711805555555558</v>
      </c>
      <c r="AO118">
        <v>3112753531</v>
      </c>
      <c r="AP118" t="s">
        <v>1577</v>
      </c>
      <c r="AQ118" t="s">
        <v>69</v>
      </c>
      <c r="AR118">
        <v>93.8</v>
      </c>
      <c r="AS118" t="s">
        <v>70</v>
      </c>
      <c r="AT118" t="s">
        <v>262</v>
      </c>
      <c r="AV118" t="s">
        <v>73</v>
      </c>
      <c r="AW118" t="str">
        <f t="shared" si="2"/>
        <v>Administración de Empresas</v>
      </c>
      <c r="AX118" t="str">
        <f t="shared" si="3"/>
        <v>3112753531</v>
      </c>
      <c r="AY118" t="str">
        <f>IFERROR(INDEX(Vacantes!$C:$C,MATCH(AT118,Vacantes!$A:$A,0)),"")</f>
        <v>127</v>
      </c>
      <c r="AZ118" t="str">
        <f>IFERROR(INDEX(Vacantes!$D:$D,MATCH(AT118,Vacantes!$A:$A,0)),"")</f>
        <v>13 de octubre de 2026</v>
      </c>
      <c r="BA118" t="str">
        <f>IFERROR(INDEX(Vacantes!$E:$E,MATCH(AT118,Vacantes!$A:$A,0)),"")</f>
        <v>7:30 a.m. a 11:30 a.m.</v>
      </c>
    </row>
    <row r="119" spans="1:53" x14ac:dyDescent="0.15">
      <c r="A119" t="s">
        <v>1578</v>
      </c>
      <c r="B119" t="s">
        <v>1579</v>
      </c>
      <c r="C119" t="s">
        <v>55</v>
      </c>
      <c r="D119">
        <v>1094045254</v>
      </c>
      <c r="E119" t="s">
        <v>56</v>
      </c>
      <c r="F119">
        <v>22</v>
      </c>
      <c r="G119" t="b">
        <v>1</v>
      </c>
      <c r="H119" t="s">
        <v>397</v>
      </c>
      <c r="I119" t="s">
        <v>57</v>
      </c>
      <c r="J119" t="s">
        <v>132</v>
      </c>
      <c r="K119" t="s">
        <v>1580</v>
      </c>
      <c r="L119" t="s">
        <v>277</v>
      </c>
      <c r="N119" t="b">
        <v>1</v>
      </c>
      <c r="O119" t="b">
        <v>0</v>
      </c>
      <c r="P119" t="s">
        <v>61</v>
      </c>
      <c r="Q119" t="s">
        <v>61</v>
      </c>
      <c r="R119" t="s">
        <v>64</v>
      </c>
      <c r="W119" t="s">
        <v>108</v>
      </c>
      <c r="Z119" t="s">
        <v>151</v>
      </c>
      <c r="AB119" t="b">
        <v>0</v>
      </c>
      <c r="AC119" t="b">
        <v>0</v>
      </c>
      <c r="AE119" t="b">
        <v>0</v>
      </c>
      <c r="AG119" t="b">
        <v>0</v>
      </c>
      <c r="AI119" t="b">
        <v>0</v>
      </c>
      <c r="AK119" t="s">
        <v>202</v>
      </c>
      <c r="AL119" t="s">
        <v>66</v>
      </c>
      <c r="AM119" s="3">
        <v>46278</v>
      </c>
      <c r="AN119" s="4">
        <v>0.60722222222222222</v>
      </c>
      <c r="AO119" t="s">
        <v>1581</v>
      </c>
      <c r="AP119" t="s">
        <v>1582</v>
      </c>
      <c r="AQ119" t="s">
        <v>69</v>
      </c>
      <c r="AR119">
        <v>72.2</v>
      </c>
      <c r="AS119" t="s">
        <v>70</v>
      </c>
      <c r="AT119" t="s">
        <v>262</v>
      </c>
      <c r="AU119" t="s">
        <v>221</v>
      </c>
      <c r="AV119" t="s">
        <v>73</v>
      </c>
      <c r="AW119" t="str">
        <f t="shared" si="2"/>
        <v>Psicología</v>
      </c>
      <c r="AX119" t="str">
        <f t="shared" si="3"/>
        <v>302 3135214</v>
      </c>
      <c r="AY119" t="str">
        <f>IFERROR(INDEX(Vacantes!$C:$C,MATCH(AT119,Vacantes!$A:$A,0)),"")</f>
        <v>127</v>
      </c>
      <c r="AZ119" t="str">
        <f>IFERROR(INDEX(Vacantes!$D:$D,MATCH(AT119,Vacantes!$A:$A,0)),"")</f>
        <v>13 de octubre de 2026</v>
      </c>
      <c r="BA119" t="str">
        <f>IFERROR(INDEX(Vacantes!$E:$E,MATCH(AT119,Vacantes!$A:$A,0)),"")</f>
        <v>7:30 a.m. a 11:30 a.m.</v>
      </c>
    </row>
    <row r="120" spans="1:53" x14ac:dyDescent="0.15">
      <c r="A120" t="s">
        <v>1583</v>
      </c>
      <c r="B120" t="s">
        <v>1584</v>
      </c>
      <c r="C120" t="s">
        <v>55</v>
      </c>
      <c r="D120">
        <v>1021633152</v>
      </c>
      <c r="E120" t="s">
        <v>56</v>
      </c>
      <c r="F120">
        <v>21</v>
      </c>
      <c r="G120" t="b">
        <v>1</v>
      </c>
      <c r="H120" t="s">
        <v>57</v>
      </c>
      <c r="I120" t="s">
        <v>57</v>
      </c>
      <c r="J120" t="s">
        <v>78</v>
      </c>
      <c r="L120" t="s">
        <v>107</v>
      </c>
      <c r="N120" t="b">
        <v>0</v>
      </c>
      <c r="O120" t="b">
        <v>0</v>
      </c>
      <c r="P120" t="s">
        <v>61</v>
      </c>
      <c r="Q120" t="s">
        <v>61</v>
      </c>
      <c r="R120" t="s">
        <v>109</v>
      </c>
      <c r="U120" t="s">
        <v>151</v>
      </c>
      <c r="V120" t="s">
        <v>176</v>
      </c>
      <c r="W120" t="s">
        <v>64</v>
      </c>
      <c r="AB120" t="b">
        <v>0</v>
      </c>
      <c r="AC120" t="b">
        <v>0</v>
      </c>
      <c r="AE120" t="b">
        <v>0</v>
      </c>
      <c r="AG120" t="b">
        <v>0</v>
      </c>
      <c r="AI120" t="b">
        <v>0</v>
      </c>
      <c r="AK120" t="s">
        <v>65</v>
      </c>
      <c r="AL120" t="s">
        <v>66</v>
      </c>
      <c r="AM120" s="3">
        <v>46277</v>
      </c>
      <c r="AN120" s="4">
        <v>0.61115740740740743</v>
      </c>
      <c r="AO120" t="s">
        <v>1585</v>
      </c>
      <c r="AP120" t="s">
        <v>1586</v>
      </c>
      <c r="AQ120" t="s">
        <v>69</v>
      </c>
      <c r="AR120">
        <v>72.400000000000006</v>
      </c>
      <c r="AS120" t="s">
        <v>70</v>
      </c>
      <c r="AT120" t="s">
        <v>262</v>
      </c>
      <c r="AU120" t="s">
        <v>221</v>
      </c>
      <c r="AV120" t="s">
        <v>73</v>
      </c>
      <c r="AW120" t="str">
        <f t="shared" si="2"/>
        <v>Administración de Empresas</v>
      </c>
      <c r="AX120" t="str">
        <f t="shared" si="3"/>
        <v>313 2476415</v>
      </c>
      <c r="AY120" t="str">
        <f>IFERROR(INDEX(Vacantes!$C:$C,MATCH(AT120,Vacantes!$A:$A,0)),"")</f>
        <v>127</v>
      </c>
      <c r="AZ120" t="str">
        <f>IFERROR(INDEX(Vacantes!$D:$D,MATCH(AT120,Vacantes!$A:$A,0)),"")</f>
        <v>13 de octubre de 2026</v>
      </c>
      <c r="BA120" t="str">
        <f>IFERROR(INDEX(Vacantes!$E:$E,MATCH(AT120,Vacantes!$A:$A,0)),"")</f>
        <v>7:30 a.m. a 11:30 a.m.</v>
      </c>
    </row>
    <row r="121" spans="1:53" x14ac:dyDescent="0.15">
      <c r="A121" t="s">
        <v>1587</v>
      </c>
      <c r="B121" t="s">
        <v>1588</v>
      </c>
      <c r="C121" t="s">
        <v>55</v>
      </c>
      <c r="D121">
        <v>1006100465</v>
      </c>
      <c r="E121" t="s">
        <v>76</v>
      </c>
      <c r="F121">
        <v>24</v>
      </c>
      <c r="G121" t="b">
        <v>1</v>
      </c>
      <c r="I121" t="s">
        <v>57</v>
      </c>
      <c r="J121" t="s">
        <v>100</v>
      </c>
      <c r="L121" t="s">
        <v>521</v>
      </c>
      <c r="N121" t="b">
        <v>0</v>
      </c>
      <c r="O121" t="b">
        <v>0</v>
      </c>
      <c r="P121" t="s">
        <v>60</v>
      </c>
      <c r="Q121" t="s">
        <v>60</v>
      </c>
      <c r="R121" t="s">
        <v>113</v>
      </c>
      <c r="U121" t="s">
        <v>151</v>
      </c>
      <c r="W121" t="s">
        <v>64</v>
      </c>
      <c r="AB121" t="b">
        <v>0</v>
      </c>
      <c r="AC121" t="b">
        <v>0</v>
      </c>
      <c r="AE121" t="b">
        <v>0</v>
      </c>
      <c r="AG121" t="b">
        <v>0</v>
      </c>
      <c r="AI121" t="b">
        <v>0</v>
      </c>
      <c r="AK121" t="s">
        <v>65</v>
      </c>
      <c r="AL121" t="s">
        <v>66</v>
      </c>
      <c r="AM121" s="3">
        <v>46255</v>
      </c>
      <c r="AN121" s="4">
        <v>0.41465277777777781</v>
      </c>
      <c r="AO121" t="s">
        <v>1589</v>
      </c>
      <c r="AP121" t="s">
        <v>1590</v>
      </c>
      <c r="AQ121" t="s">
        <v>69</v>
      </c>
      <c r="AR121">
        <v>92.6</v>
      </c>
      <c r="AS121" t="s">
        <v>70</v>
      </c>
      <c r="AT121" t="s">
        <v>262</v>
      </c>
      <c r="AV121" t="s">
        <v>73</v>
      </c>
      <c r="AW121" t="str">
        <f t="shared" si="2"/>
        <v>Comunicación social</v>
      </c>
      <c r="AX121" t="str">
        <f t="shared" si="3"/>
        <v>322 5048635</v>
      </c>
      <c r="AY121" t="str">
        <f>IFERROR(INDEX(Vacantes!$C:$C,MATCH(AT121,Vacantes!$A:$A,0)),"")</f>
        <v>127</v>
      </c>
      <c r="AZ121" t="str">
        <f>IFERROR(INDEX(Vacantes!$D:$D,MATCH(AT121,Vacantes!$A:$A,0)),"")</f>
        <v>13 de octubre de 2026</v>
      </c>
      <c r="BA121" t="str">
        <f>IFERROR(INDEX(Vacantes!$E:$E,MATCH(AT121,Vacantes!$A:$A,0)),"")</f>
        <v>7:30 a.m. a 11:30 a.m.</v>
      </c>
    </row>
    <row r="122" spans="1:53" x14ac:dyDescent="0.15">
      <c r="A122" t="s">
        <v>1626</v>
      </c>
      <c r="B122" t="s">
        <v>1627</v>
      </c>
      <c r="C122" t="s">
        <v>55</v>
      </c>
      <c r="D122">
        <v>1001091599</v>
      </c>
      <c r="E122" t="s">
        <v>56</v>
      </c>
      <c r="F122">
        <v>25</v>
      </c>
      <c r="G122" t="b">
        <v>1</v>
      </c>
      <c r="H122" t="s">
        <v>57</v>
      </c>
      <c r="I122" t="s">
        <v>57</v>
      </c>
      <c r="J122" t="s">
        <v>234</v>
      </c>
      <c r="L122" t="s">
        <v>143</v>
      </c>
      <c r="N122" t="b">
        <v>1</v>
      </c>
      <c r="O122" t="b">
        <v>0</v>
      </c>
      <c r="P122" t="s">
        <v>61</v>
      </c>
      <c r="Q122" t="s">
        <v>60</v>
      </c>
      <c r="R122" t="s">
        <v>62</v>
      </c>
      <c r="W122" t="s">
        <v>109</v>
      </c>
      <c r="AA122" t="s">
        <v>439</v>
      </c>
      <c r="AB122" t="b">
        <v>0</v>
      </c>
      <c r="AC122" t="b">
        <v>0</v>
      </c>
      <c r="AE122" t="b">
        <v>0</v>
      </c>
      <c r="AG122" t="b">
        <v>0</v>
      </c>
      <c r="AI122" t="b">
        <v>0</v>
      </c>
      <c r="AK122" t="s">
        <v>94</v>
      </c>
      <c r="AL122" t="s">
        <v>66</v>
      </c>
      <c r="AM122" s="3">
        <v>46258</v>
      </c>
      <c r="AN122" s="4">
        <v>0.76322916666666663</v>
      </c>
      <c r="AO122" t="s">
        <v>1628</v>
      </c>
      <c r="AP122" t="s">
        <v>1629</v>
      </c>
      <c r="AQ122" t="s">
        <v>69</v>
      </c>
      <c r="AR122">
        <v>96.4</v>
      </c>
      <c r="AS122" t="s">
        <v>70</v>
      </c>
      <c r="AT122" t="s">
        <v>442</v>
      </c>
      <c r="AU122" t="s">
        <v>221</v>
      </c>
      <c r="AV122" t="s">
        <v>73</v>
      </c>
      <c r="AW122" t="str">
        <f t="shared" si="2"/>
        <v>Ingeniería Industrial</v>
      </c>
      <c r="AX122" t="str">
        <f t="shared" si="3"/>
        <v>300 8829579</v>
      </c>
      <c r="AY122" t="str">
        <f>IFERROR(INDEX(Vacantes!$C:$C,MATCH(AT122,Vacantes!$A:$A,0)),"")</f>
        <v>127</v>
      </c>
      <c r="AZ122" t="str">
        <f>IFERROR(INDEX(Vacantes!$D:$D,MATCH(AT122,Vacantes!$A:$A,0)),"")</f>
        <v>13 de octubre de 2026</v>
      </c>
      <c r="BA122" t="str">
        <f>IFERROR(INDEX(Vacantes!$E:$E,MATCH(AT122,Vacantes!$A:$A,0)),"")</f>
        <v>1:30 p.m. a 5:30 p.m.</v>
      </c>
    </row>
    <row r="123" spans="1:53" x14ac:dyDescent="0.15">
      <c r="A123" t="s">
        <v>1630</v>
      </c>
      <c r="B123" t="s">
        <v>1631</v>
      </c>
      <c r="C123" t="s">
        <v>55</v>
      </c>
      <c r="D123">
        <v>1112390266</v>
      </c>
      <c r="E123" t="s">
        <v>76</v>
      </c>
      <c r="F123">
        <v>20</v>
      </c>
      <c r="G123" t="b">
        <v>1</v>
      </c>
      <c r="H123" t="s">
        <v>1632</v>
      </c>
      <c r="I123" t="s">
        <v>57</v>
      </c>
      <c r="J123" t="s">
        <v>401</v>
      </c>
      <c r="L123" t="s">
        <v>132</v>
      </c>
      <c r="M123" t="s">
        <v>1507</v>
      </c>
      <c r="N123" t="b">
        <v>0</v>
      </c>
      <c r="O123" t="b">
        <v>0</v>
      </c>
      <c r="P123" t="s">
        <v>60</v>
      </c>
      <c r="Q123" t="s">
        <v>60</v>
      </c>
      <c r="R123" t="s">
        <v>109</v>
      </c>
      <c r="V123" t="s">
        <v>439</v>
      </c>
      <c r="W123" t="s">
        <v>81</v>
      </c>
      <c r="AB123" t="b">
        <v>0</v>
      </c>
      <c r="AC123" t="b">
        <v>0</v>
      </c>
      <c r="AE123" t="b">
        <v>0</v>
      </c>
      <c r="AG123" t="b">
        <v>0</v>
      </c>
      <c r="AI123" t="b">
        <v>0</v>
      </c>
      <c r="AK123" t="s">
        <v>94</v>
      </c>
      <c r="AL123" t="s">
        <v>66</v>
      </c>
      <c r="AM123" s="3">
        <v>46277</v>
      </c>
      <c r="AN123" s="4">
        <v>0.65844907407407405</v>
      </c>
      <c r="AO123" t="s">
        <v>1633</v>
      </c>
      <c r="AP123">
        <v>0</v>
      </c>
      <c r="AQ123" t="s">
        <v>69</v>
      </c>
      <c r="AR123">
        <v>77.900000000000006</v>
      </c>
      <c r="AS123" t="s">
        <v>70</v>
      </c>
      <c r="AT123" t="s">
        <v>442</v>
      </c>
      <c r="AU123" t="s">
        <v>221</v>
      </c>
      <c r="AV123" t="s">
        <v>73</v>
      </c>
      <c r="AW123" t="str">
        <f t="shared" si="2"/>
        <v>Comercio Exterior</v>
      </c>
      <c r="AX123" t="str">
        <f t="shared" si="3"/>
        <v>316 7886666</v>
      </c>
      <c r="AY123" t="str">
        <f>IFERROR(INDEX(Vacantes!$C:$C,MATCH(AT123,Vacantes!$A:$A,0)),"")</f>
        <v>127</v>
      </c>
      <c r="AZ123" t="str">
        <f>IFERROR(INDEX(Vacantes!$D:$D,MATCH(AT123,Vacantes!$A:$A,0)),"")</f>
        <v>13 de octubre de 2026</v>
      </c>
      <c r="BA123" t="str">
        <f>IFERROR(INDEX(Vacantes!$E:$E,MATCH(AT123,Vacantes!$A:$A,0)),"")</f>
        <v>1:30 p.m. a 5:30 p.m.</v>
      </c>
    </row>
    <row r="124" spans="1:53" x14ac:dyDescent="0.15">
      <c r="A124" t="s">
        <v>1634</v>
      </c>
      <c r="B124" t="s">
        <v>1635</v>
      </c>
      <c r="C124" t="s">
        <v>55</v>
      </c>
      <c r="D124">
        <v>1076241425</v>
      </c>
      <c r="E124" t="s">
        <v>56</v>
      </c>
      <c r="F124">
        <v>21</v>
      </c>
      <c r="G124" t="b">
        <v>1</v>
      </c>
      <c r="H124" t="s">
        <v>754</v>
      </c>
      <c r="I124" t="s">
        <v>57</v>
      </c>
      <c r="J124" t="s">
        <v>463</v>
      </c>
      <c r="L124" t="s">
        <v>143</v>
      </c>
      <c r="N124" t="b">
        <v>1</v>
      </c>
      <c r="O124" t="b">
        <v>0</v>
      </c>
      <c r="P124" t="s">
        <v>60</v>
      </c>
      <c r="Q124" t="s">
        <v>60</v>
      </c>
      <c r="R124" t="s">
        <v>109</v>
      </c>
      <c r="V124" t="s">
        <v>176</v>
      </c>
      <c r="W124" t="s">
        <v>81</v>
      </c>
      <c r="AB124" t="b">
        <v>0</v>
      </c>
      <c r="AC124" t="b">
        <v>0</v>
      </c>
      <c r="AE124" t="b">
        <v>0</v>
      </c>
      <c r="AG124" t="b">
        <v>0</v>
      </c>
      <c r="AI124" t="b">
        <v>0</v>
      </c>
      <c r="AK124" t="s">
        <v>248</v>
      </c>
      <c r="AL124" t="s">
        <v>66</v>
      </c>
      <c r="AM124" s="3">
        <v>46265</v>
      </c>
      <c r="AN124" s="4">
        <v>0.77157407407407408</v>
      </c>
      <c r="AO124" t="s">
        <v>1636</v>
      </c>
      <c r="AP124" t="s">
        <v>1637</v>
      </c>
      <c r="AQ124" t="s">
        <v>69</v>
      </c>
      <c r="AR124">
        <v>88.5</v>
      </c>
      <c r="AS124" t="s">
        <v>70</v>
      </c>
      <c r="AT124" t="s">
        <v>442</v>
      </c>
      <c r="AV124" t="s">
        <v>73</v>
      </c>
      <c r="AW124" t="str">
        <f t="shared" si="2"/>
        <v>Ingeniería Industrial</v>
      </c>
      <c r="AX124" t="str">
        <f t="shared" si="3"/>
        <v>321 3063282</v>
      </c>
      <c r="AY124" t="str">
        <f>IFERROR(INDEX(Vacantes!$C:$C,MATCH(AT124,Vacantes!$A:$A,0)),"")</f>
        <v>127</v>
      </c>
      <c r="AZ124" t="str">
        <f>IFERROR(INDEX(Vacantes!$D:$D,MATCH(AT124,Vacantes!$A:$A,0)),"")</f>
        <v>13 de octubre de 2026</v>
      </c>
      <c r="BA124" t="str">
        <f>IFERROR(INDEX(Vacantes!$E:$E,MATCH(AT124,Vacantes!$A:$A,0)),"")</f>
        <v>1:30 p.m. a 5:30 p.m.</v>
      </c>
    </row>
    <row r="125" spans="1:53" x14ac:dyDescent="0.15">
      <c r="A125" t="s">
        <v>1638</v>
      </c>
      <c r="B125" t="s">
        <v>1639</v>
      </c>
      <c r="C125" t="s">
        <v>55</v>
      </c>
      <c r="D125">
        <v>1011320707</v>
      </c>
      <c r="E125" t="s">
        <v>76</v>
      </c>
      <c r="F125">
        <v>22</v>
      </c>
      <c r="G125" t="b">
        <v>1</v>
      </c>
      <c r="H125" t="s">
        <v>486</v>
      </c>
      <c r="I125" t="s">
        <v>57</v>
      </c>
      <c r="J125" t="s">
        <v>458</v>
      </c>
      <c r="L125" t="s">
        <v>107</v>
      </c>
      <c r="N125" t="b">
        <v>1</v>
      </c>
      <c r="O125" t="b">
        <v>0</v>
      </c>
      <c r="P125" t="s">
        <v>61</v>
      </c>
      <c r="Q125" t="s">
        <v>60</v>
      </c>
      <c r="R125" t="s">
        <v>108</v>
      </c>
      <c r="W125" t="s">
        <v>109</v>
      </c>
      <c r="AA125" t="s">
        <v>439</v>
      </c>
      <c r="AB125" t="b">
        <v>0</v>
      </c>
      <c r="AC125" t="b">
        <v>0</v>
      </c>
      <c r="AE125" t="b">
        <v>0</v>
      </c>
      <c r="AG125" t="b">
        <v>0</v>
      </c>
      <c r="AI125" t="b">
        <v>0</v>
      </c>
      <c r="AK125" t="s">
        <v>202</v>
      </c>
      <c r="AL125" t="s">
        <v>66</v>
      </c>
      <c r="AM125" s="3">
        <v>46263</v>
      </c>
      <c r="AN125" s="4">
        <v>0.50140046296296292</v>
      </c>
      <c r="AO125">
        <v>0</v>
      </c>
      <c r="AP125" t="s">
        <v>1640</v>
      </c>
      <c r="AQ125" t="s">
        <v>69</v>
      </c>
      <c r="AR125">
        <v>81.3</v>
      </c>
      <c r="AS125" t="s">
        <v>70</v>
      </c>
      <c r="AT125" t="s">
        <v>442</v>
      </c>
      <c r="AV125" t="s">
        <v>73</v>
      </c>
      <c r="AW125" t="str">
        <f t="shared" si="2"/>
        <v>Administración de Empresas</v>
      </c>
      <c r="AX125" t="str">
        <f t="shared" si="3"/>
        <v/>
      </c>
      <c r="AY125" t="str">
        <f>IFERROR(INDEX(Vacantes!$C:$C,MATCH(AT125,Vacantes!$A:$A,0)),"")</f>
        <v>127</v>
      </c>
      <c r="AZ125" t="str">
        <f>IFERROR(INDEX(Vacantes!$D:$D,MATCH(AT125,Vacantes!$A:$A,0)),"")</f>
        <v>13 de octubre de 2026</v>
      </c>
      <c r="BA125" t="str">
        <f>IFERROR(INDEX(Vacantes!$E:$E,MATCH(AT125,Vacantes!$A:$A,0)),"")</f>
        <v>1:30 p.m. a 5:30 p.m.</v>
      </c>
    </row>
    <row r="126" spans="1:53" x14ac:dyDescent="0.15">
      <c r="A126" t="s">
        <v>1641</v>
      </c>
      <c r="B126" t="s">
        <v>1642</v>
      </c>
      <c r="C126" t="s">
        <v>55</v>
      </c>
      <c r="D126">
        <v>1021664400</v>
      </c>
      <c r="E126" t="s">
        <v>76</v>
      </c>
      <c r="F126">
        <v>22</v>
      </c>
      <c r="G126" t="b">
        <v>1</v>
      </c>
      <c r="H126" t="s">
        <v>88</v>
      </c>
      <c r="I126" t="s">
        <v>57</v>
      </c>
      <c r="J126" t="s">
        <v>495</v>
      </c>
      <c r="L126" t="s">
        <v>134</v>
      </c>
      <c r="N126" t="b">
        <v>1</v>
      </c>
      <c r="O126" t="b">
        <v>0</v>
      </c>
      <c r="P126" t="s">
        <v>60</v>
      </c>
      <c r="Q126" t="s">
        <v>60</v>
      </c>
      <c r="R126" t="s">
        <v>109</v>
      </c>
      <c r="V126" t="s">
        <v>439</v>
      </c>
      <c r="W126" t="s">
        <v>108</v>
      </c>
      <c r="AB126" t="b">
        <v>0</v>
      </c>
      <c r="AC126" t="b">
        <v>0</v>
      </c>
      <c r="AE126" t="b">
        <v>0</v>
      </c>
      <c r="AG126" t="b">
        <v>0</v>
      </c>
      <c r="AI126" t="b">
        <v>0</v>
      </c>
      <c r="AK126" t="s">
        <v>153</v>
      </c>
      <c r="AL126" t="s">
        <v>66</v>
      </c>
      <c r="AM126" s="3">
        <v>46277</v>
      </c>
      <c r="AN126" s="4">
        <v>0.61115740740740743</v>
      </c>
      <c r="AO126">
        <v>3115317009</v>
      </c>
      <c r="AP126" t="s">
        <v>1643</v>
      </c>
      <c r="AQ126" t="s">
        <v>69</v>
      </c>
      <c r="AR126">
        <v>71.900000000000006</v>
      </c>
      <c r="AS126" t="s">
        <v>70</v>
      </c>
      <c r="AT126" t="s">
        <v>442</v>
      </c>
      <c r="AU126" t="s">
        <v>221</v>
      </c>
      <c r="AV126" t="s">
        <v>73</v>
      </c>
      <c r="AW126" t="str">
        <f t="shared" si="2"/>
        <v>Negocios Internacionales</v>
      </c>
      <c r="AX126" t="str">
        <f t="shared" si="3"/>
        <v>3115317009</v>
      </c>
      <c r="AY126" t="str">
        <f>IFERROR(INDEX(Vacantes!$C:$C,MATCH(AT126,Vacantes!$A:$A,0)),"")</f>
        <v>127</v>
      </c>
      <c r="AZ126" t="str">
        <f>IFERROR(INDEX(Vacantes!$D:$D,MATCH(AT126,Vacantes!$A:$A,0)),"")</f>
        <v>13 de octubre de 2026</v>
      </c>
      <c r="BA126" t="str">
        <f>IFERROR(INDEX(Vacantes!$E:$E,MATCH(AT126,Vacantes!$A:$A,0)),"")</f>
        <v>1:30 p.m. a 5:30 p.m.</v>
      </c>
    </row>
    <row r="127" spans="1:53" x14ac:dyDescent="0.15">
      <c r="A127" t="s">
        <v>1644</v>
      </c>
      <c r="B127" t="s">
        <v>1645</v>
      </c>
      <c r="C127" t="s">
        <v>55</v>
      </c>
      <c r="D127">
        <v>1025060647</v>
      </c>
      <c r="E127" t="s">
        <v>76</v>
      </c>
      <c r="F127">
        <v>22</v>
      </c>
      <c r="G127" t="b">
        <v>1</v>
      </c>
      <c r="H127" t="s">
        <v>131</v>
      </c>
      <c r="I127" t="s">
        <v>57</v>
      </c>
      <c r="J127" t="s">
        <v>78</v>
      </c>
      <c r="L127" t="s">
        <v>143</v>
      </c>
      <c r="N127" t="b">
        <v>0</v>
      </c>
      <c r="O127" t="b">
        <v>0</v>
      </c>
      <c r="P127" t="s">
        <v>61</v>
      </c>
      <c r="Q127" t="s">
        <v>61</v>
      </c>
      <c r="R127" t="s">
        <v>109</v>
      </c>
      <c r="V127" t="s">
        <v>188</v>
      </c>
      <c r="W127" t="s">
        <v>89</v>
      </c>
      <c r="AB127" t="b">
        <v>0</v>
      </c>
      <c r="AC127" t="b">
        <v>0</v>
      </c>
      <c r="AE127" t="b">
        <v>0</v>
      </c>
      <c r="AG127" t="b">
        <v>0</v>
      </c>
      <c r="AI127" t="b">
        <v>0</v>
      </c>
      <c r="AK127" t="s">
        <v>65</v>
      </c>
      <c r="AL127" t="s">
        <v>66</v>
      </c>
      <c r="AM127" s="3">
        <v>46269</v>
      </c>
      <c r="AN127" s="4">
        <v>0.24935185185185191</v>
      </c>
      <c r="AO127" t="s">
        <v>1646</v>
      </c>
      <c r="AP127" t="s">
        <v>1647</v>
      </c>
      <c r="AQ127" t="s">
        <v>69</v>
      </c>
      <c r="AR127">
        <v>97.4</v>
      </c>
      <c r="AS127" t="s">
        <v>70</v>
      </c>
      <c r="AT127" t="s">
        <v>191</v>
      </c>
      <c r="AV127" t="s">
        <v>73</v>
      </c>
      <c r="AW127" t="str">
        <f t="shared" si="2"/>
        <v>Ingeniería Industrial</v>
      </c>
      <c r="AX127" t="str">
        <f t="shared" si="3"/>
        <v>310 2914103</v>
      </c>
      <c r="AY127" t="str">
        <f>IFERROR(INDEX(Vacantes!$C:$C,MATCH(AT127,Vacantes!$A:$A,0)),"")</f>
        <v>127</v>
      </c>
      <c r="AZ127" t="str">
        <f>IFERROR(INDEX(Vacantes!$D:$D,MATCH(AT127,Vacantes!$A:$A,0)),"")</f>
        <v>13 de octubre de 2026</v>
      </c>
      <c r="BA127" t="str">
        <f>IFERROR(INDEX(Vacantes!$E:$E,MATCH(AT127,Vacantes!$A:$A,0)),"")</f>
        <v>1:30 p.m. a 5:30 p.m.</v>
      </c>
    </row>
    <row r="128" spans="1:53" x14ac:dyDescent="0.15">
      <c r="A128" t="s">
        <v>1648</v>
      </c>
      <c r="B128" t="s">
        <v>1649</v>
      </c>
      <c r="C128" t="s">
        <v>55</v>
      </c>
      <c r="D128">
        <v>1048064512</v>
      </c>
      <c r="E128" t="s">
        <v>76</v>
      </c>
      <c r="F128">
        <v>22</v>
      </c>
      <c r="G128" t="b">
        <v>1</v>
      </c>
      <c r="H128" t="s">
        <v>131</v>
      </c>
      <c r="I128" t="s">
        <v>57</v>
      </c>
      <c r="J128" t="s">
        <v>78</v>
      </c>
      <c r="L128" t="s">
        <v>143</v>
      </c>
      <c r="N128" t="b">
        <v>0</v>
      </c>
      <c r="O128" t="b">
        <v>0</v>
      </c>
      <c r="P128" t="s">
        <v>61</v>
      </c>
      <c r="Q128" t="s">
        <v>61</v>
      </c>
      <c r="R128" t="s">
        <v>109</v>
      </c>
      <c r="V128" t="s">
        <v>188</v>
      </c>
      <c r="W128" t="s">
        <v>109</v>
      </c>
      <c r="AA128" t="s">
        <v>439</v>
      </c>
      <c r="AB128" t="b">
        <v>0</v>
      </c>
      <c r="AC128" t="b">
        <v>0</v>
      </c>
      <c r="AE128" t="b">
        <v>0</v>
      </c>
      <c r="AG128" t="b">
        <v>0</v>
      </c>
      <c r="AI128" t="b">
        <v>0</v>
      </c>
      <c r="AK128" t="s">
        <v>153</v>
      </c>
      <c r="AL128" t="s">
        <v>66</v>
      </c>
      <c r="AM128" s="3">
        <v>46270</v>
      </c>
      <c r="AN128" s="4">
        <v>0.3618865740740741</v>
      </c>
      <c r="AO128">
        <v>3008056207</v>
      </c>
      <c r="AP128" t="s">
        <v>1650</v>
      </c>
      <c r="AQ128" t="s">
        <v>69</v>
      </c>
      <c r="AR128">
        <v>88.2</v>
      </c>
      <c r="AS128" t="s">
        <v>70</v>
      </c>
      <c r="AT128" t="s">
        <v>191</v>
      </c>
      <c r="AV128" t="s">
        <v>73</v>
      </c>
      <c r="AW128" t="str">
        <f t="shared" si="2"/>
        <v>Ingeniería Industrial</v>
      </c>
      <c r="AX128" t="str">
        <f t="shared" si="3"/>
        <v>3008056207</v>
      </c>
      <c r="AY128" t="str">
        <f>IFERROR(INDEX(Vacantes!$C:$C,MATCH(AT128,Vacantes!$A:$A,0)),"")</f>
        <v>127</v>
      </c>
      <c r="AZ128" t="str">
        <f>IFERROR(INDEX(Vacantes!$D:$D,MATCH(AT128,Vacantes!$A:$A,0)),"")</f>
        <v>13 de octubre de 2026</v>
      </c>
      <c r="BA128" t="str">
        <f>IFERROR(INDEX(Vacantes!$E:$E,MATCH(AT128,Vacantes!$A:$A,0)),"")</f>
        <v>1:30 p.m. a 5:30 p.m.</v>
      </c>
    </row>
    <row r="129" spans="1:53" x14ac:dyDescent="0.15">
      <c r="A129" t="s">
        <v>1651</v>
      </c>
      <c r="B129" t="s">
        <v>1652</v>
      </c>
      <c r="C129" t="s">
        <v>55</v>
      </c>
      <c r="D129">
        <v>1126430889</v>
      </c>
      <c r="E129" t="s">
        <v>56</v>
      </c>
      <c r="F129">
        <v>23</v>
      </c>
      <c r="G129" t="b">
        <v>1</v>
      </c>
      <c r="H129" t="s">
        <v>88</v>
      </c>
      <c r="I129" t="s">
        <v>57</v>
      </c>
      <c r="J129" t="s">
        <v>150</v>
      </c>
      <c r="L129" t="s">
        <v>143</v>
      </c>
      <c r="N129" t="b">
        <v>0</v>
      </c>
      <c r="O129" t="b">
        <v>0</v>
      </c>
      <c r="P129" t="s">
        <v>61</v>
      </c>
      <c r="Q129" t="s">
        <v>61</v>
      </c>
      <c r="R129" t="s">
        <v>108</v>
      </c>
      <c r="W129" t="s">
        <v>109</v>
      </c>
      <c r="AA129" t="s">
        <v>176</v>
      </c>
      <c r="AB129" t="b">
        <v>0</v>
      </c>
      <c r="AC129" t="b">
        <v>0</v>
      </c>
      <c r="AE129" t="b">
        <v>0</v>
      </c>
      <c r="AG129" t="b">
        <v>0</v>
      </c>
      <c r="AI129" t="b">
        <v>0</v>
      </c>
      <c r="AK129" t="s">
        <v>248</v>
      </c>
      <c r="AL129" t="s">
        <v>66</v>
      </c>
      <c r="AM129" s="3">
        <v>46278</v>
      </c>
      <c r="AN129" s="4">
        <v>0.36690972222222218</v>
      </c>
      <c r="AO129" t="s">
        <v>1653</v>
      </c>
      <c r="AP129" t="s">
        <v>349</v>
      </c>
      <c r="AQ129" t="s">
        <v>69</v>
      </c>
      <c r="AR129">
        <v>82.8</v>
      </c>
      <c r="AS129" t="s">
        <v>70</v>
      </c>
      <c r="AT129" t="s">
        <v>191</v>
      </c>
      <c r="AV129" t="s">
        <v>73</v>
      </c>
      <c r="AW129" t="str">
        <f t="shared" si="2"/>
        <v>Ingeniería Industrial</v>
      </c>
      <c r="AX129" t="str">
        <f t="shared" si="3"/>
        <v>302 8361979</v>
      </c>
      <c r="AY129" t="str">
        <f>IFERROR(INDEX(Vacantes!$C:$C,MATCH(AT129,Vacantes!$A:$A,0)),"")</f>
        <v>127</v>
      </c>
      <c r="AZ129" t="str">
        <f>IFERROR(INDEX(Vacantes!$D:$D,MATCH(AT129,Vacantes!$A:$A,0)),"")</f>
        <v>13 de octubre de 2026</v>
      </c>
      <c r="BA129" t="str">
        <f>IFERROR(INDEX(Vacantes!$E:$E,MATCH(AT129,Vacantes!$A:$A,0)),"")</f>
        <v>1:30 p.m. a 5:30 p.m.</v>
      </c>
    </row>
    <row r="130" spans="1:53" x14ac:dyDescent="0.15">
      <c r="A130" t="s">
        <v>1654</v>
      </c>
      <c r="B130" t="s">
        <v>1655</v>
      </c>
      <c r="C130" t="s">
        <v>55</v>
      </c>
      <c r="D130">
        <v>1034286689</v>
      </c>
      <c r="E130" t="s">
        <v>76</v>
      </c>
      <c r="F130">
        <v>22</v>
      </c>
      <c r="G130" t="b">
        <v>1</v>
      </c>
      <c r="H130" t="s">
        <v>131</v>
      </c>
      <c r="I130" t="s">
        <v>57</v>
      </c>
      <c r="J130" t="s">
        <v>458</v>
      </c>
      <c r="L130" t="s">
        <v>107</v>
      </c>
      <c r="N130" t="b">
        <v>1</v>
      </c>
      <c r="O130" t="b">
        <v>0</v>
      </c>
      <c r="P130" t="s">
        <v>61</v>
      </c>
      <c r="Q130" t="s">
        <v>60</v>
      </c>
      <c r="R130" t="s">
        <v>109</v>
      </c>
      <c r="V130" t="s">
        <v>188</v>
      </c>
      <c r="W130" t="s">
        <v>81</v>
      </c>
      <c r="AB130" t="b">
        <v>0</v>
      </c>
      <c r="AC130" t="b">
        <v>0</v>
      </c>
      <c r="AE130" t="b">
        <v>0</v>
      </c>
      <c r="AG130" t="b">
        <v>0</v>
      </c>
      <c r="AI130" t="b">
        <v>0</v>
      </c>
      <c r="AK130" t="s">
        <v>202</v>
      </c>
      <c r="AL130" t="s">
        <v>66</v>
      </c>
      <c r="AM130" s="3">
        <v>46264</v>
      </c>
      <c r="AN130" s="4">
        <v>0.86814814814814811</v>
      </c>
      <c r="AO130" t="s">
        <v>1656</v>
      </c>
      <c r="AP130" t="s">
        <v>1657</v>
      </c>
      <c r="AQ130" t="s">
        <v>69</v>
      </c>
      <c r="AR130">
        <v>98.8</v>
      </c>
      <c r="AS130" t="s">
        <v>85</v>
      </c>
      <c r="AT130" t="s">
        <v>191</v>
      </c>
      <c r="AV130" t="s">
        <v>73</v>
      </c>
      <c r="AW130" t="str">
        <f t="shared" ref="AW130:AW193" si="4">IF(L130="Otra",IF(M130="","Otra",M130&amp;""),L130&amp;"")</f>
        <v>Administración de Empresas</v>
      </c>
      <c r="AX130" t="str">
        <f t="shared" ref="AX130:AX193" si="5">IF(OR(AO130="",AO130=0),"",TRIM(AO130))</f>
        <v>318 3239712</v>
      </c>
      <c r="AY130" t="str">
        <f>IFERROR(INDEX(Vacantes!$C:$C,MATCH(AT130,Vacantes!$A:$A,0)),"")</f>
        <v>127</v>
      </c>
      <c r="AZ130" t="str">
        <f>IFERROR(INDEX(Vacantes!$D:$D,MATCH(AT130,Vacantes!$A:$A,0)),"")</f>
        <v>13 de octubre de 2026</v>
      </c>
      <c r="BA130" t="str">
        <f>IFERROR(INDEX(Vacantes!$E:$E,MATCH(AT130,Vacantes!$A:$A,0)),"")</f>
        <v>1:30 p.m. a 5:30 p.m.</v>
      </c>
    </row>
    <row r="131" spans="1:53" x14ac:dyDescent="0.15">
      <c r="A131" t="s">
        <v>1658</v>
      </c>
      <c r="B131" t="s">
        <v>1659</v>
      </c>
      <c r="C131" t="s">
        <v>55</v>
      </c>
      <c r="D131">
        <v>1081272015</v>
      </c>
      <c r="E131" t="s">
        <v>56</v>
      </c>
      <c r="F131">
        <v>22</v>
      </c>
      <c r="G131" t="b">
        <v>1</v>
      </c>
      <c r="H131" t="s">
        <v>131</v>
      </c>
      <c r="I131" t="s">
        <v>57</v>
      </c>
      <c r="J131" t="s">
        <v>150</v>
      </c>
      <c r="L131" t="s">
        <v>79</v>
      </c>
      <c r="N131" t="b">
        <v>0</v>
      </c>
      <c r="O131" t="b">
        <v>0</v>
      </c>
      <c r="P131" t="s">
        <v>61</v>
      </c>
      <c r="Q131" t="s">
        <v>61</v>
      </c>
      <c r="R131" t="s">
        <v>109</v>
      </c>
      <c r="V131" t="s">
        <v>188</v>
      </c>
      <c r="W131" t="s">
        <v>62</v>
      </c>
      <c r="AB131" t="b">
        <v>0</v>
      </c>
      <c r="AC131" t="b">
        <v>0</v>
      </c>
      <c r="AE131" t="b">
        <v>0</v>
      </c>
      <c r="AG131" t="b">
        <v>0</v>
      </c>
      <c r="AI131" t="b">
        <v>0</v>
      </c>
      <c r="AK131" t="s">
        <v>202</v>
      </c>
      <c r="AL131" t="s">
        <v>66</v>
      </c>
      <c r="AM131" s="3">
        <v>46276</v>
      </c>
      <c r="AN131" s="4">
        <v>0.65074074074074073</v>
      </c>
      <c r="AO131" t="s">
        <v>1660</v>
      </c>
      <c r="AP131" t="s">
        <v>1661</v>
      </c>
      <c r="AQ131" t="s">
        <v>69</v>
      </c>
      <c r="AR131">
        <v>97.6</v>
      </c>
      <c r="AS131" t="s">
        <v>70</v>
      </c>
      <c r="AT131" t="s">
        <v>191</v>
      </c>
      <c r="AU131" t="s">
        <v>221</v>
      </c>
      <c r="AV131" t="s">
        <v>73</v>
      </c>
      <c r="AW131" t="str">
        <f t="shared" si="4"/>
        <v>Economía</v>
      </c>
      <c r="AX131" t="str">
        <f t="shared" si="5"/>
        <v>312 7048442</v>
      </c>
      <c r="AY131" t="str">
        <f>IFERROR(INDEX(Vacantes!$C:$C,MATCH(AT131,Vacantes!$A:$A,0)),"")</f>
        <v>127</v>
      </c>
      <c r="AZ131" t="str">
        <f>IFERROR(INDEX(Vacantes!$D:$D,MATCH(AT131,Vacantes!$A:$A,0)),"")</f>
        <v>13 de octubre de 2026</v>
      </c>
      <c r="BA131" t="str">
        <f>IFERROR(INDEX(Vacantes!$E:$E,MATCH(AT131,Vacantes!$A:$A,0)),"")</f>
        <v>1:30 p.m. a 5:30 p.m.</v>
      </c>
    </row>
    <row r="132" spans="1:53" x14ac:dyDescent="0.15">
      <c r="A132" t="s">
        <v>1662</v>
      </c>
      <c r="B132" t="s">
        <v>1663</v>
      </c>
      <c r="C132" t="s">
        <v>55</v>
      </c>
      <c r="D132">
        <v>1092455070</v>
      </c>
      <c r="E132" t="s">
        <v>56</v>
      </c>
      <c r="F132">
        <v>21</v>
      </c>
      <c r="G132" t="b">
        <v>1</v>
      </c>
      <c r="H132" t="s">
        <v>131</v>
      </c>
      <c r="I132" t="s">
        <v>57</v>
      </c>
      <c r="J132" t="s">
        <v>78</v>
      </c>
      <c r="L132" t="s">
        <v>132</v>
      </c>
      <c r="M132" t="s">
        <v>1664</v>
      </c>
      <c r="N132" t="b">
        <v>0</v>
      </c>
      <c r="O132" t="b">
        <v>0</v>
      </c>
      <c r="P132" t="s">
        <v>61</v>
      </c>
      <c r="Q132" t="s">
        <v>61</v>
      </c>
      <c r="R132" t="s">
        <v>108</v>
      </c>
      <c r="W132" t="s">
        <v>109</v>
      </c>
      <c r="AA132" t="s">
        <v>188</v>
      </c>
      <c r="AB132" t="b">
        <v>0</v>
      </c>
      <c r="AC132" t="b">
        <v>0</v>
      </c>
      <c r="AE132" t="b">
        <v>0</v>
      </c>
      <c r="AG132" t="b">
        <v>0</v>
      </c>
      <c r="AI132" t="b">
        <v>0</v>
      </c>
      <c r="AK132" t="s">
        <v>65</v>
      </c>
      <c r="AL132" t="s">
        <v>66</v>
      </c>
      <c r="AM132" s="3">
        <v>46278</v>
      </c>
      <c r="AN132" s="4">
        <v>0.58037037037037043</v>
      </c>
      <c r="AO132" t="s">
        <v>1665</v>
      </c>
      <c r="AP132" t="s">
        <v>1666</v>
      </c>
      <c r="AQ132" t="s">
        <v>69</v>
      </c>
      <c r="AR132">
        <v>94.4</v>
      </c>
      <c r="AS132" t="s">
        <v>70</v>
      </c>
      <c r="AT132" t="s">
        <v>191</v>
      </c>
      <c r="AU132" t="s">
        <v>72</v>
      </c>
      <c r="AV132" t="s">
        <v>73</v>
      </c>
      <c r="AW132" t="str">
        <f t="shared" si="4"/>
        <v>Doble carrera: Administracion de empresas y economia</v>
      </c>
      <c r="AX132" t="str">
        <f t="shared" si="5"/>
        <v>301 7846892</v>
      </c>
      <c r="AY132" t="str">
        <f>IFERROR(INDEX(Vacantes!$C:$C,MATCH(AT132,Vacantes!$A:$A,0)),"")</f>
        <v>127</v>
      </c>
      <c r="AZ132" t="str">
        <f>IFERROR(INDEX(Vacantes!$D:$D,MATCH(AT132,Vacantes!$A:$A,0)),"")</f>
        <v>13 de octubre de 2026</v>
      </c>
      <c r="BA132" t="str">
        <f>IFERROR(INDEX(Vacantes!$E:$E,MATCH(AT132,Vacantes!$A:$A,0)),"")</f>
        <v>1:30 p.m. a 5:30 p.m.</v>
      </c>
    </row>
    <row r="133" spans="1:53" x14ac:dyDescent="0.15">
      <c r="A133" t="s">
        <v>1671</v>
      </c>
      <c r="B133" t="s">
        <v>1672</v>
      </c>
      <c r="C133" t="s">
        <v>55</v>
      </c>
      <c r="D133">
        <v>1029141596</v>
      </c>
      <c r="E133" t="s">
        <v>56</v>
      </c>
      <c r="F133">
        <v>21</v>
      </c>
      <c r="G133" t="b">
        <v>1</v>
      </c>
      <c r="H133" t="s">
        <v>88</v>
      </c>
      <c r="I133" t="s">
        <v>57</v>
      </c>
      <c r="J133" t="s">
        <v>234</v>
      </c>
      <c r="L133" t="s">
        <v>107</v>
      </c>
      <c r="N133" t="b">
        <v>1</v>
      </c>
      <c r="O133" t="b">
        <v>0</v>
      </c>
      <c r="P133" t="s">
        <v>60</v>
      </c>
      <c r="Q133" t="s">
        <v>60</v>
      </c>
      <c r="R133" t="s">
        <v>64</v>
      </c>
      <c r="W133" t="s">
        <v>108</v>
      </c>
      <c r="Z133" t="s">
        <v>151</v>
      </c>
      <c r="AB133" t="b">
        <v>0</v>
      </c>
      <c r="AC133" t="b">
        <v>0</v>
      </c>
      <c r="AE133" t="b">
        <v>0</v>
      </c>
      <c r="AG133" t="b">
        <v>0</v>
      </c>
      <c r="AI133" t="b">
        <v>0</v>
      </c>
      <c r="AK133" t="s">
        <v>65</v>
      </c>
      <c r="AL133" t="s">
        <v>66</v>
      </c>
      <c r="AM133" s="3">
        <v>46275</v>
      </c>
      <c r="AN133" s="4">
        <v>0.5216319444444445</v>
      </c>
      <c r="AO133">
        <v>3102656668</v>
      </c>
      <c r="AP133" t="s">
        <v>1673</v>
      </c>
      <c r="AQ133" t="s">
        <v>69</v>
      </c>
      <c r="AR133">
        <v>80.900000000000006</v>
      </c>
      <c r="AS133" t="s">
        <v>70</v>
      </c>
      <c r="AT133" t="s">
        <v>97</v>
      </c>
      <c r="AU133" t="s">
        <v>221</v>
      </c>
      <c r="AV133" t="s">
        <v>73</v>
      </c>
      <c r="AW133" t="str">
        <f t="shared" si="4"/>
        <v>Administración de Empresas</v>
      </c>
      <c r="AX133" t="str">
        <f t="shared" si="5"/>
        <v>3102656668</v>
      </c>
      <c r="AY133" t="str">
        <f>IFERROR(INDEX(Vacantes!$C:$C,MATCH(AT133,Vacantes!$A:$A,0)),"")</f>
        <v>127</v>
      </c>
      <c r="AZ133" t="str">
        <f>IFERROR(INDEX(Vacantes!$D:$D,MATCH(AT133,Vacantes!$A:$A,0)),"")</f>
        <v>13 de octubre de 2026</v>
      </c>
      <c r="BA133" t="str">
        <f>IFERROR(INDEX(Vacantes!$E:$E,MATCH(AT133,Vacantes!$A:$A,0)),"")</f>
        <v>7:30 a.m. a 11:30 a.m.</v>
      </c>
    </row>
    <row r="134" spans="1:53" x14ac:dyDescent="0.15">
      <c r="A134" t="s">
        <v>1674</v>
      </c>
      <c r="B134" t="s">
        <v>1675</v>
      </c>
      <c r="C134" t="s">
        <v>55</v>
      </c>
      <c r="D134">
        <v>1000835394</v>
      </c>
      <c r="E134" t="s">
        <v>76</v>
      </c>
      <c r="F134">
        <v>24</v>
      </c>
      <c r="G134" t="b">
        <v>1</v>
      </c>
      <c r="H134" t="s">
        <v>77</v>
      </c>
      <c r="I134" t="s">
        <v>57</v>
      </c>
      <c r="J134" t="s">
        <v>463</v>
      </c>
      <c r="L134" t="s">
        <v>143</v>
      </c>
      <c r="N134" t="b">
        <v>1</v>
      </c>
      <c r="O134" t="b">
        <v>0</v>
      </c>
      <c r="P134" t="s">
        <v>60</v>
      </c>
      <c r="Q134" t="s">
        <v>60</v>
      </c>
      <c r="R134" t="s">
        <v>81</v>
      </c>
      <c r="U134" t="s">
        <v>93</v>
      </c>
      <c r="W134" t="s">
        <v>64</v>
      </c>
      <c r="AB134" t="b">
        <v>0</v>
      </c>
      <c r="AC134" t="b">
        <v>0</v>
      </c>
      <c r="AE134" t="b">
        <v>0</v>
      </c>
      <c r="AG134" t="b">
        <v>0</v>
      </c>
      <c r="AI134" t="b">
        <v>0</v>
      </c>
      <c r="AK134" t="s">
        <v>94</v>
      </c>
      <c r="AL134" t="s">
        <v>66</v>
      </c>
      <c r="AM134" s="3">
        <v>46266</v>
      </c>
      <c r="AN134" s="4">
        <v>0.55784722222222227</v>
      </c>
      <c r="AO134">
        <v>3115472685</v>
      </c>
      <c r="AP134" t="s">
        <v>1676</v>
      </c>
      <c r="AQ134" t="s">
        <v>69</v>
      </c>
      <c r="AR134">
        <v>86.4</v>
      </c>
      <c r="AS134" t="s">
        <v>70</v>
      </c>
      <c r="AT134" t="s">
        <v>97</v>
      </c>
      <c r="AV134" t="s">
        <v>73</v>
      </c>
      <c r="AW134" t="str">
        <f t="shared" si="4"/>
        <v>Ingeniería Industrial</v>
      </c>
      <c r="AX134" t="str">
        <f t="shared" si="5"/>
        <v>3115472685</v>
      </c>
      <c r="AY134" t="str">
        <f>IFERROR(INDEX(Vacantes!$C:$C,MATCH(AT134,Vacantes!$A:$A,0)),"")</f>
        <v>127</v>
      </c>
      <c r="AZ134" t="str">
        <f>IFERROR(INDEX(Vacantes!$D:$D,MATCH(AT134,Vacantes!$A:$A,0)),"")</f>
        <v>13 de octubre de 2026</v>
      </c>
      <c r="BA134" t="str">
        <f>IFERROR(INDEX(Vacantes!$E:$E,MATCH(AT134,Vacantes!$A:$A,0)),"")</f>
        <v>7:30 a.m. a 11:30 a.m.</v>
      </c>
    </row>
    <row r="135" spans="1:53" x14ac:dyDescent="0.15">
      <c r="A135" t="s">
        <v>1677</v>
      </c>
      <c r="B135" t="s">
        <v>1678</v>
      </c>
      <c r="C135" t="s">
        <v>55</v>
      </c>
      <c r="D135">
        <v>1192748874</v>
      </c>
      <c r="E135" t="s">
        <v>76</v>
      </c>
      <c r="F135">
        <v>23</v>
      </c>
      <c r="G135" t="b">
        <v>1</v>
      </c>
      <c r="H135" t="s">
        <v>57</v>
      </c>
      <c r="I135" t="s">
        <v>57</v>
      </c>
      <c r="J135" t="s">
        <v>234</v>
      </c>
      <c r="L135" t="s">
        <v>1043</v>
      </c>
      <c r="N135" t="b">
        <v>1</v>
      </c>
      <c r="O135" t="b">
        <v>0</v>
      </c>
      <c r="P135" t="s">
        <v>60</v>
      </c>
      <c r="Q135" t="s">
        <v>60</v>
      </c>
      <c r="R135" t="s">
        <v>80</v>
      </c>
      <c r="W135" t="s">
        <v>81</v>
      </c>
      <c r="Y135" t="s">
        <v>82</v>
      </c>
      <c r="AB135" t="b">
        <v>0</v>
      </c>
      <c r="AC135" t="b">
        <v>0</v>
      </c>
      <c r="AE135" t="b">
        <v>0</v>
      </c>
      <c r="AG135" t="b">
        <v>0</v>
      </c>
      <c r="AI135" t="b">
        <v>0</v>
      </c>
      <c r="AK135" t="s">
        <v>65</v>
      </c>
      <c r="AL135" t="s">
        <v>66</v>
      </c>
      <c r="AM135" s="3">
        <v>46277</v>
      </c>
      <c r="AN135" s="4">
        <v>0.51678240740740744</v>
      </c>
      <c r="AO135" t="s">
        <v>1679</v>
      </c>
      <c r="AP135" t="s">
        <v>1680</v>
      </c>
      <c r="AQ135" t="s">
        <v>69</v>
      </c>
      <c r="AR135">
        <v>83</v>
      </c>
      <c r="AS135" t="s">
        <v>70</v>
      </c>
      <c r="AT135" t="s">
        <v>102</v>
      </c>
      <c r="AU135" t="s">
        <v>221</v>
      </c>
      <c r="AV135" t="s">
        <v>73</v>
      </c>
      <c r="AW135" t="str">
        <f t="shared" si="4"/>
        <v>Contaduría Pública</v>
      </c>
      <c r="AX135" t="str">
        <f t="shared" si="5"/>
        <v>322 2115510</v>
      </c>
      <c r="AY135" t="str">
        <f>IFERROR(INDEX(Vacantes!$C:$C,MATCH(AT135,Vacantes!$A:$A,0)),"")</f>
        <v>127</v>
      </c>
      <c r="AZ135" t="str">
        <f>IFERROR(INDEX(Vacantes!$D:$D,MATCH(AT135,Vacantes!$A:$A,0)),"")</f>
        <v>13 de octubre de 2026</v>
      </c>
      <c r="BA135" t="str">
        <f>IFERROR(INDEX(Vacantes!$E:$E,MATCH(AT135,Vacantes!$A:$A,0)),"")</f>
        <v>7:30 a.m. a 11:30 a.m.</v>
      </c>
    </row>
    <row r="136" spans="1:53" x14ac:dyDescent="0.15">
      <c r="A136" t="s">
        <v>1681</v>
      </c>
      <c r="B136" t="s">
        <v>1682</v>
      </c>
      <c r="C136" t="s">
        <v>55</v>
      </c>
      <c r="D136">
        <v>1013036295</v>
      </c>
      <c r="E136" t="s">
        <v>56</v>
      </c>
      <c r="F136">
        <v>22</v>
      </c>
      <c r="G136" t="b">
        <v>1</v>
      </c>
      <c r="H136" t="s">
        <v>57</v>
      </c>
      <c r="I136" t="s">
        <v>57</v>
      </c>
      <c r="J136" t="s">
        <v>106</v>
      </c>
      <c r="L136" t="s">
        <v>134</v>
      </c>
      <c r="N136" t="b">
        <v>0</v>
      </c>
      <c r="O136" t="b">
        <v>0</v>
      </c>
      <c r="P136" t="s">
        <v>61</v>
      </c>
      <c r="Q136" t="s">
        <v>61</v>
      </c>
      <c r="R136" t="s">
        <v>81</v>
      </c>
      <c r="W136" t="s">
        <v>109</v>
      </c>
      <c r="AA136" t="s">
        <v>176</v>
      </c>
      <c r="AB136" t="b">
        <v>0</v>
      </c>
      <c r="AC136" t="b">
        <v>0</v>
      </c>
      <c r="AE136" t="b">
        <v>0</v>
      </c>
      <c r="AG136" t="b">
        <v>0</v>
      </c>
      <c r="AI136" t="b">
        <v>0</v>
      </c>
      <c r="AK136" t="s">
        <v>530</v>
      </c>
      <c r="AL136" t="s">
        <v>66</v>
      </c>
      <c r="AM136" s="3">
        <v>46272</v>
      </c>
      <c r="AN136" s="4">
        <v>0.52765046296296292</v>
      </c>
      <c r="AO136" t="s">
        <v>1683</v>
      </c>
      <c r="AP136" t="s">
        <v>1684</v>
      </c>
      <c r="AQ136" t="s">
        <v>69</v>
      </c>
      <c r="AR136">
        <v>96.5</v>
      </c>
      <c r="AS136" t="s">
        <v>70</v>
      </c>
      <c r="AT136" t="s">
        <v>102</v>
      </c>
      <c r="AU136" t="s">
        <v>72</v>
      </c>
      <c r="AV136" t="s">
        <v>73</v>
      </c>
      <c r="AW136" t="str">
        <f t="shared" si="4"/>
        <v>Negocios Internacionales</v>
      </c>
      <c r="AX136" t="str">
        <f t="shared" si="5"/>
        <v>320 3014062</v>
      </c>
      <c r="AY136" t="str">
        <f>IFERROR(INDEX(Vacantes!$C:$C,MATCH(AT136,Vacantes!$A:$A,0)),"")</f>
        <v>127</v>
      </c>
      <c r="AZ136" t="str">
        <f>IFERROR(INDEX(Vacantes!$D:$D,MATCH(AT136,Vacantes!$A:$A,0)),"")</f>
        <v>13 de octubre de 2026</v>
      </c>
      <c r="BA136" t="str">
        <f>IFERROR(INDEX(Vacantes!$E:$E,MATCH(AT136,Vacantes!$A:$A,0)),"")</f>
        <v>7:30 a.m. a 11:30 a.m.</v>
      </c>
    </row>
    <row r="137" spans="1:53" x14ac:dyDescent="0.15">
      <c r="A137" t="s">
        <v>1685</v>
      </c>
      <c r="B137" t="s">
        <v>1686</v>
      </c>
      <c r="C137" t="s">
        <v>55</v>
      </c>
      <c r="D137">
        <v>1013259681</v>
      </c>
      <c r="E137" t="s">
        <v>76</v>
      </c>
      <c r="F137">
        <v>21</v>
      </c>
      <c r="G137" t="b">
        <v>1</v>
      </c>
      <c r="H137" t="s">
        <v>57</v>
      </c>
      <c r="I137" t="s">
        <v>57</v>
      </c>
      <c r="J137" t="s">
        <v>242</v>
      </c>
      <c r="L137" t="s">
        <v>80</v>
      </c>
      <c r="N137" t="b">
        <v>1</v>
      </c>
      <c r="O137" t="b">
        <v>0</v>
      </c>
      <c r="P137" t="s">
        <v>60</v>
      </c>
      <c r="Q137" t="s">
        <v>61</v>
      </c>
      <c r="R137" t="s">
        <v>80</v>
      </c>
      <c r="W137" t="s">
        <v>81</v>
      </c>
      <c r="Y137" t="s">
        <v>82</v>
      </c>
      <c r="AB137" t="b">
        <v>0</v>
      </c>
      <c r="AC137" t="b">
        <v>0</v>
      </c>
      <c r="AE137" t="b">
        <v>0</v>
      </c>
      <c r="AG137" t="b">
        <v>0</v>
      </c>
      <c r="AI137" t="b">
        <v>0</v>
      </c>
      <c r="AK137" t="s">
        <v>202</v>
      </c>
      <c r="AL137" t="s">
        <v>66</v>
      </c>
      <c r="AM137" s="3">
        <v>46259</v>
      </c>
      <c r="AN137" s="4">
        <v>0.33814814814814809</v>
      </c>
      <c r="AO137" t="s">
        <v>1687</v>
      </c>
      <c r="AP137" t="s">
        <v>1688</v>
      </c>
      <c r="AQ137" t="s">
        <v>69</v>
      </c>
      <c r="AR137">
        <v>86.6</v>
      </c>
      <c r="AS137" t="s">
        <v>70</v>
      </c>
      <c r="AT137" t="s">
        <v>102</v>
      </c>
      <c r="AV137" t="s">
        <v>73</v>
      </c>
      <c r="AW137" t="str">
        <f t="shared" si="4"/>
        <v>Finanzas</v>
      </c>
      <c r="AX137" t="str">
        <f t="shared" si="5"/>
        <v>317 6543024</v>
      </c>
      <c r="AY137" t="str">
        <f>IFERROR(INDEX(Vacantes!$C:$C,MATCH(AT137,Vacantes!$A:$A,0)),"")</f>
        <v>127</v>
      </c>
      <c r="AZ137" t="str">
        <f>IFERROR(INDEX(Vacantes!$D:$D,MATCH(AT137,Vacantes!$A:$A,0)),"")</f>
        <v>13 de octubre de 2026</v>
      </c>
      <c r="BA137" t="str">
        <f>IFERROR(INDEX(Vacantes!$E:$E,MATCH(AT137,Vacantes!$A:$A,0)),"")</f>
        <v>7:30 a.m. a 11:30 a.m.</v>
      </c>
    </row>
    <row r="138" spans="1:53" x14ac:dyDescent="0.15">
      <c r="A138" t="s">
        <v>1689</v>
      </c>
      <c r="B138" t="s">
        <v>1690</v>
      </c>
      <c r="C138" t="s">
        <v>55</v>
      </c>
      <c r="D138">
        <v>1034779334</v>
      </c>
      <c r="E138" t="s">
        <v>56</v>
      </c>
      <c r="F138">
        <v>20</v>
      </c>
      <c r="G138" t="b">
        <v>1</v>
      </c>
      <c r="H138" t="s">
        <v>293</v>
      </c>
      <c r="I138" t="s">
        <v>57</v>
      </c>
      <c r="J138" t="s">
        <v>242</v>
      </c>
      <c r="L138" t="s">
        <v>79</v>
      </c>
      <c r="N138" t="b">
        <v>1</v>
      </c>
      <c r="O138" t="b">
        <v>0</v>
      </c>
      <c r="P138" t="s">
        <v>60</v>
      </c>
      <c r="Q138" t="s">
        <v>60</v>
      </c>
      <c r="R138" t="s">
        <v>80</v>
      </c>
      <c r="W138" t="s">
        <v>81</v>
      </c>
      <c r="Y138" t="s">
        <v>82</v>
      </c>
      <c r="AB138" t="b">
        <v>0</v>
      </c>
      <c r="AC138" t="b">
        <v>0</v>
      </c>
      <c r="AE138" t="b">
        <v>0</v>
      </c>
      <c r="AG138" t="b">
        <v>0</v>
      </c>
      <c r="AI138" t="b">
        <v>0</v>
      </c>
      <c r="AK138" t="s">
        <v>202</v>
      </c>
      <c r="AL138" t="s">
        <v>66</v>
      </c>
      <c r="AM138" s="3">
        <v>46264</v>
      </c>
      <c r="AN138" s="4">
        <v>0.86815972222222226</v>
      </c>
      <c r="AO138" t="s">
        <v>1691</v>
      </c>
      <c r="AP138" t="s">
        <v>1692</v>
      </c>
      <c r="AQ138" t="s">
        <v>69</v>
      </c>
      <c r="AR138">
        <v>90.4</v>
      </c>
      <c r="AS138" t="s">
        <v>85</v>
      </c>
      <c r="AT138" t="s">
        <v>102</v>
      </c>
      <c r="AV138" t="s">
        <v>73</v>
      </c>
      <c r="AW138" t="str">
        <f t="shared" si="4"/>
        <v>Economía</v>
      </c>
      <c r="AX138" t="str">
        <f t="shared" si="5"/>
        <v>322 2463206</v>
      </c>
      <c r="AY138" t="str">
        <f>IFERROR(INDEX(Vacantes!$C:$C,MATCH(AT138,Vacantes!$A:$A,0)),"")</f>
        <v>127</v>
      </c>
      <c r="AZ138" t="str">
        <f>IFERROR(INDEX(Vacantes!$D:$D,MATCH(AT138,Vacantes!$A:$A,0)),"")</f>
        <v>13 de octubre de 2026</v>
      </c>
      <c r="BA138" t="str">
        <f>IFERROR(INDEX(Vacantes!$E:$E,MATCH(AT138,Vacantes!$A:$A,0)),"")</f>
        <v>7:30 a.m. a 11:30 a.m.</v>
      </c>
    </row>
    <row r="139" spans="1:53" x14ac:dyDescent="0.15">
      <c r="A139" t="s">
        <v>1693</v>
      </c>
      <c r="B139" t="s">
        <v>1694</v>
      </c>
      <c r="C139" t="s">
        <v>55</v>
      </c>
      <c r="D139">
        <v>1042243379</v>
      </c>
      <c r="E139" t="s">
        <v>56</v>
      </c>
      <c r="F139">
        <v>21</v>
      </c>
      <c r="G139" t="b">
        <v>1</v>
      </c>
      <c r="H139" t="s">
        <v>213</v>
      </c>
      <c r="I139" t="s">
        <v>57</v>
      </c>
      <c r="J139" t="s">
        <v>495</v>
      </c>
      <c r="L139" t="s">
        <v>134</v>
      </c>
      <c r="N139" t="b">
        <v>0</v>
      </c>
      <c r="O139" t="b">
        <v>0</v>
      </c>
      <c r="P139" t="s">
        <v>61</v>
      </c>
      <c r="Q139" t="s">
        <v>61</v>
      </c>
      <c r="R139" t="s">
        <v>135</v>
      </c>
      <c r="W139" t="s">
        <v>81</v>
      </c>
      <c r="AB139" t="b">
        <v>0</v>
      </c>
      <c r="AC139" t="b">
        <v>0</v>
      </c>
      <c r="AE139" t="b">
        <v>0</v>
      </c>
      <c r="AG139" t="b">
        <v>0</v>
      </c>
      <c r="AI139" t="b">
        <v>0</v>
      </c>
      <c r="AK139" t="s">
        <v>153</v>
      </c>
      <c r="AL139" t="s">
        <v>66</v>
      </c>
      <c r="AM139" s="3">
        <v>46260</v>
      </c>
      <c r="AN139" s="4">
        <v>0.74033564814814812</v>
      </c>
      <c r="AO139">
        <v>3188342981</v>
      </c>
      <c r="AP139" t="s">
        <v>1074</v>
      </c>
      <c r="AQ139" t="s">
        <v>69</v>
      </c>
      <c r="AR139">
        <v>85.2</v>
      </c>
      <c r="AS139" t="s">
        <v>85</v>
      </c>
      <c r="AT139" t="s">
        <v>102</v>
      </c>
      <c r="AV139" t="s">
        <v>73</v>
      </c>
      <c r="AW139" t="str">
        <f t="shared" si="4"/>
        <v>Negocios Internacionales</v>
      </c>
      <c r="AX139" t="str">
        <f t="shared" si="5"/>
        <v>3188342981</v>
      </c>
      <c r="AY139" t="str">
        <f>IFERROR(INDEX(Vacantes!$C:$C,MATCH(AT139,Vacantes!$A:$A,0)),"")</f>
        <v>127</v>
      </c>
      <c r="AZ139" t="str">
        <f>IFERROR(INDEX(Vacantes!$D:$D,MATCH(AT139,Vacantes!$A:$A,0)),"")</f>
        <v>13 de octubre de 2026</v>
      </c>
      <c r="BA139" t="str">
        <f>IFERROR(INDEX(Vacantes!$E:$E,MATCH(AT139,Vacantes!$A:$A,0)),"")</f>
        <v>7:30 a.m. a 11:30 a.m.</v>
      </c>
    </row>
    <row r="140" spans="1:53" x14ac:dyDescent="0.15">
      <c r="A140" t="s">
        <v>1695</v>
      </c>
      <c r="B140" t="s">
        <v>1696</v>
      </c>
      <c r="C140" t="s">
        <v>55</v>
      </c>
      <c r="D140">
        <v>1104545629</v>
      </c>
      <c r="E140" t="s">
        <v>76</v>
      </c>
      <c r="F140">
        <v>20</v>
      </c>
      <c r="G140" t="b">
        <v>1</v>
      </c>
      <c r="H140" t="s">
        <v>1697</v>
      </c>
      <c r="I140" t="s">
        <v>57</v>
      </c>
      <c r="J140" t="s">
        <v>132</v>
      </c>
      <c r="K140" t="s">
        <v>1698</v>
      </c>
      <c r="L140" t="s">
        <v>79</v>
      </c>
      <c r="N140" t="b">
        <v>0</v>
      </c>
      <c r="O140" t="b">
        <v>0</v>
      </c>
      <c r="P140" t="s">
        <v>60</v>
      </c>
      <c r="Q140" t="s">
        <v>61</v>
      </c>
      <c r="R140" t="s">
        <v>81</v>
      </c>
      <c r="T140" t="s">
        <v>82</v>
      </c>
      <c r="W140" t="s">
        <v>80</v>
      </c>
      <c r="AB140" t="b">
        <v>0</v>
      </c>
      <c r="AC140" t="b">
        <v>0</v>
      </c>
      <c r="AE140" t="b">
        <v>0</v>
      </c>
      <c r="AG140" t="b">
        <v>0</v>
      </c>
      <c r="AI140" t="b">
        <v>0</v>
      </c>
      <c r="AK140" t="s">
        <v>202</v>
      </c>
      <c r="AL140" t="s">
        <v>66</v>
      </c>
      <c r="AM140" s="3">
        <v>46278</v>
      </c>
      <c r="AN140" s="4">
        <v>0.64035879629629633</v>
      </c>
      <c r="AO140" t="s">
        <v>1699</v>
      </c>
      <c r="AP140" t="s">
        <v>1700</v>
      </c>
      <c r="AQ140" t="s">
        <v>69</v>
      </c>
      <c r="AR140">
        <v>95.4</v>
      </c>
      <c r="AS140" t="s">
        <v>70</v>
      </c>
      <c r="AT140" t="s">
        <v>102</v>
      </c>
      <c r="AV140" t="s">
        <v>73</v>
      </c>
      <c r="AW140" t="str">
        <f t="shared" si="4"/>
        <v>Economía</v>
      </c>
      <c r="AX140" t="str">
        <f t="shared" si="5"/>
        <v>313 2658972</v>
      </c>
      <c r="AY140" t="str">
        <f>IFERROR(INDEX(Vacantes!$C:$C,MATCH(AT140,Vacantes!$A:$A,0)),"")</f>
        <v>127</v>
      </c>
      <c r="AZ140" t="str">
        <f>IFERROR(INDEX(Vacantes!$D:$D,MATCH(AT140,Vacantes!$A:$A,0)),"")</f>
        <v>13 de octubre de 2026</v>
      </c>
      <c r="BA140" t="str">
        <f>IFERROR(INDEX(Vacantes!$E:$E,MATCH(AT140,Vacantes!$A:$A,0)),"")</f>
        <v>7:30 a.m. a 11:30 a.m.</v>
      </c>
    </row>
    <row r="141" spans="1:53" x14ac:dyDescent="0.15">
      <c r="A141" t="s">
        <v>1701</v>
      </c>
      <c r="B141" t="s">
        <v>1702</v>
      </c>
      <c r="C141" t="s">
        <v>55</v>
      </c>
      <c r="D141">
        <v>1014859846</v>
      </c>
      <c r="E141" t="s">
        <v>56</v>
      </c>
      <c r="F141">
        <v>20</v>
      </c>
      <c r="G141" t="b">
        <v>1</v>
      </c>
      <c r="H141" t="s">
        <v>88</v>
      </c>
      <c r="I141" t="s">
        <v>57</v>
      </c>
      <c r="J141" t="s">
        <v>106</v>
      </c>
      <c r="L141" t="s">
        <v>143</v>
      </c>
      <c r="N141" t="b">
        <v>0</v>
      </c>
      <c r="O141" t="b">
        <v>0</v>
      </c>
      <c r="P141" t="s">
        <v>61</v>
      </c>
      <c r="Q141" t="s">
        <v>61</v>
      </c>
      <c r="R141" t="s">
        <v>81</v>
      </c>
      <c r="W141" t="s">
        <v>125</v>
      </c>
      <c r="X141" t="s">
        <v>306</v>
      </c>
      <c r="AB141" t="b">
        <v>0</v>
      </c>
      <c r="AC141" t="b">
        <v>0</v>
      </c>
      <c r="AE141" t="b">
        <v>0</v>
      </c>
      <c r="AG141" t="b">
        <v>0</v>
      </c>
      <c r="AI141" t="b">
        <v>0</v>
      </c>
      <c r="AK141" t="s">
        <v>65</v>
      </c>
      <c r="AL141" t="s">
        <v>66</v>
      </c>
      <c r="AM141" s="3">
        <v>46260</v>
      </c>
      <c r="AN141" s="4">
        <v>0.74033564814814812</v>
      </c>
      <c r="AO141" t="s">
        <v>1703</v>
      </c>
      <c r="AP141" t="s">
        <v>1704</v>
      </c>
      <c r="AQ141" t="s">
        <v>69</v>
      </c>
      <c r="AR141">
        <v>92.5</v>
      </c>
      <c r="AS141" t="s">
        <v>70</v>
      </c>
      <c r="AT141" t="s">
        <v>102</v>
      </c>
      <c r="AV141" t="s">
        <v>73</v>
      </c>
      <c r="AW141" t="str">
        <f t="shared" si="4"/>
        <v>Ingeniería Industrial</v>
      </c>
      <c r="AX141" t="str">
        <f t="shared" si="5"/>
        <v>317 5558997</v>
      </c>
      <c r="AY141" t="str">
        <f>IFERROR(INDEX(Vacantes!$C:$C,MATCH(AT141,Vacantes!$A:$A,0)),"")</f>
        <v>127</v>
      </c>
      <c r="AZ141" t="str">
        <f>IFERROR(INDEX(Vacantes!$D:$D,MATCH(AT141,Vacantes!$A:$A,0)),"")</f>
        <v>13 de octubre de 2026</v>
      </c>
      <c r="BA141" t="str">
        <f>IFERROR(INDEX(Vacantes!$E:$E,MATCH(AT141,Vacantes!$A:$A,0)),"")</f>
        <v>7:30 a.m. a 11:30 a.m.</v>
      </c>
    </row>
    <row r="142" spans="1:53" x14ac:dyDescent="0.15">
      <c r="A142" t="s">
        <v>1705</v>
      </c>
      <c r="B142" t="s">
        <v>1706</v>
      </c>
      <c r="C142" t="s">
        <v>55</v>
      </c>
      <c r="D142">
        <v>1122509597</v>
      </c>
      <c r="E142" t="s">
        <v>76</v>
      </c>
      <c r="F142">
        <v>21</v>
      </c>
      <c r="G142" t="b">
        <v>1</v>
      </c>
      <c r="H142" t="s">
        <v>57</v>
      </c>
      <c r="I142" t="s">
        <v>57</v>
      </c>
      <c r="J142" t="s">
        <v>106</v>
      </c>
      <c r="L142" t="s">
        <v>107</v>
      </c>
      <c r="N142" t="b">
        <v>0</v>
      </c>
      <c r="O142" t="b">
        <v>0</v>
      </c>
      <c r="P142" t="s">
        <v>61</v>
      </c>
      <c r="Q142" t="s">
        <v>61</v>
      </c>
      <c r="R142" t="s">
        <v>108</v>
      </c>
      <c r="W142" t="s">
        <v>109</v>
      </c>
      <c r="AA142" t="s">
        <v>176</v>
      </c>
      <c r="AB142" t="b">
        <v>0</v>
      </c>
      <c r="AC142" t="b">
        <v>0</v>
      </c>
      <c r="AE142" t="b">
        <v>0</v>
      </c>
      <c r="AG142" t="b">
        <v>0</v>
      </c>
      <c r="AI142" t="b">
        <v>0</v>
      </c>
      <c r="AK142" t="s">
        <v>94</v>
      </c>
      <c r="AL142" t="s">
        <v>66</v>
      </c>
      <c r="AM142" s="3">
        <v>46277</v>
      </c>
      <c r="AN142" s="4">
        <v>0.604375</v>
      </c>
      <c r="AO142" t="s">
        <v>1707</v>
      </c>
      <c r="AP142" t="s">
        <v>1708</v>
      </c>
      <c r="AQ142" t="s">
        <v>69</v>
      </c>
      <c r="AR142">
        <v>95.2</v>
      </c>
      <c r="AS142" t="s">
        <v>70</v>
      </c>
      <c r="AT142" t="s">
        <v>113</v>
      </c>
      <c r="AV142" t="s">
        <v>73</v>
      </c>
      <c r="AW142" t="str">
        <f t="shared" si="4"/>
        <v>Administración de Empresas</v>
      </c>
      <c r="AX142" t="str">
        <f t="shared" si="5"/>
        <v>315 4058269</v>
      </c>
      <c r="AY142" t="str">
        <f>IFERROR(INDEX(Vacantes!$C:$C,MATCH(AT142,Vacantes!$A:$A,0)),"")</f>
        <v>127</v>
      </c>
      <c r="AZ142" t="str">
        <f>IFERROR(INDEX(Vacantes!$D:$D,MATCH(AT142,Vacantes!$A:$A,0)),"")</f>
        <v>13 de octubre de 2026</v>
      </c>
      <c r="BA142" t="str">
        <f>IFERROR(INDEX(Vacantes!$E:$E,MATCH(AT142,Vacantes!$A:$A,0)),"")</f>
        <v>1:30 p.m. a 5:30 p.m.</v>
      </c>
    </row>
    <row r="143" spans="1:53" x14ac:dyDescent="0.15">
      <c r="A143" t="s">
        <v>1709</v>
      </c>
      <c r="B143" t="s">
        <v>1710</v>
      </c>
      <c r="C143" t="s">
        <v>55</v>
      </c>
      <c r="D143">
        <v>1011084990</v>
      </c>
      <c r="E143" t="s">
        <v>76</v>
      </c>
      <c r="F143">
        <v>21</v>
      </c>
      <c r="G143" t="b">
        <v>1</v>
      </c>
      <c r="I143" t="s">
        <v>57</v>
      </c>
      <c r="J143" t="s">
        <v>533</v>
      </c>
      <c r="L143" t="s">
        <v>117</v>
      </c>
      <c r="N143" t="b">
        <v>0</v>
      </c>
      <c r="O143" t="b">
        <v>0</v>
      </c>
      <c r="P143" t="s">
        <v>60</v>
      </c>
      <c r="Q143" t="s">
        <v>144</v>
      </c>
      <c r="R143" t="s">
        <v>108</v>
      </c>
      <c r="W143" t="s">
        <v>113</v>
      </c>
      <c r="AB143" t="b">
        <v>0</v>
      </c>
      <c r="AC143" t="b">
        <v>0</v>
      </c>
      <c r="AE143" t="b">
        <v>0</v>
      </c>
      <c r="AG143" t="b">
        <v>0</v>
      </c>
      <c r="AI143" t="b">
        <v>0</v>
      </c>
      <c r="AK143" t="s">
        <v>65</v>
      </c>
      <c r="AL143" t="s">
        <v>66</v>
      </c>
      <c r="AM143" s="3">
        <v>46256</v>
      </c>
      <c r="AN143" s="4">
        <v>0.65561342592592597</v>
      </c>
      <c r="AO143" t="s">
        <v>1711</v>
      </c>
      <c r="AP143" t="s">
        <v>1712</v>
      </c>
      <c r="AQ143" t="s">
        <v>69</v>
      </c>
      <c r="AR143">
        <v>83.8</v>
      </c>
      <c r="AS143" t="s">
        <v>70</v>
      </c>
      <c r="AT143" t="s">
        <v>113</v>
      </c>
      <c r="AU143" t="s">
        <v>221</v>
      </c>
      <c r="AV143" t="s">
        <v>73</v>
      </c>
      <c r="AW143" t="str">
        <f t="shared" si="4"/>
        <v>Marketing / Mercadeo</v>
      </c>
      <c r="AX143" t="str">
        <f t="shared" si="5"/>
        <v>320 3445667</v>
      </c>
      <c r="AY143" t="str">
        <f>IFERROR(INDEX(Vacantes!$C:$C,MATCH(AT143,Vacantes!$A:$A,0)),"")</f>
        <v>127</v>
      </c>
      <c r="AZ143" t="str">
        <f>IFERROR(INDEX(Vacantes!$D:$D,MATCH(AT143,Vacantes!$A:$A,0)),"")</f>
        <v>13 de octubre de 2026</v>
      </c>
      <c r="BA143" t="str">
        <f>IFERROR(INDEX(Vacantes!$E:$E,MATCH(AT143,Vacantes!$A:$A,0)),"")</f>
        <v>1:30 p.m. a 5:30 p.m.</v>
      </c>
    </row>
    <row r="144" spans="1:53" x14ac:dyDescent="0.15">
      <c r="A144" t="s">
        <v>1713</v>
      </c>
      <c r="B144" t="s">
        <v>1714</v>
      </c>
      <c r="C144" t="s">
        <v>55</v>
      </c>
      <c r="D144">
        <v>1000953336</v>
      </c>
      <c r="E144" t="s">
        <v>56</v>
      </c>
      <c r="F144">
        <v>24</v>
      </c>
      <c r="G144" t="b">
        <v>1</v>
      </c>
      <c r="H144" t="s">
        <v>88</v>
      </c>
      <c r="I144" t="s">
        <v>57</v>
      </c>
      <c r="J144" t="s">
        <v>78</v>
      </c>
      <c r="L144" t="s">
        <v>107</v>
      </c>
      <c r="N144" t="b">
        <v>0</v>
      </c>
      <c r="O144" t="b">
        <v>0</v>
      </c>
      <c r="P144" t="s">
        <v>61</v>
      </c>
      <c r="Q144" t="s">
        <v>61</v>
      </c>
      <c r="R144" t="s">
        <v>108</v>
      </c>
      <c r="W144" t="s">
        <v>113</v>
      </c>
      <c r="AB144" t="b">
        <v>0</v>
      </c>
      <c r="AC144" t="b">
        <v>0</v>
      </c>
      <c r="AE144" t="b">
        <v>0</v>
      </c>
      <c r="AG144" t="b">
        <v>0</v>
      </c>
      <c r="AI144" t="b">
        <v>0</v>
      </c>
      <c r="AK144" t="s">
        <v>248</v>
      </c>
      <c r="AL144" t="s">
        <v>66</v>
      </c>
      <c r="AM144" s="3">
        <v>46273</v>
      </c>
      <c r="AN144" s="4">
        <v>0.32438657407407412</v>
      </c>
      <c r="AO144" t="s">
        <v>1715</v>
      </c>
      <c r="AP144" t="s">
        <v>1716</v>
      </c>
      <c r="AQ144" t="s">
        <v>69</v>
      </c>
      <c r="AR144">
        <v>85.9</v>
      </c>
      <c r="AS144" t="s">
        <v>70</v>
      </c>
      <c r="AT144" t="s">
        <v>113</v>
      </c>
      <c r="AV144" t="s">
        <v>73</v>
      </c>
      <c r="AW144" t="str">
        <f t="shared" si="4"/>
        <v>Administración de Empresas</v>
      </c>
      <c r="AX144" t="str">
        <f t="shared" si="5"/>
        <v>350 3378727</v>
      </c>
      <c r="AY144" t="str">
        <f>IFERROR(INDEX(Vacantes!$C:$C,MATCH(AT144,Vacantes!$A:$A,0)),"")</f>
        <v>127</v>
      </c>
      <c r="AZ144" t="str">
        <f>IFERROR(INDEX(Vacantes!$D:$D,MATCH(AT144,Vacantes!$A:$A,0)),"")</f>
        <v>13 de octubre de 2026</v>
      </c>
      <c r="BA144" t="str">
        <f>IFERROR(INDEX(Vacantes!$E:$E,MATCH(AT144,Vacantes!$A:$A,0)),"")</f>
        <v>1:30 p.m. a 5:30 p.m.</v>
      </c>
    </row>
    <row r="145" spans="1:53" x14ac:dyDescent="0.15">
      <c r="A145" t="s">
        <v>1717</v>
      </c>
      <c r="B145" t="s">
        <v>1718</v>
      </c>
      <c r="C145" t="s">
        <v>55</v>
      </c>
      <c r="D145">
        <v>1000007207</v>
      </c>
      <c r="E145" t="s">
        <v>56</v>
      </c>
      <c r="F145">
        <v>22</v>
      </c>
      <c r="G145" t="b">
        <v>1</v>
      </c>
      <c r="H145" t="s">
        <v>131</v>
      </c>
      <c r="I145" t="s">
        <v>57</v>
      </c>
      <c r="J145" t="s">
        <v>533</v>
      </c>
      <c r="L145" t="s">
        <v>117</v>
      </c>
      <c r="N145" t="b">
        <v>0</v>
      </c>
      <c r="O145" t="b">
        <v>0</v>
      </c>
      <c r="P145" t="s">
        <v>61</v>
      </c>
      <c r="Q145" t="s">
        <v>60</v>
      </c>
      <c r="R145" t="s">
        <v>108</v>
      </c>
      <c r="W145" t="s">
        <v>113</v>
      </c>
      <c r="AB145" t="b">
        <v>0</v>
      </c>
      <c r="AC145" t="b">
        <v>0</v>
      </c>
      <c r="AE145" t="b">
        <v>0</v>
      </c>
      <c r="AG145" t="b">
        <v>0</v>
      </c>
      <c r="AI145" t="b">
        <v>0</v>
      </c>
      <c r="AK145" t="s">
        <v>94</v>
      </c>
      <c r="AL145" t="s">
        <v>66</v>
      </c>
      <c r="AM145" s="3">
        <v>46277</v>
      </c>
      <c r="AN145" s="4">
        <v>0.73160879629629627</v>
      </c>
      <c r="AO145" t="s">
        <v>1719</v>
      </c>
      <c r="AP145" t="s">
        <v>1720</v>
      </c>
      <c r="AQ145" t="s">
        <v>69</v>
      </c>
      <c r="AR145">
        <v>78.2</v>
      </c>
      <c r="AS145" t="s">
        <v>70</v>
      </c>
      <c r="AT145" t="s">
        <v>113</v>
      </c>
      <c r="AU145" t="s">
        <v>221</v>
      </c>
      <c r="AV145" t="s">
        <v>73</v>
      </c>
      <c r="AW145" t="str">
        <f t="shared" si="4"/>
        <v>Marketing / Mercadeo</v>
      </c>
      <c r="AX145" t="str">
        <f t="shared" si="5"/>
        <v>311 6685541</v>
      </c>
      <c r="AY145" t="str">
        <f>IFERROR(INDEX(Vacantes!$C:$C,MATCH(AT145,Vacantes!$A:$A,0)),"")</f>
        <v>127</v>
      </c>
      <c r="AZ145" t="str">
        <f>IFERROR(INDEX(Vacantes!$D:$D,MATCH(AT145,Vacantes!$A:$A,0)),"")</f>
        <v>13 de octubre de 2026</v>
      </c>
      <c r="BA145" t="str">
        <f>IFERROR(INDEX(Vacantes!$E:$E,MATCH(AT145,Vacantes!$A:$A,0)),"")</f>
        <v>1:30 p.m. a 5:30 p.m.</v>
      </c>
    </row>
    <row r="146" spans="1:53" x14ac:dyDescent="0.15">
      <c r="A146" t="s">
        <v>1861</v>
      </c>
      <c r="B146" t="s">
        <v>1862</v>
      </c>
      <c r="C146" t="s">
        <v>55</v>
      </c>
      <c r="D146">
        <v>1027281762</v>
      </c>
      <c r="E146" t="s">
        <v>76</v>
      </c>
      <c r="F146">
        <v>20</v>
      </c>
      <c r="G146" t="b">
        <v>1</v>
      </c>
      <c r="H146" t="s">
        <v>88</v>
      </c>
      <c r="I146" t="s">
        <v>57</v>
      </c>
      <c r="J146" t="s">
        <v>1863</v>
      </c>
      <c r="L146" t="s">
        <v>143</v>
      </c>
      <c r="N146" t="b">
        <v>1</v>
      </c>
      <c r="O146" t="b">
        <v>0</v>
      </c>
      <c r="P146" t="s">
        <v>60</v>
      </c>
      <c r="Q146" t="s">
        <v>60</v>
      </c>
      <c r="R146" t="s">
        <v>64</v>
      </c>
      <c r="W146" t="s">
        <v>135</v>
      </c>
      <c r="Z146" t="s">
        <v>63</v>
      </c>
      <c r="AB146" t="b">
        <v>0</v>
      </c>
      <c r="AC146" t="b">
        <v>0</v>
      </c>
      <c r="AE146" t="b">
        <v>0</v>
      </c>
      <c r="AG146" t="b">
        <v>0</v>
      </c>
      <c r="AI146" t="b">
        <v>0</v>
      </c>
      <c r="AK146" t="s">
        <v>153</v>
      </c>
      <c r="AL146" t="s">
        <v>66</v>
      </c>
      <c r="AM146" s="3">
        <v>46274</v>
      </c>
      <c r="AN146" s="4">
        <v>0.31744212962962959</v>
      </c>
      <c r="AO146" t="s">
        <v>1864</v>
      </c>
      <c r="AP146" t="s">
        <v>1865</v>
      </c>
      <c r="AQ146" t="s">
        <v>69</v>
      </c>
      <c r="AR146">
        <v>98.2</v>
      </c>
      <c r="AS146" t="s">
        <v>85</v>
      </c>
      <c r="AT146" t="s">
        <v>137</v>
      </c>
      <c r="AU146" t="s">
        <v>221</v>
      </c>
      <c r="AV146" t="s">
        <v>73</v>
      </c>
      <c r="AW146" t="str">
        <f t="shared" si="4"/>
        <v>Ingeniería Industrial</v>
      </c>
      <c r="AX146" t="str">
        <f t="shared" si="5"/>
        <v>311 8825484</v>
      </c>
      <c r="AY146" t="str">
        <f>IFERROR(INDEX(Vacantes!$C:$C,MATCH(AT146,Vacantes!$A:$A,0)),"")</f>
        <v>127</v>
      </c>
      <c r="AZ146" t="str">
        <f>IFERROR(INDEX(Vacantes!$D:$D,MATCH(AT146,Vacantes!$A:$A,0)),"")</f>
        <v>13 de octubre de 2026</v>
      </c>
      <c r="BA146" t="str">
        <f>IFERROR(INDEX(Vacantes!$E:$E,MATCH(AT146,Vacantes!$A:$A,0)),"")</f>
        <v>7:30 a.m. a 11:30 a.m.</v>
      </c>
    </row>
    <row r="147" spans="1:53" x14ac:dyDescent="0.15">
      <c r="A147" t="s">
        <v>1866</v>
      </c>
      <c r="B147" t="s">
        <v>1867</v>
      </c>
      <c r="C147" t="s">
        <v>55</v>
      </c>
      <c r="D147">
        <v>1000366435</v>
      </c>
      <c r="E147" t="s">
        <v>56</v>
      </c>
      <c r="F147">
        <v>22</v>
      </c>
      <c r="G147" t="b">
        <v>1</v>
      </c>
      <c r="H147" t="s">
        <v>1868</v>
      </c>
      <c r="I147" t="s">
        <v>57</v>
      </c>
      <c r="J147" t="s">
        <v>495</v>
      </c>
      <c r="L147" t="s">
        <v>134</v>
      </c>
      <c r="N147" t="b">
        <v>1</v>
      </c>
      <c r="O147" t="b">
        <v>0</v>
      </c>
      <c r="P147" t="s">
        <v>61</v>
      </c>
      <c r="Q147" t="s">
        <v>61</v>
      </c>
      <c r="R147" t="s">
        <v>135</v>
      </c>
      <c r="W147" t="s">
        <v>89</v>
      </c>
      <c r="AB147" t="b">
        <v>0</v>
      </c>
      <c r="AC147" t="b">
        <v>0</v>
      </c>
      <c r="AE147" t="b">
        <v>0</v>
      </c>
      <c r="AG147" t="b">
        <v>0</v>
      </c>
      <c r="AI147" t="b">
        <v>0</v>
      </c>
      <c r="AK147" t="s">
        <v>202</v>
      </c>
      <c r="AL147" t="s">
        <v>66</v>
      </c>
      <c r="AM147" s="3">
        <v>46275</v>
      </c>
      <c r="AN147" s="4">
        <v>0.43571759259259257</v>
      </c>
      <c r="AO147" t="s">
        <v>1869</v>
      </c>
      <c r="AP147" t="s">
        <v>1870</v>
      </c>
      <c r="AQ147" t="s">
        <v>69</v>
      </c>
      <c r="AR147">
        <v>92.5</v>
      </c>
      <c r="AS147" t="s">
        <v>70</v>
      </c>
      <c r="AT147" t="s">
        <v>137</v>
      </c>
      <c r="AV147" t="s">
        <v>73</v>
      </c>
      <c r="AW147" t="str">
        <f t="shared" si="4"/>
        <v>Negocios Internacionales</v>
      </c>
      <c r="AX147" t="str">
        <f t="shared" si="5"/>
        <v>322 4541839</v>
      </c>
      <c r="AY147" t="str">
        <f>IFERROR(INDEX(Vacantes!$C:$C,MATCH(AT147,Vacantes!$A:$A,0)),"")</f>
        <v>127</v>
      </c>
      <c r="AZ147" t="str">
        <f>IFERROR(INDEX(Vacantes!$D:$D,MATCH(AT147,Vacantes!$A:$A,0)),"")</f>
        <v>13 de octubre de 2026</v>
      </c>
      <c r="BA147" t="str">
        <f>IFERROR(INDEX(Vacantes!$E:$E,MATCH(AT147,Vacantes!$A:$A,0)),"")</f>
        <v>7:30 a.m. a 11:30 a.m.</v>
      </c>
    </row>
    <row r="148" spans="1:53" x14ac:dyDescent="0.15">
      <c r="A148" t="s">
        <v>1871</v>
      </c>
      <c r="B148" t="s">
        <v>1872</v>
      </c>
      <c r="C148" t="s">
        <v>55</v>
      </c>
      <c r="D148">
        <v>1023302706</v>
      </c>
      <c r="E148" t="s">
        <v>76</v>
      </c>
      <c r="F148">
        <v>21</v>
      </c>
      <c r="G148" t="b">
        <v>1</v>
      </c>
      <c r="I148" t="s">
        <v>57</v>
      </c>
      <c r="J148" t="s">
        <v>106</v>
      </c>
      <c r="L148" t="s">
        <v>134</v>
      </c>
      <c r="N148" t="b">
        <v>0</v>
      </c>
      <c r="O148" t="b">
        <v>0</v>
      </c>
      <c r="P148" t="s">
        <v>61</v>
      </c>
      <c r="Q148" t="s">
        <v>61</v>
      </c>
      <c r="R148" t="s">
        <v>135</v>
      </c>
      <c r="W148" t="s">
        <v>89</v>
      </c>
      <c r="AB148" t="b">
        <v>0</v>
      </c>
      <c r="AC148" t="b">
        <v>0</v>
      </c>
      <c r="AE148" t="b">
        <v>0</v>
      </c>
      <c r="AG148" t="b">
        <v>0</v>
      </c>
      <c r="AI148" t="b">
        <v>0</v>
      </c>
      <c r="AK148" t="s">
        <v>65</v>
      </c>
      <c r="AL148" t="s">
        <v>66</v>
      </c>
      <c r="AM148" s="3">
        <v>46275</v>
      </c>
      <c r="AN148" s="4">
        <v>0.3089351851851852</v>
      </c>
      <c r="AO148" t="s">
        <v>1873</v>
      </c>
      <c r="AP148" t="s">
        <v>1874</v>
      </c>
      <c r="AQ148" t="s">
        <v>69</v>
      </c>
      <c r="AR148">
        <v>89.4</v>
      </c>
      <c r="AS148" t="s">
        <v>70</v>
      </c>
      <c r="AT148" t="s">
        <v>137</v>
      </c>
      <c r="AU148" t="s">
        <v>221</v>
      </c>
      <c r="AV148" t="s">
        <v>73</v>
      </c>
      <c r="AW148" t="str">
        <f t="shared" si="4"/>
        <v>Negocios Internacionales</v>
      </c>
      <c r="AX148" t="str">
        <f t="shared" si="5"/>
        <v>311 5366519</v>
      </c>
      <c r="AY148" t="str">
        <f>IFERROR(INDEX(Vacantes!$C:$C,MATCH(AT148,Vacantes!$A:$A,0)),"")</f>
        <v>127</v>
      </c>
      <c r="AZ148" t="str">
        <f>IFERROR(INDEX(Vacantes!$D:$D,MATCH(AT148,Vacantes!$A:$A,0)),"")</f>
        <v>13 de octubre de 2026</v>
      </c>
      <c r="BA148" t="str">
        <f>IFERROR(INDEX(Vacantes!$E:$E,MATCH(AT148,Vacantes!$A:$A,0)),"")</f>
        <v>7:30 a.m. a 11:30 a.m.</v>
      </c>
    </row>
    <row r="149" spans="1:53" x14ac:dyDescent="0.15">
      <c r="A149" t="s">
        <v>1908</v>
      </c>
      <c r="B149" t="s">
        <v>1909</v>
      </c>
      <c r="C149" t="s">
        <v>55</v>
      </c>
      <c r="D149">
        <v>1021632752</v>
      </c>
      <c r="E149" t="s">
        <v>76</v>
      </c>
      <c r="F149">
        <v>22</v>
      </c>
      <c r="G149" t="b">
        <v>1</v>
      </c>
      <c r="H149" t="s">
        <v>88</v>
      </c>
      <c r="I149" t="s">
        <v>57</v>
      </c>
      <c r="J149" t="s">
        <v>78</v>
      </c>
      <c r="L149" t="s">
        <v>277</v>
      </c>
      <c r="N149" t="b">
        <v>0</v>
      </c>
      <c r="O149" t="b">
        <v>0</v>
      </c>
      <c r="P149" t="s">
        <v>60</v>
      </c>
      <c r="Q149" t="s">
        <v>144</v>
      </c>
      <c r="R149" t="s">
        <v>64</v>
      </c>
      <c r="U149" t="s">
        <v>151</v>
      </c>
      <c r="W149" t="s">
        <v>64</v>
      </c>
      <c r="Z149" t="s">
        <v>152</v>
      </c>
      <c r="AB149" t="b">
        <v>0</v>
      </c>
      <c r="AC149" t="b">
        <v>0</v>
      </c>
      <c r="AE149" t="b">
        <v>0</v>
      </c>
      <c r="AG149" t="b">
        <v>0</v>
      </c>
      <c r="AI149" t="b">
        <v>0</v>
      </c>
      <c r="AK149" t="s">
        <v>94</v>
      </c>
      <c r="AL149" t="s">
        <v>66</v>
      </c>
      <c r="AM149" s="3">
        <v>46278</v>
      </c>
      <c r="AN149" s="4">
        <v>0.51553240740740736</v>
      </c>
      <c r="AO149" t="s">
        <v>1910</v>
      </c>
      <c r="AP149" t="s">
        <v>1911</v>
      </c>
      <c r="AQ149" t="s">
        <v>69</v>
      </c>
      <c r="AR149">
        <v>71.5</v>
      </c>
      <c r="AS149" t="s">
        <v>70</v>
      </c>
      <c r="AT149" t="s">
        <v>939</v>
      </c>
      <c r="AU149" t="s">
        <v>221</v>
      </c>
      <c r="AV149" t="s">
        <v>73</v>
      </c>
      <c r="AW149" t="str">
        <f t="shared" si="4"/>
        <v>Psicología</v>
      </c>
      <c r="AX149" t="str">
        <f t="shared" si="5"/>
        <v>320 8538594</v>
      </c>
      <c r="AY149" t="str">
        <f>IFERROR(INDEX(Vacantes!$C:$C,MATCH(AT149,Vacantes!$A:$A,0)),"")</f>
        <v>127</v>
      </c>
      <c r="AZ149" t="str">
        <f>IFERROR(INDEX(Vacantes!$D:$D,MATCH(AT149,Vacantes!$A:$A,0)),"")</f>
        <v>13 de octubre de 2026</v>
      </c>
      <c r="BA149" t="str">
        <f>IFERROR(INDEX(Vacantes!$E:$E,MATCH(AT149,Vacantes!$A:$A,0)),"")</f>
        <v>7:30 a.m. a 11:30 a.m.</v>
      </c>
    </row>
    <row r="150" spans="1:53" x14ac:dyDescent="0.15">
      <c r="A150" t="s">
        <v>1912</v>
      </c>
      <c r="B150" t="s">
        <v>1913</v>
      </c>
      <c r="C150" t="s">
        <v>55</v>
      </c>
      <c r="D150">
        <v>1033097520</v>
      </c>
      <c r="E150" t="s">
        <v>76</v>
      </c>
      <c r="F150">
        <v>21</v>
      </c>
      <c r="G150" t="b">
        <v>1</v>
      </c>
      <c r="H150" t="s">
        <v>1914</v>
      </c>
      <c r="I150" t="s">
        <v>57</v>
      </c>
      <c r="J150" t="s">
        <v>106</v>
      </c>
      <c r="L150" t="s">
        <v>277</v>
      </c>
      <c r="N150" t="b">
        <v>0</v>
      </c>
      <c r="O150" t="b">
        <v>0</v>
      </c>
      <c r="P150" t="s">
        <v>61</v>
      </c>
      <c r="Q150" t="s">
        <v>144</v>
      </c>
      <c r="R150" t="s">
        <v>64</v>
      </c>
      <c r="W150" t="s">
        <v>89</v>
      </c>
      <c r="Z150" t="s">
        <v>151</v>
      </c>
      <c r="AB150" t="b">
        <v>0</v>
      </c>
      <c r="AC150" t="b">
        <v>0</v>
      </c>
      <c r="AE150" t="b">
        <v>0</v>
      </c>
      <c r="AG150" t="b">
        <v>0</v>
      </c>
      <c r="AI150" t="b">
        <v>0</v>
      </c>
      <c r="AK150" t="s">
        <v>94</v>
      </c>
      <c r="AL150" t="s">
        <v>66</v>
      </c>
      <c r="AM150" s="3">
        <v>46274</v>
      </c>
      <c r="AN150" s="4">
        <v>0.76173611111111106</v>
      </c>
      <c r="AO150" t="s">
        <v>1915</v>
      </c>
      <c r="AP150" t="s">
        <v>1916</v>
      </c>
      <c r="AQ150" t="s">
        <v>69</v>
      </c>
      <c r="AR150">
        <v>93.7</v>
      </c>
      <c r="AS150" t="s">
        <v>70</v>
      </c>
      <c r="AT150" t="s">
        <v>156</v>
      </c>
      <c r="AU150" t="s">
        <v>221</v>
      </c>
      <c r="AV150" t="s">
        <v>73</v>
      </c>
      <c r="AW150" t="str">
        <f t="shared" si="4"/>
        <v>Psicología</v>
      </c>
      <c r="AX150" t="str">
        <f t="shared" si="5"/>
        <v>301 5379266</v>
      </c>
      <c r="AY150" t="str">
        <f>IFERROR(INDEX(Vacantes!$C:$C,MATCH(AT150,Vacantes!$A:$A,0)),"")</f>
        <v>127</v>
      </c>
      <c r="AZ150" t="str">
        <f>IFERROR(INDEX(Vacantes!$D:$D,MATCH(AT150,Vacantes!$A:$A,0)),"")</f>
        <v>13 de octubre de 2026</v>
      </c>
      <c r="BA150" t="str">
        <f>IFERROR(INDEX(Vacantes!$E:$E,MATCH(AT150,Vacantes!$A:$A,0)),"")</f>
        <v>1:30 p.m. a 5:30 p.m.</v>
      </c>
    </row>
    <row r="151" spans="1:53" x14ac:dyDescent="0.15">
      <c r="A151" t="s">
        <v>2045</v>
      </c>
      <c r="B151" t="s">
        <v>2046</v>
      </c>
      <c r="C151" t="s">
        <v>55</v>
      </c>
      <c r="D151">
        <v>1025461611</v>
      </c>
      <c r="E151" t="s">
        <v>76</v>
      </c>
      <c r="F151">
        <v>20</v>
      </c>
      <c r="G151" t="b">
        <v>1</v>
      </c>
      <c r="H151" t="s">
        <v>57</v>
      </c>
      <c r="I151" t="s">
        <v>57</v>
      </c>
      <c r="J151" t="s">
        <v>106</v>
      </c>
      <c r="L151" t="s">
        <v>521</v>
      </c>
      <c r="N151" t="b">
        <v>0</v>
      </c>
      <c r="O151" t="b">
        <v>0</v>
      </c>
      <c r="P151" t="s">
        <v>61</v>
      </c>
      <c r="Q151" t="s">
        <v>60</v>
      </c>
      <c r="R151" t="s">
        <v>244</v>
      </c>
      <c r="W151" t="s">
        <v>113</v>
      </c>
      <c r="AB151" t="b">
        <v>0</v>
      </c>
      <c r="AC151" t="b">
        <v>0</v>
      </c>
      <c r="AE151" t="b">
        <v>0</v>
      </c>
      <c r="AG151" t="b">
        <v>0</v>
      </c>
      <c r="AI151" t="b">
        <v>0</v>
      </c>
      <c r="AK151" t="s">
        <v>94</v>
      </c>
      <c r="AL151" t="s">
        <v>66</v>
      </c>
      <c r="AM151" s="3">
        <v>46261</v>
      </c>
      <c r="AN151" s="4">
        <v>0.55489583333333337</v>
      </c>
      <c r="AO151" t="s">
        <v>2047</v>
      </c>
      <c r="AP151" t="s">
        <v>2048</v>
      </c>
      <c r="AQ151" t="s">
        <v>69</v>
      </c>
      <c r="AR151">
        <v>88.1</v>
      </c>
      <c r="AS151" t="s">
        <v>70</v>
      </c>
      <c r="AT151" t="s">
        <v>1131</v>
      </c>
      <c r="AU151" t="s">
        <v>221</v>
      </c>
      <c r="AV151" t="s">
        <v>73</v>
      </c>
      <c r="AW151" t="str">
        <f t="shared" si="4"/>
        <v>Comunicación social</v>
      </c>
      <c r="AX151" t="str">
        <f t="shared" si="5"/>
        <v>322 2332441</v>
      </c>
      <c r="AY151" t="str">
        <f>IFERROR(INDEX(Vacantes!$C:$C,MATCH(AT151,Vacantes!$A:$A,0)),"")</f>
        <v>Regional Centro</v>
      </c>
      <c r="AZ151" t="str">
        <f>IFERROR(INDEX(Vacantes!$D:$D,MATCH(AT151,Vacantes!$A:$A,0)),"")</f>
        <v>13 de octubre de 2026</v>
      </c>
      <c r="BA151" t="str">
        <f>IFERROR(INDEX(Vacantes!$E:$E,MATCH(AT151,Vacantes!$A:$A,0)),"")</f>
        <v>12:30 p.m. a 4:00 p.m.</v>
      </c>
    </row>
    <row r="152" spans="1:53" x14ac:dyDescent="0.15">
      <c r="A152" t="s">
        <v>2049</v>
      </c>
      <c r="B152" t="s">
        <v>2050</v>
      </c>
      <c r="C152" t="s">
        <v>55</v>
      </c>
      <c r="D152">
        <v>1000035463</v>
      </c>
      <c r="E152" t="s">
        <v>76</v>
      </c>
      <c r="F152">
        <v>23</v>
      </c>
      <c r="G152" t="b">
        <v>1</v>
      </c>
      <c r="H152" t="s">
        <v>131</v>
      </c>
      <c r="I152" t="s">
        <v>57</v>
      </c>
      <c r="J152" t="s">
        <v>187</v>
      </c>
      <c r="L152" t="s">
        <v>107</v>
      </c>
      <c r="N152" t="b">
        <v>0</v>
      </c>
      <c r="O152" t="b">
        <v>0</v>
      </c>
      <c r="P152" t="s">
        <v>61</v>
      </c>
      <c r="Q152" t="s">
        <v>60</v>
      </c>
      <c r="R152" t="s">
        <v>108</v>
      </c>
      <c r="W152" t="s">
        <v>113</v>
      </c>
      <c r="AB152" t="b">
        <v>0</v>
      </c>
      <c r="AC152" t="b">
        <v>0</v>
      </c>
      <c r="AE152" t="b">
        <v>0</v>
      </c>
      <c r="AG152" t="b">
        <v>0</v>
      </c>
      <c r="AI152" t="b">
        <v>0</v>
      </c>
      <c r="AK152" t="s">
        <v>248</v>
      </c>
      <c r="AL152" t="s">
        <v>66</v>
      </c>
      <c r="AM152" s="3">
        <v>46260</v>
      </c>
      <c r="AN152" s="4">
        <v>0.67576388888888894</v>
      </c>
      <c r="AO152" t="s">
        <v>2051</v>
      </c>
      <c r="AP152" t="s">
        <v>2052</v>
      </c>
      <c r="AQ152" t="s">
        <v>69</v>
      </c>
      <c r="AR152">
        <v>83</v>
      </c>
      <c r="AS152" t="s">
        <v>70</v>
      </c>
      <c r="AT152" t="s">
        <v>1131</v>
      </c>
      <c r="AU152" t="s">
        <v>221</v>
      </c>
      <c r="AV152" t="s">
        <v>73</v>
      </c>
      <c r="AW152" t="str">
        <f t="shared" si="4"/>
        <v>Administración de Empresas</v>
      </c>
      <c r="AX152" t="str">
        <f t="shared" si="5"/>
        <v>318 4422562</v>
      </c>
      <c r="AY152" t="str">
        <f>IFERROR(INDEX(Vacantes!$C:$C,MATCH(AT152,Vacantes!$A:$A,0)),"")</f>
        <v>Regional Centro</v>
      </c>
      <c r="AZ152" t="str">
        <f>IFERROR(INDEX(Vacantes!$D:$D,MATCH(AT152,Vacantes!$A:$A,0)),"")</f>
        <v>13 de octubre de 2026</v>
      </c>
      <c r="BA152" t="str">
        <f>IFERROR(INDEX(Vacantes!$E:$E,MATCH(AT152,Vacantes!$A:$A,0)),"")</f>
        <v>12:30 p.m. a 4:00 p.m.</v>
      </c>
    </row>
    <row r="153" spans="1:53" x14ac:dyDescent="0.15">
      <c r="A153" t="s">
        <v>2053</v>
      </c>
      <c r="B153" t="s">
        <v>2054</v>
      </c>
      <c r="C153" t="s">
        <v>55</v>
      </c>
      <c r="D153">
        <v>1043442138</v>
      </c>
      <c r="E153" t="s">
        <v>76</v>
      </c>
      <c r="F153">
        <v>22</v>
      </c>
      <c r="G153" t="b">
        <v>1</v>
      </c>
      <c r="H153" t="s">
        <v>168</v>
      </c>
      <c r="I153" t="s">
        <v>57</v>
      </c>
      <c r="J153" t="s">
        <v>132</v>
      </c>
      <c r="K153" t="s">
        <v>2055</v>
      </c>
      <c r="L153" t="s">
        <v>107</v>
      </c>
      <c r="N153" t="b">
        <v>0</v>
      </c>
      <c r="O153" t="b">
        <v>0</v>
      </c>
      <c r="P153" t="s">
        <v>144</v>
      </c>
      <c r="Q153" t="s">
        <v>60</v>
      </c>
      <c r="R153" t="s">
        <v>64</v>
      </c>
      <c r="W153" t="s">
        <v>89</v>
      </c>
      <c r="Z153" t="s">
        <v>151</v>
      </c>
      <c r="AB153" t="b">
        <v>0</v>
      </c>
      <c r="AC153" t="b">
        <v>0</v>
      </c>
      <c r="AE153" t="b">
        <v>0</v>
      </c>
      <c r="AG153" t="b">
        <v>0</v>
      </c>
      <c r="AI153" t="b">
        <v>0</v>
      </c>
      <c r="AK153" t="s">
        <v>202</v>
      </c>
      <c r="AL153" t="s">
        <v>66</v>
      </c>
      <c r="AM153" s="3">
        <v>46265</v>
      </c>
      <c r="AN153" s="4">
        <v>0.92299768518518521</v>
      </c>
      <c r="AO153">
        <v>3122875795</v>
      </c>
      <c r="AP153" t="s">
        <v>2056</v>
      </c>
      <c r="AQ153" t="s">
        <v>69</v>
      </c>
      <c r="AR153">
        <v>87.8</v>
      </c>
      <c r="AS153" t="s">
        <v>70</v>
      </c>
      <c r="AT153" t="s">
        <v>1131</v>
      </c>
      <c r="AV153" t="s">
        <v>73</v>
      </c>
      <c r="AW153" t="str">
        <f t="shared" si="4"/>
        <v>Administración de Empresas</v>
      </c>
      <c r="AX153" t="str">
        <f t="shared" si="5"/>
        <v>3122875795</v>
      </c>
      <c r="AY153" t="str">
        <f>IFERROR(INDEX(Vacantes!$C:$C,MATCH(AT153,Vacantes!$A:$A,0)),"")</f>
        <v>Regional Centro</v>
      </c>
      <c r="AZ153" t="str">
        <f>IFERROR(INDEX(Vacantes!$D:$D,MATCH(AT153,Vacantes!$A:$A,0)),"")</f>
        <v>13 de octubre de 2026</v>
      </c>
      <c r="BA153" t="str">
        <f>IFERROR(INDEX(Vacantes!$E:$E,MATCH(AT153,Vacantes!$A:$A,0)),"")</f>
        <v>12:30 p.m. a 4:00 p.m.</v>
      </c>
    </row>
    <row r="154" spans="1:53" x14ac:dyDescent="0.15">
      <c r="A154" t="s">
        <v>2057</v>
      </c>
      <c r="B154" t="s">
        <v>2058</v>
      </c>
      <c r="C154" t="s">
        <v>55</v>
      </c>
      <c r="D154">
        <v>1005153458</v>
      </c>
      <c r="E154" t="s">
        <v>76</v>
      </c>
      <c r="F154">
        <v>23</v>
      </c>
      <c r="G154" t="b">
        <v>1</v>
      </c>
      <c r="H154" t="s">
        <v>213</v>
      </c>
      <c r="I154" t="s">
        <v>57</v>
      </c>
      <c r="J154" t="s">
        <v>201</v>
      </c>
      <c r="L154" t="s">
        <v>143</v>
      </c>
      <c r="N154" t="b">
        <v>0</v>
      </c>
      <c r="O154" t="b">
        <v>0</v>
      </c>
      <c r="P154" t="s">
        <v>60</v>
      </c>
      <c r="Q154" t="s">
        <v>60</v>
      </c>
      <c r="R154" t="s">
        <v>81</v>
      </c>
      <c r="W154" t="s">
        <v>109</v>
      </c>
      <c r="AA154" t="s">
        <v>283</v>
      </c>
      <c r="AB154" t="b">
        <v>0</v>
      </c>
      <c r="AC154" t="b">
        <v>0</v>
      </c>
      <c r="AE154" t="b">
        <v>0</v>
      </c>
      <c r="AG154" t="b">
        <v>0</v>
      </c>
      <c r="AI154" t="b">
        <v>0</v>
      </c>
      <c r="AK154" t="s">
        <v>202</v>
      </c>
      <c r="AL154" t="s">
        <v>66</v>
      </c>
      <c r="AM154" s="3">
        <v>46268</v>
      </c>
      <c r="AN154" s="4">
        <v>0.54873842592592592</v>
      </c>
      <c r="AO154">
        <v>3156389748</v>
      </c>
      <c r="AP154" t="s">
        <v>2059</v>
      </c>
      <c r="AQ154" t="s">
        <v>69</v>
      </c>
      <c r="AR154">
        <v>90</v>
      </c>
      <c r="AS154" t="s">
        <v>70</v>
      </c>
      <c r="AT154" t="s">
        <v>1131</v>
      </c>
      <c r="AU154" t="s">
        <v>221</v>
      </c>
      <c r="AV154" t="s">
        <v>73</v>
      </c>
      <c r="AW154" t="str">
        <f t="shared" si="4"/>
        <v>Ingeniería Industrial</v>
      </c>
      <c r="AX154" t="str">
        <f t="shared" si="5"/>
        <v>3156389748</v>
      </c>
      <c r="AY154" t="str">
        <f>IFERROR(INDEX(Vacantes!$C:$C,MATCH(AT154,Vacantes!$A:$A,0)),"")</f>
        <v>Regional Centro</v>
      </c>
      <c r="AZ154" t="str">
        <f>IFERROR(INDEX(Vacantes!$D:$D,MATCH(AT154,Vacantes!$A:$A,0)),"")</f>
        <v>13 de octubre de 2026</v>
      </c>
      <c r="BA154" t="str">
        <f>IFERROR(INDEX(Vacantes!$E:$E,MATCH(AT154,Vacantes!$A:$A,0)),"")</f>
        <v>12:30 p.m. a 4:00 p.m.</v>
      </c>
    </row>
    <row r="155" spans="1:53" x14ac:dyDescent="0.15">
      <c r="A155" t="s">
        <v>2060</v>
      </c>
      <c r="B155" t="s">
        <v>2061</v>
      </c>
      <c r="C155" t="s">
        <v>55</v>
      </c>
      <c r="D155">
        <v>1123802302</v>
      </c>
      <c r="E155" t="s">
        <v>76</v>
      </c>
      <c r="F155">
        <v>21</v>
      </c>
      <c r="G155" t="b">
        <v>1</v>
      </c>
      <c r="I155" t="s">
        <v>57</v>
      </c>
      <c r="J155" t="s">
        <v>100</v>
      </c>
      <c r="L155" t="s">
        <v>521</v>
      </c>
      <c r="N155" t="b">
        <v>0</v>
      </c>
      <c r="O155" t="b">
        <v>0</v>
      </c>
      <c r="P155" t="s">
        <v>60</v>
      </c>
      <c r="Q155" t="s">
        <v>60</v>
      </c>
      <c r="R155" t="s">
        <v>113</v>
      </c>
      <c r="W155" t="s">
        <v>108</v>
      </c>
      <c r="AB155" t="b">
        <v>0</v>
      </c>
      <c r="AC155" t="b">
        <v>0</v>
      </c>
      <c r="AE155" t="b">
        <v>0</v>
      </c>
      <c r="AG155" t="b">
        <v>0</v>
      </c>
      <c r="AI155" t="b">
        <v>0</v>
      </c>
      <c r="AK155" t="s">
        <v>94</v>
      </c>
      <c r="AL155" t="s">
        <v>66</v>
      </c>
      <c r="AM155" s="3">
        <v>46277</v>
      </c>
      <c r="AN155" s="4">
        <v>0.66120370370370374</v>
      </c>
      <c r="AO155">
        <v>3142677782</v>
      </c>
      <c r="AP155" t="s">
        <v>2062</v>
      </c>
      <c r="AQ155" t="s">
        <v>69</v>
      </c>
      <c r="AR155">
        <v>71.2</v>
      </c>
      <c r="AS155" t="s">
        <v>70</v>
      </c>
      <c r="AT155" t="s">
        <v>1131</v>
      </c>
      <c r="AU155" t="s">
        <v>221</v>
      </c>
      <c r="AV155" t="s">
        <v>73</v>
      </c>
      <c r="AW155" t="str">
        <f t="shared" si="4"/>
        <v>Comunicación social</v>
      </c>
      <c r="AX155" t="str">
        <f t="shared" si="5"/>
        <v>3142677782</v>
      </c>
      <c r="AY155" t="str">
        <f>IFERROR(INDEX(Vacantes!$C:$C,MATCH(AT155,Vacantes!$A:$A,0)),"")</f>
        <v>Regional Centro</v>
      </c>
      <c r="AZ155" t="str">
        <f>IFERROR(INDEX(Vacantes!$D:$D,MATCH(AT155,Vacantes!$A:$A,0)),"")</f>
        <v>13 de octubre de 2026</v>
      </c>
      <c r="BA155" t="str">
        <f>IFERROR(INDEX(Vacantes!$E:$E,MATCH(AT155,Vacantes!$A:$A,0)),"")</f>
        <v>12:30 p.m. a 4:00 p.m.</v>
      </c>
    </row>
    <row r="156" spans="1:53" x14ac:dyDescent="0.15">
      <c r="A156" t="s">
        <v>2146</v>
      </c>
      <c r="B156" t="s">
        <v>2147</v>
      </c>
      <c r="C156" t="s">
        <v>55</v>
      </c>
      <c r="D156">
        <v>1021392130</v>
      </c>
      <c r="E156" t="s">
        <v>56</v>
      </c>
      <c r="F156">
        <v>22</v>
      </c>
      <c r="G156" t="b">
        <v>1</v>
      </c>
      <c r="H156" t="s">
        <v>57</v>
      </c>
      <c r="I156" t="s">
        <v>57</v>
      </c>
      <c r="J156" t="s">
        <v>242</v>
      </c>
      <c r="L156" t="s">
        <v>228</v>
      </c>
      <c r="N156" t="b">
        <v>0</v>
      </c>
      <c r="O156" t="b">
        <v>0</v>
      </c>
      <c r="P156" t="s">
        <v>61</v>
      </c>
      <c r="Q156" t="s">
        <v>60</v>
      </c>
      <c r="R156" t="s">
        <v>80</v>
      </c>
      <c r="W156" t="s">
        <v>62</v>
      </c>
      <c r="Y156" t="s">
        <v>82</v>
      </c>
      <c r="AB156" t="b">
        <v>0</v>
      </c>
      <c r="AC156" t="b">
        <v>0</v>
      </c>
      <c r="AE156" t="b">
        <v>0</v>
      </c>
      <c r="AG156" t="b">
        <v>0</v>
      </c>
      <c r="AI156" t="b">
        <v>0</v>
      </c>
      <c r="AK156" t="s">
        <v>202</v>
      </c>
      <c r="AL156" t="s">
        <v>66</v>
      </c>
      <c r="AM156" s="3">
        <v>46267</v>
      </c>
      <c r="AN156" s="4">
        <v>0.53484953703703708</v>
      </c>
      <c r="AO156" t="s">
        <v>2148</v>
      </c>
      <c r="AP156">
        <v>0</v>
      </c>
      <c r="AQ156" t="s">
        <v>69</v>
      </c>
      <c r="AR156">
        <v>97</v>
      </c>
      <c r="AS156" t="s">
        <v>70</v>
      </c>
      <c r="AT156" t="s">
        <v>183</v>
      </c>
      <c r="AU156" t="s">
        <v>72</v>
      </c>
      <c r="AV156" t="s">
        <v>73</v>
      </c>
      <c r="AW156" t="str">
        <f t="shared" si="4"/>
        <v>Analítica de Datos</v>
      </c>
      <c r="AX156" t="str">
        <f t="shared" si="5"/>
        <v>323 4032976</v>
      </c>
      <c r="AY156" t="str">
        <f>IFERROR(INDEX(Vacantes!$C:$C,MATCH(AT156,Vacantes!$A:$A,0)),"")</f>
        <v>127</v>
      </c>
      <c r="AZ156" t="str">
        <f>IFERROR(INDEX(Vacantes!$D:$D,MATCH(AT156,Vacantes!$A:$A,0)),"")</f>
        <v>13 de octubre de 2026</v>
      </c>
      <c r="BA156" t="str">
        <f>IFERROR(INDEX(Vacantes!$E:$E,MATCH(AT156,Vacantes!$A:$A,0)),"")</f>
        <v>7:30 a.m. a 11:30 a.m.</v>
      </c>
    </row>
    <row r="157" spans="1:53" x14ac:dyDescent="0.15">
      <c r="A157" t="s">
        <v>2167</v>
      </c>
      <c r="B157" t="s">
        <v>2168</v>
      </c>
      <c r="C157" t="s">
        <v>55</v>
      </c>
      <c r="D157">
        <v>1001978590</v>
      </c>
      <c r="E157" t="s">
        <v>56</v>
      </c>
      <c r="F157">
        <v>22</v>
      </c>
      <c r="G157" t="b">
        <v>1</v>
      </c>
      <c r="I157" t="s">
        <v>57</v>
      </c>
      <c r="J157" t="s">
        <v>298</v>
      </c>
      <c r="L157" t="s">
        <v>709</v>
      </c>
      <c r="N157" t="b">
        <v>0</v>
      </c>
      <c r="O157" t="b">
        <v>0</v>
      </c>
      <c r="P157" t="s">
        <v>61</v>
      </c>
      <c r="Q157" t="s">
        <v>61</v>
      </c>
      <c r="R157" t="s">
        <v>62</v>
      </c>
      <c r="W157" t="s">
        <v>62</v>
      </c>
      <c r="AB157" t="b">
        <v>0</v>
      </c>
      <c r="AC157" t="b">
        <v>0</v>
      </c>
      <c r="AE157" t="b">
        <v>0</v>
      </c>
      <c r="AG157" t="b">
        <v>0</v>
      </c>
      <c r="AI157" t="b">
        <v>0</v>
      </c>
      <c r="AK157" t="s">
        <v>153</v>
      </c>
      <c r="AL157" t="s">
        <v>66</v>
      </c>
      <c r="AM157" s="3">
        <v>46255</v>
      </c>
      <c r="AN157" s="4">
        <v>0.54874999999999996</v>
      </c>
      <c r="AO157" t="s">
        <v>2169</v>
      </c>
      <c r="AP157" t="s">
        <v>301</v>
      </c>
      <c r="AQ157" t="s">
        <v>69</v>
      </c>
      <c r="AR157">
        <v>89.8</v>
      </c>
      <c r="AS157" t="s">
        <v>70</v>
      </c>
      <c r="AT157" t="s">
        <v>183</v>
      </c>
      <c r="AU157" t="s">
        <v>72</v>
      </c>
      <c r="AV157" t="s">
        <v>73</v>
      </c>
      <c r="AW157" t="str">
        <f t="shared" si="4"/>
        <v>Ingeniería de Sistemas</v>
      </c>
      <c r="AX157" t="str">
        <f t="shared" si="5"/>
        <v>320 7369219</v>
      </c>
      <c r="AY157" t="str">
        <f>IFERROR(INDEX(Vacantes!$C:$C,MATCH(AT157,Vacantes!$A:$A,0)),"")</f>
        <v>127</v>
      </c>
      <c r="AZ157" t="str">
        <f>IFERROR(INDEX(Vacantes!$D:$D,MATCH(AT157,Vacantes!$A:$A,0)),"")</f>
        <v>13 de octubre de 2026</v>
      </c>
      <c r="BA157" t="str">
        <f>IFERROR(INDEX(Vacantes!$E:$E,MATCH(AT157,Vacantes!$A:$A,0)),"")</f>
        <v>7:30 a.m. a 11:30 a.m.</v>
      </c>
    </row>
    <row r="158" spans="1:53" x14ac:dyDescent="0.15">
      <c r="A158" t="s">
        <v>2170</v>
      </c>
      <c r="B158" t="s">
        <v>2171</v>
      </c>
      <c r="C158" t="s">
        <v>55</v>
      </c>
      <c r="D158">
        <v>1001217895</v>
      </c>
      <c r="E158" t="s">
        <v>56</v>
      </c>
      <c r="F158">
        <v>22</v>
      </c>
      <c r="G158" t="b">
        <v>1</v>
      </c>
      <c r="H158" t="s">
        <v>57</v>
      </c>
      <c r="I158" t="s">
        <v>57</v>
      </c>
      <c r="J158" t="s">
        <v>1142</v>
      </c>
      <c r="L158" t="s">
        <v>640</v>
      </c>
      <c r="N158" t="b">
        <v>0</v>
      </c>
      <c r="O158" t="b">
        <v>0</v>
      </c>
      <c r="P158" t="s">
        <v>60</v>
      </c>
      <c r="Q158" t="s">
        <v>60</v>
      </c>
      <c r="R158" t="s">
        <v>62</v>
      </c>
      <c r="W158" t="s">
        <v>125</v>
      </c>
      <c r="X158" t="s">
        <v>145</v>
      </c>
      <c r="AB158" t="b">
        <v>0</v>
      </c>
      <c r="AC158" t="b">
        <v>0</v>
      </c>
      <c r="AE158" t="b">
        <v>0</v>
      </c>
      <c r="AG158" t="b">
        <v>0</v>
      </c>
      <c r="AI158" t="b">
        <v>0</v>
      </c>
      <c r="AK158" t="s">
        <v>94</v>
      </c>
      <c r="AL158" t="s">
        <v>66</v>
      </c>
      <c r="AM158" s="3">
        <v>46268</v>
      </c>
      <c r="AN158" s="4">
        <v>0.40909722222222222</v>
      </c>
      <c r="AO158" t="s">
        <v>2172</v>
      </c>
      <c r="AP158" t="s">
        <v>2173</v>
      </c>
      <c r="AQ158" t="s">
        <v>69</v>
      </c>
      <c r="AR158">
        <v>94.1</v>
      </c>
      <c r="AS158" t="s">
        <v>70</v>
      </c>
      <c r="AT158" t="s">
        <v>183</v>
      </c>
      <c r="AU158" t="s">
        <v>221</v>
      </c>
      <c r="AV158" t="s">
        <v>184</v>
      </c>
      <c r="AW158" t="str">
        <f t="shared" si="4"/>
        <v>Ingeniería Electrónica</v>
      </c>
      <c r="AX158" t="str">
        <f t="shared" si="5"/>
        <v>321 2622132</v>
      </c>
      <c r="AY158" t="str">
        <f>IFERROR(INDEX(Vacantes!$C:$C,MATCH(AT158,Vacantes!$A:$A,0)),"")</f>
        <v>127</v>
      </c>
      <c r="AZ158" t="str">
        <f>IFERROR(INDEX(Vacantes!$D:$D,MATCH(AT158,Vacantes!$A:$A,0)),"")</f>
        <v>13 de octubre de 2026</v>
      </c>
      <c r="BA158" t="str">
        <f>IFERROR(INDEX(Vacantes!$E:$E,MATCH(AT158,Vacantes!$A:$A,0)),"")</f>
        <v>7:30 a.m. a 11:30 a.m.</v>
      </c>
    </row>
    <row r="159" spans="1:53" x14ac:dyDescent="0.15">
      <c r="A159" t="s">
        <v>2174</v>
      </c>
      <c r="B159" t="s">
        <v>2175</v>
      </c>
      <c r="C159" t="s">
        <v>55</v>
      </c>
      <c r="D159">
        <v>1025461045</v>
      </c>
      <c r="E159" t="s">
        <v>56</v>
      </c>
      <c r="F159">
        <v>21</v>
      </c>
      <c r="G159" t="b">
        <v>1</v>
      </c>
      <c r="H159" t="s">
        <v>2176</v>
      </c>
      <c r="I159" t="s">
        <v>57</v>
      </c>
      <c r="J159" t="s">
        <v>234</v>
      </c>
      <c r="L159" t="s">
        <v>59</v>
      </c>
      <c r="N159" t="b">
        <v>0</v>
      </c>
      <c r="O159" t="b">
        <v>0</v>
      </c>
      <c r="P159" t="s">
        <v>61</v>
      </c>
      <c r="Q159" t="s">
        <v>61</v>
      </c>
      <c r="R159" t="s">
        <v>62</v>
      </c>
      <c r="W159" t="s">
        <v>81</v>
      </c>
      <c r="AB159" t="b">
        <v>0</v>
      </c>
      <c r="AC159" t="b">
        <v>0</v>
      </c>
      <c r="AE159" t="b">
        <v>0</v>
      </c>
      <c r="AG159" t="b">
        <v>0</v>
      </c>
      <c r="AI159" t="b">
        <v>0</v>
      </c>
      <c r="AK159" t="s">
        <v>153</v>
      </c>
      <c r="AL159" t="s">
        <v>66</v>
      </c>
      <c r="AM159" s="3">
        <v>46268</v>
      </c>
      <c r="AN159" s="4">
        <v>0.88604166666666662</v>
      </c>
      <c r="AO159" t="s">
        <v>2177</v>
      </c>
      <c r="AP159" t="s">
        <v>2178</v>
      </c>
      <c r="AQ159" t="s">
        <v>69</v>
      </c>
      <c r="AR159">
        <v>89.2</v>
      </c>
      <c r="AS159" t="s">
        <v>70</v>
      </c>
      <c r="AT159" t="s">
        <v>183</v>
      </c>
      <c r="AU159" t="s">
        <v>221</v>
      </c>
      <c r="AV159" t="s">
        <v>184</v>
      </c>
      <c r="AW159" t="str">
        <f t="shared" si="4"/>
        <v>Estadística</v>
      </c>
      <c r="AX159" t="str">
        <f t="shared" si="5"/>
        <v>311 5834299</v>
      </c>
      <c r="AY159" t="str">
        <f>IFERROR(INDEX(Vacantes!$C:$C,MATCH(AT159,Vacantes!$A:$A,0)),"")</f>
        <v>127</v>
      </c>
      <c r="AZ159" t="str">
        <f>IFERROR(INDEX(Vacantes!$D:$D,MATCH(AT159,Vacantes!$A:$A,0)),"")</f>
        <v>13 de octubre de 2026</v>
      </c>
      <c r="BA159" t="str">
        <f>IFERROR(INDEX(Vacantes!$E:$E,MATCH(AT159,Vacantes!$A:$A,0)),"")</f>
        <v>7:30 a.m. a 11:30 a.m.</v>
      </c>
    </row>
    <row r="160" spans="1:53" x14ac:dyDescent="0.15">
      <c r="A160" t="s">
        <v>2179</v>
      </c>
      <c r="B160" t="s">
        <v>2180</v>
      </c>
      <c r="C160" t="s">
        <v>55</v>
      </c>
      <c r="D160">
        <v>1034396248</v>
      </c>
      <c r="E160" t="s">
        <v>56</v>
      </c>
      <c r="F160">
        <v>22</v>
      </c>
      <c r="G160" t="b">
        <v>1</v>
      </c>
      <c r="I160" t="s">
        <v>57</v>
      </c>
      <c r="J160" t="s">
        <v>123</v>
      </c>
      <c r="L160" t="s">
        <v>124</v>
      </c>
      <c r="N160" t="b">
        <v>0</v>
      </c>
      <c r="O160" t="b">
        <v>0</v>
      </c>
      <c r="P160" t="s">
        <v>60</v>
      </c>
      <c r="Q160" t="s">
        <v>60</v>
      </c>
      <c r="R160" t="s">
        <v>62</v>
      </c>
      <c r="W160" t="s">
        <v>125</v>
      </c>
      <c r="X160" t="s">
        <v>145</v>
      </c>
      <c r="AB160" t="b">
        <v>0</v>
      </c>
      <c r="AC160" t="b">
        <v>0</v>
      </c>
      <c r="AE160" t="b">
        <v>0</v>
      </c>
      <c r="AG160" t="b">
        <v>0</v>
      </c>
      <c r="AI160" t="b">
        <v>0</v>
      </c>
      <c r="AK160" t="s">
        <v>65</v>
      </c>
      <c r="AL160" t="s">
        <v>66</v>
      </c>
      <c r="AM160" s="3">
        <v>46256</v>
      </c>
      <c r="AN160" s="4">
        <v>0.42510416666666673</v>
      </c>
      <c r="AO160" t="s">
        <v>2181</v>
      </c>
      <c r="AP160" t="s">
        <v>2182</v>
      </c>
      <c r="AQ160" t="s">
        <v>69</v>
      </c>
      <c r="AR160">
        <v>95.2</v>
      </c>
      <c r="AS160" t="s">
        <v>85</v>
      </c>
      <c r="AT160" t="s">
        <v>183</v>
      </c>
      <c r="AU160" t="s">
        <v>72</v>
      </c>
      <c r="AV160" t="s">
        <v>184</v>
      </c>
      <c r="AW160" t="str">
        <f t="shared" si="4"/>
        <v>Ingeniería Mecatrónica</v>
      </c>
      <c r="AX160" t="str">
        <f t="shared" si="5"/>
        <v>305 3360405</v>
      </c>
      <c r="AY160" t="str">
        <f>IFERROR(INDEX(Vacantes!$C:$C,MATCH(AT160,Vacantes!$A:$A,0)),"")</f>
        <v>127</v>
      </c>
      <c r="AZ160" t="str">
        <f>IFERROR(INDEX(Vacantes!$D:$D,MATCH(AT160,Vacantes!$A:$A,0)),"")</f>
        <v>13 de octubre de 2026</v>
      </c>
      <c r="BA160" t="str">
        <f>IFERROR(INDEX(Vacantes!$E:$E,MATCH(AT160,Vacantes!$A:$A,0)),"")</f>
        <v>7:30 a.m. a 11:30 a.m.</v>
      </c>
    </row>
    <row r="161" spans="1:53" x14ac:dyDescent="0.15">
      <c r="A161" t="s">
        <v>2183</v>
      </c>
      <c r="B161" t="s">
        <v>2184</v>
      </c>
      <c r="C161" t="s">
        <v>55</v>
      </c>
      <c r="D161">
        <v>1011084415</v>
      </c>
      <c r="E161" t="s">
        <v>56</v>
      </c>
      <c r="F161">
        <v>21</v>
      </c>
      <c r="G161" t="b">
        <v>1</v>
      </c>
      <c r="H161" t="s">
        <v>754</v>
      </c>
      <c r="I161" t="s">
        <v>57</v>
      </c>
      <c r="J161" t="s">
        <v>234</v>
      </c>
      <c r="L161" t="s">
        <v>709</v>
      </c>
      <c r="N161" t="b">
        <v>1</v>
      </c>
      <c r="O161" t="b">
        <v>0</v>
      </c>
      <c r="P161" t="s">
        <v>61</v>
      </c>
      <c r="Q161" t="s">
        <v>60</v>
      </c>
      <c r="R161" t="s">
        <v>62</v>
      </c>
      <c r="W161" t="s">
        <v>135</v>
      </c>
      <c r="AB161" t="b">
        <v>0</v>
      </c>
      <c r="AC161" t="b">
        <v>1</v>
      </c>
      <c r="AD161" t="s">
        <v>2185</v>
      </c>
      <c r="AE161" t="b">
        <v>0</v>
      </c>
      <c r="AG161" t="b">
        <v>0</v>
      </c>
      <c r="AI161" t="b">
        <v>0</v>
      </c>
      <c r="AK161" t="s">
        <v>202</v>
      </c>
      <c r="AL161" t="s">
        <v>66</v>
      </c>
      <c r="AM161" s="3">
        <v>46294</v>
      </c>
      <c r="AN161" s="4">
        <v>0.64456018518518521</v>
      </c>
      <c r="AO161" t="s">
        <v>2186</v>
      </c>
      <c r="AP161" t="s">
        <v>2187</v>
      </c>
      <c r="AQ161" t="s">
        <v>69</v>
      </c>
      <c r="AR161">
        <v>94.1</v>
      </c>
      <c r="AT161" t="s">
        <v>183</v>
      </c>
      <c r="AU161" t="s">
        <v>221</v>
      </c>
      <c r="AV161" t="s">
        <v>73</v>
      </c>
      <c r="AW161" t="str">
        <f t="shared" si="4"/>
        <v>Ingeniería de Sistemas</v>
      </c>
      <c r="AX161" t="str">
        <f t="shared" si="5"/>
        <v>322 342 5440</v>
      </c>
      <c r="AY161" t="str">
        <f>IFERROR(INDEX(Vacantes!$C:$C,MATCH(AT161,Vacantes!$A:$A,0)),"")</f>
        <v>127</v>
      </c>
      <c r="AZ161" t="str">
        <f>IFERROR(INDEX(Vacantes!$D:$D,MATCH(AT161,Vacantes!$A:$A,0)),"")</f>
        <v>13 de octubre de 2026</v>
      </c>
      <c r="BA161" t="str">
        <f>IFERROR(INDEX(Vacantes!$E:$E,MATCH(AT161,Vacantes!$A:$A,0)),"")</f>
        <v>7:30 a.m. a 11:30 a.m.</v>
      </c>
    </row>
    <row r="162" spans="1:53" x14ac:dyDescent="0.15">
      <c r="A162" t="s">
        <v>2197</v>
      </c>
      <c r="B162" t="s">
        <v>2198</v>
      </c>
      <c r="C162" t="s">
        <v>55</v>
      </c>
      <c r="D162">
        <v>1023082568</v>
      </c>
      <c r="E162" t="s">
        <v>76</v>
      </c>
      <c r="F162">
        <v>22</v>
      </c>
      <c r="G162" t="b">
        <v>1</v>
      </c>
      <c r="H162" t="s">
        <v>88</v>
      </c>
      <c r="I162" t="s">
        <v>57</v>
      </c>
      <c r="J162" t="s">
        <v>132</v>
      </c>
      <c r="K162" t="s">
        <v>133</v>
      </c>
      <c r="L162" t="s">
        <v>134</v>
      </c>
      <c r="N162" t="b">
        <v>0</v>
      </c>
      <c r="O162" t="b">
        <v>0</v>
      </c>
      <c r="P162" t="s">
        <v>61</v>
      </c>
      <c r="Q162" t="s">
        <v>60</v>
      </c>
      <c r="R162" t="s">
        <v>108</v>
      </c>
      <c r="W162" t="s">
        <v>109</v>
      </c>
      <c r="AA162" t="s">
        <v>176</v>
      </c>
      <c r="AB162" t="b">
        <v>0</v>
      </c>
      <c r="AC162" t="b">
        <v>0</v>
      </c>
      <c r="AE162" t="b">
        <v>0</v>
      </c>
      <c r="AG162" t="b">
        <v>0</v>
      </c>
      <c r="AI162" t="b">
        <v>0</v>
      </c>
      <c r="AK162" t="s">
        <v>202</v>
      </c>
      <c r="AL162" t="s">
        <v>66</v>
      </c>
      <c r="AM162" s="3">
        <v>46270</v>
      </c>
      <c r="AN162" s="4">
        <v>0.3618865740740741</v>
      </c>
      <c r="AO162" t="s">
        <v>2199</v>
      </c>
      <c r="AP162" t="s">
        <v>2200</v>
      </c>
      <c r="AQ162" t="s">
        <v>69</v>
      </c>
      <c r="AR162">
        <v>85.2</v>
      </c>
      <c r="AS162" t="s">
        <v>70</v>
      </c>
      <c r="AT162" t="s">
        <v>1288</v>
      </c>
      <c r="AU162" t="s">
        <v>221</v>
      </c>
      <c r="AV162" t="s">
        <v>73</v>
      </c>
      <c r="AW162" t="str">
        <f t="shared" si="4"/>
        <v>Negocios Internacionales</v>
      </c>
      <c r="AX162" t="str">
        <f t="shared" si="5"/>
        <v>319 5754801</v>
      </c>
      <c r="AY162" t="str">
        <f>IFERROR(INDEX(Vacantes!$C:$C,MATCH(AT162,Vacantes!$A:$A,0)),"")</f>
        <v>Regional Centro</v>
      </c>
      <c r="AZ162" t="str">
        <f>IFERROR(INDEX(Vacantes!$D:$D,MATCH(AT162,Vacantes!$A:$A,0)),"")</f>
        <v>13 de octubre de 2026</v>
      </c>
      <c r="BA162" t="str">
        <f>IFERROR(INDEX(Vacantes!$E:$E,MATCH(AT162,Vacantes!$A:$A,0)),"")</f>
        <v>12:30 p.m. a 4:00 p.m.</v>
      </c>
    </row>
    <row r="163" spans="1:53" x14ac:dyDescent="0.15">
      <c r="A163" t="s">
        <v>2201</v>
      </c>
      <c r="B163" t="s">
        <v>2202</v>
      </c>
      <c r="C163" t="s">
        <v>55</v>
      </c>
      <c r="D163">
        <v>1027282055</v>
      </c>
      <c r="E163" t="s">
        <v>76</v>
      </c>
      <c r="F163">
        <v>20</v>
      </c>
      <c r="G163" t="b">
        <v>1</v>
      </c>
      <c r="I163" t="s">
        <v>57</v>
      </c>
      <c r="J163" t="s">
        <v>78</v>
      </c>
      <c r="L163" t="s">
        <v>107</v>
      </c>
      <c r="N163" t="b">
        <v>0</v>
      </c>
      <c r="O163" t="b">
        <v>0</v>
      </c>
      <c r="P163" t="s">
        <v>61</v>
      </c>
      <c r="Q163" t="s">
        <v>61</v>
      </c>
      <c r="R163" t="s">
        <v>109</v>
      </c>
      <c r="V163" t="s">
        <v>176</v>
      </c>
      <c r="W163" t="s">
        <v>108</v>
      </c>
      <c r="AB163" t="b">
        <v>0</v>
      </c>
      <c r="AC163" t="b">
        <v>0</v>
      </c>
      <c r="AE163" t="b">
        <v>0</v>
      </c>
      <c r="AG163" t="b">
        <v>0</v>
      </c>
      <c r="AI163" t="b">
        <v>0</v>
      </c>
      <c r="AK163" t="s">
        <v>153</v>
      </c>
      <c r="AL163" t="s">
        <v>66</v>
      </c>
      <c r="AM163" s="3">
        <v>46277</v>
      </c>
      <c r="AN163" s="4">
        <v>0.66601851851851857</v>
      </c>
      <c r="AO163" t="s">
        <v>2203</v>
      </c>
      <c r="AP163" t="s">
        <v>2204</v>
      </c>
      <c r="AQ163" t="s">
        <v>69</v>
      </c>
      <c r="AR163">
        <v>79.900000000000006</v>
      </c>
      <c r="AS163" t="s">
        <v>70</v>
      </c>
      <c r="AT163" t="s">
        <v>1288</v>
      </c>
      <c r="AU163" t="s">
        <v>221</v>
      </c>
      <c r="AV163" t="s">
        <v>73</v>
      </c>
      <c r="AW163" t="str">
        <f t="shared" si="4"/>
        <v>Administración de Empresas</v>
      </c>
      <c r="AX163" t="str">
        <f t="shared" si="5"/>
        <v>321 4015628</v>
      </c>
      <c r="AY163" t="str">
        <f>IFERROR(INDEX(Vacantes!$C:$C,MATCH(AT163,Vacantes!$A:$A,0)),"")</f>
        <v>Regional Centro</v>
      </c>
      <c r="AZ163" t="str">
        <f>IFERROR(INDEX(Vacantes!$D:$D,MATCH(AT163,Vacantes!$A:$A,0)),"")</f>
        <v>13 de octubre de 2026</v>
      </c>
      <c r="BA163" t="str">
        <f>IFERROR(INDEX(Vacantes!$E:$E,MATCH(AT163,Vacantes!$A:$A,0)),"")</f>
        <v>12:30 p.m. a 4:00 p.m.</v>
      </c>
    </row>
    <row r="164" spans="1:53" x14ac:dyDescent="0.15">
      <c r="A164" t="s">
        <v>2205</v>
      </c>
      <c r="B164" t="s">
        <v>2206</v>
      </c>
      <c r="C164" t="s">
        <v>55</v>
      </c>
      <c r="D164">
        <v>1101622249</v>
      </c>
      <c r="E164" t="s">
        <v>76</v>
      </c>
      <c r="F164">
        <v>22</v>
      </c>
      <c r="G164" t="b">
        <v>1</v>
      </c>
      <c r="H164" t="s">
        <v>293</v>
      </c>
      <c r="I164" t="s">
        <v>57</v>
      </c>
      <c r="J164" t="s">
        <v>78</v>
      </c>
      <c r="L164" t="s">
        <v>107</v>
      </c>
      <c r="N164" t="b">
        <v>0</v>
      </c>
      <c r="O164" t="b">
        <v>0</v>
      </c>
      <c r="P164" t="s">
        <v>61</v>
      </c>
      <c r="Q164" t="s">
        <v>60</v>
      </c>
      <c r="R164" t="s">
        <v>109</v>
      </c>
      <c r="V164" t="s">
        <v>176</v>
      </c>
      <c r="W164" t="s">
        <v>62</v>
      </c>
      <c r="AB164" t="b">
        <v>0</v>
      </c>
      <c r="AC164" t="b">
        <v>0</v>
      </c>
      <c r="AE164" t="b">
        <v>0</v>
      </c>
      <c r="AG164" t="b">
        <v>0</v>
      </c>
      <c r="AI164" t="b">
        <v>0</v>
      </c>
      <c r="AK164" t="s">
        <v>94</v>
      </c>
      <c r="AL164" t="s">
        <v>66</v>
      </c>
      <c r="AM164" s="3">
        <v>46273</v>
      </c>
      <c r="AN164" s="4">
        <v>0.32437500000000002</v>
      </c>
      <c r="AO164" t="s">
        <v>2207</v>
      </c>
      <c r="AP164" t="s">
        <v>2208</v>
      </c>
      <c r="AQ164" t="s">
        <v>69</v>
      </c>
      <c r="AR164">
        <v>92.9</v>
      </c>
      <c r="AS164" t="s">
        <v>70</v>
      </c>
      <c r="AT164" t="s">
        <v>1288</v>
      </c>
      <c r="AU164" t="s">
        <v>221</v>
      </c>
      <c r="AV164" t="s">
        <v>184</v>
      </c>
      <c r="AW164" t="str">
        <f t="shared" si="4"/>
        <v>Administración de Empresas</v>
      </c>
      <c r="AX164" t="str">
        <f t="shared" si="5"/>
        <v>320 5643575</v>
      </c>
      <c r="AY164" t="str">
        <f>IFERROR(INDEX(Vacantes!$C:$C,MATCH(AT164,Vacantes!$A:$A,0)),"")</f>
        <v>Regional Centro</v>
      </c>
      <c r="AZ164" t="str">
        <f>IFERROR(INDEX(Vacantes!$D:$D,MATCH(AT164,Vacantes!$A:$A,0)),"")</f>
        <v>13 de octubre de 2026</v>
      </c>
      <c r="BA164" t="str">
        <f>IFERROR(INDEX(Vacantes!$E:$E,MATCH(AT164,Vacantes!$A:$A,0)),"")</f>
        <v>12:30 p.m. a 4:00 p.m.</v>
      </c>
    </row>
    <row r="165" spans="1:53" x14ac:dyDescent="0.15">
      <c r="A165" t="s">
        <v>2442</v>
      </c>
      <c r="B165" t="s">
        <v>2443</v>
      </c>
      <c r="C165" t="s">
        <v>55</v>
      </c>
      <c r="D165">
        <v>1000503369</v>
      </c>
      <c r="E165" t="s">
        <v>56</v>
      </c>
      <c r="F165">
        <v>24</v>
      </c>
      <c r="G165" t="b">
        <v>1</v>
      </c>
      <c r="H165" t="s">
        <v>57</v>
      </c>
      <c r="I165" t="s">
        <v>57</v>
      </c>
      <c r="J165" t="s">
        <v>150</v>
      </c>
      <c r="L165" t="s">
        <v>143</v>
      </c>
      <c r="N165" t="b">
        <v>1</v>
      </c>
      <c r="O165" t="b">
        <v>0</v>
      </c>
      <c r="P165" t="s">
        <v>144</v>
      </c>
      <c r="Q165" t="s">
        <v>61</v>
      </c>
      <c r="R165" t="s">
        <v>81</v>
      </c>
      <c r="W165" t="s">
        <v>109</v>
      </c>
      <c r="AA165" t="s">
        <v>283</v>
      </c>
      <c r="AB165" t="b">
        <v>0</v>
      </c>
      <c r="AC165" t="b">
        <v>0</v>
      </c>
      <c r="AE165" t="b">
        <v>0</v>
      </c>
      <c r="AG165" t="b">
        <v>0</v>
      </c>
      <c r="AI165" t="b">
        <v>0</v>
      </c>
      <c r="AK165" t="s">
        <v>248</v>
      </c>
      <c r="AL165" t="s">
        <v>2444</v>
      </c>
      <c r="AM165" s="3">
        <v>46263</v>
      </c>
      <c r="AN165" s="4">
        <v>0.50168981481481478</v>
      </c>
      <c r="AO165" t="s">
        <v>2445</v>
      </c>
      <c r="AP165" t="s">
        <v>2446</v>
      </c>
      <c r="AQ165" t="s">
        <v>69</v>
      </c>
      <c r="AR165">
        <v>83.4</v>
      </c>
      <c r="AS165" t="s">
        <v>70</v>
      </c>
      <c r="AT165" t="s">
        <v>102</v>
      </c>
      <c r="AU165" t="s">
        <v>221</v>
      </c>
      <c r="AV165" t="s">
        <v>73</v>
      </c>
      <c r="AW165" t="str">
        <f t="shared" si="4"/>
        <v>Ingeniería Industrial</v>
      </c>
      <c r="AX165" t="str">
        <f t="shared" si="5"/>
        <v>319 2930685</v>
      </c>
      <c r="AY165" t="str">
        <f>IFERROR(INDEX(Vacantes!$C:$C,MATCH(AT165,Vacantes!$A:$A,0)),"")</f>
        <v>127</v>
      </c>
      <c r="AZ165" t="str">
        <f>IFERROR(INDEX(Vacantes!$D:$D,MATCH(AT165,Vacantes!$A:$A,0)),"")</f>
        <v>13 de octubre de 2026</v>
      </c>
      <c r="BA165" t="str">
        <f>IFERROR(INDEX(Vacantes!$E:$E,MATCH(AT165,Vacantes!$A:$A,0)),"")</f>
        <v>7:30 a.m. a 11:30 a.m.</v>
      </c>
    </row>
    <row r="166" spans="1:53" x14ac:dyDescent="0.15">
      <c r="A166" t="s">
        <v>2447</v>
      </c>
      <c r="B166" t="s">
        <v>2448</v>
      </c>
      <c r="C166" t="s">
        <v>55</v>
      </c>
      <c r="D166">
        <v>1027400384</v>
      </c>
      <c r="E166" t="s">
        <v>56</v>
      </c>
      <c r="F166">
        <v>22</v>
      </c>
      <c r="G166" t="b">
        <v>1</v>
      </c>
      <c r="H166" t="s">
        <v>57</v>
      </c>
      <c r="I166" t="s">
        <v>57</v>
      </c>
      <c r="J166" t="s">
        <v>187</v>
      </c>
      <c r="L166" t="s">
        <v>134</v>
      </c>
      <c r="N166" t="b">
        <v>0</v>
      </c>
      <c r="O166" t="b">
        <v>0</v>
      </c>
      <c r="P166" t="s">
        <v>61</v>
      </c>
      <c r="Q166" t="s">
        <v>61</v>
      </c>
      <c r="R166" t="s">
        <v>81</v>
      </c>
      <c r="W166" t="s">
        <v>109</v>
      </c>
      <c r="AA166" t="s">
        <v>110</v>
      </c>
      <c r="AB166" t="b">
        <v>0</v>
      </c>
      <c r="AC166" t="b">
        <v>0</v>
      </c>
      <c r="AE166" t="b">
        <v>0</v>
      </c>
      <c r="AG166" t="b">
        <v>0</v>
      </c>
      <c r="AI166" t="b">
        <v>0</v>
      </c>
      <c r="AK166" t="s">
        <v>65</v>
      </c>
      <c r="AL166" t="s">
        <v>2449</v>
      </c>
      <c r="AM166" s="3">
        <v>46264</v>
      </c>
      <c r="AN166" s="4">
        <v>0.43061342592592594</v>
      </c>
      <c r="AO166" t="s">
        <v>2450</v>
      </c>
      <c r="AP166" t="s">
        <v>2451</v>
      </c>
      <c r="AQ166" t="s">
        <v>69</v>
      </c>
      <c r="AR166">
        <v>70</v>
      </c>
      <c r="AT166" t="s">
        <v>102</v>
      </c>
      <c r="AU166" t="s">
        <v>221</v>
      </c>
      <c r="AV166" t="s">
        <v>73</v>
      </c>
      <c r="AW166" t="str">
        <f t="shared" si="4"/>
        <v>Negocios Internacionales</v>
      </c>
      <c r="AX166" t="str">
        <f t="shared" si="5"/>
        <v>320 9953968</v>
      </c>
      <c r="AY166" t="str">
        <f>IFERROR(INDEX(Vacantes!$C:$C,MATCH(AT166,Vacantes!$A:$A,0)),"")</f>
        <v>127</v>
      </c>
      <c r="AZ166" t="str">
        <f>IFERROR(INDEX(Vacantes!$D:$D,MATCH(AT166,Vacantes!$A:$A,0)),"")</f>
        <v>13 de octubre de 2026</v>
      </c>
      <c r="BA166" t="str">
        <f>IFERROR(INDEX(Vacantes!$E:$E,MATCH(AT166,Vacantes!$A:$A,0)),"")</f>
        <v>7:30 a.m. a 11:30 a.m.</v>
      </c>
    </row>
    <row r="167" spans="1:53" x14ac:dyDescent="0.15">
      <c r="A167" t="s">
        <v>2492</v>
      </c>
      <c r="B167" t="s">
        <v>2493</v>
      </c>
      <c r="C167" t="s">
        <v>55</v>
      </c>
      <c r="D167">
        <v>1000953490</v>
      </c>
      <c r="E167" t="s">
        <v>56</v>
      </c>
      <c r="F167">
        <v>23</v>
      </c>
      <c r="G167" t="b">
        <v>1</v>
      </c>
      <c r="H167" t="s">
        <v>88</v>
      </c>
      <c r="I167" t="s">
        <v>57</v>
      </c>
      <c r="J167" t="s">
        <v>106</v>
      </c>
      <c r="L167" t="s">
        <v>143</v>
      </c>
      <c r="N167" t="b">
        <v>0</v>
      </c>
      <c r="O167" t="b">
        <v>0</v>
      </c>
      <c r="P167" t="s">
        <v>61</v>
      </c>
      <c r="Q167" t="s">
        <v>61</v>
      </c>
      <c r="R167" t="s">
        <v>81</v>
      </c>
      <c r="W167" t="s">
        <v>109</v>
      </c>
      <c r="AA167" t="s">
        <v>176</v>
      </c>
      <c r="AB167" t="b">
        <v>0</v>
      </c>
      <c r="AC167" t="b">
        <v>0</v>
      </c>
      <c r="AE167" t="b">
        <v>0</v>
      </c>
      <c r="AG167" t="b">
        <v>0</v>
      </c>
      <c r="AI167" t="b">
        <v>0</v>
      </c>
      <c r="AK167" t="s">
        <v>65</v>
      </c>
      <c r="AL167" t="s">
        <v>2444</v>
      </c>
      <c r="AM167" s="3">
        <v>46271</v>
      </c>
      <c r="AN167" s="4">
        <v>0.94869212962962968</v>
      </c>
      <c r="AO167" t="s">
        <v>2494</v>
      </c>
      <c r="AP167" t="s">
        <v>2495</v>
      </c>
      <c r="AQ167" t="s">
        <v>69</v>
      </c>
      <c r="AR167">
        <v>93.3</v>
      </c>
      <c r="AS167" t="s">
        <v>70</v>
      </c>
      <c r="AT167" t="s">
        <v>102</v>
      </c>
      <c r="AU167" t="s">
        <v>221</v>
      </c>
      <c r="AV167" t="s">
        <v>73</v>
      </c>
      <c r="AW167" t="str">
        <f t="shared" si="4"/>
        <v>Ingeniería Industrial</v>
      </c>
      <c r="AX167" t="str">
        <f t="shared" si="5"/>
        <v>314 5682060</v>
      </c>
      <c r="AY167" t="str">
        <f>IFERROR(INDEX(Vacantes!$C:$C,MATCH(AT167,Vacantes!$A:$A,0)),"")</f>
        <v>127</v>
      </c>
      <c r="AZ167" t="str">
        <f>IFERROR(INDEX(Vacantes!$D:$D,MATCH(AT167,Vacantes!$A:$A,0)),"")</f>
        <v>13 de octubre de 2026</v>
      </c>
      <c r="BA167" t="str">
        <f>IFERROR(INDEX(Vacantes!$E:$E,MATCH(AT167,Vacantes!$A:$A,0)),"")</f>
        <v>7:30 a.m. a 11:30 a.m.</v>
      </c>
    </row>
    <row r="168" spans="1:53" x14ac:dyDescent="0.15">
      <c r="A168" t="s">
        <v>2496</v>
      </c>
      <c r="B168" t="s">
        <v>2497</v>
      </c>
      <c r="C168" t="s">
        <v>55</v>
      </c>
      <c r="D168">
        <v>1032798649</v>
      </c>
      <c r="E168" t="s">
        <v>76</v>
      </c>
      <c r="F168">
        <v>21</v>
      </c>
      <c r="G168" t="b">
        <v>1</v>
      </c>
      <c r="H168" t="s">
        <v>131</v>
      </c>
      <c r="I168" t="s">
        <v>57</v>
      </c>
      <c r="J168" t="s">
        <v>187</v>
      </c>
      <c r="L168" t="s">
        <v>107</v>
      </c>
      <c r="N168" t="b">
        <v>0</v>
      </c>
      <c r="O168" t="b">
        <v>0</v>
      </c>
      <c r="P168" t="s">
        <v>61</v>
      </c>
      <c r="Q168" t="s">
        <v>60</v>
      </c>
      <c r="R168" t="s">
        <v>81</v>
      </c>
      <c r="W168" t="s">
        <v>135</v>
      </c>
      <c r="AB168" t="b">
        <v>0</v>
      </c>
      <c r="AC168" t="b">
        <v>0</v>
      </c>
      <c r="AE168" t="b">
        <v>0</v>
      </c>
      <c r="AG168" t="b">
        <v>0</v>
      </c>
      <c r="AI168" t="b">
        <v>0</v>
      </c>
      <c r="AK168" t="s">
        <v>94</v>
      </c>
      <c r="AL168" t="s">
        <v>2444</v>
      </c>
      <c r="AM168" s="3">
        <v>46277</v>
      </c>
      <c r="AN168" s="4">
        <v>0.61949074074074073</v>
      </c>
      <c r="AO168" t="s">
        <v>2498</v>
      </c>
      <c r="AP168" t="s">
        <v>2499</v>
      </c>
      <c r="AQ168" t="s">
        <v>69</v>
      </c>
      <c r="AR168">
        <v>79.3</v>
      </c>
      <c r="AS168" t="s">
        <v>70</v>
      </c>
      <c r="AT168" t="s">
        <v>102</v>
      </c>
      <c r="AU168" t="s">
        <v>221</v>
      </c>
      <c r="AV168" t="s">
        <v>73</v>
      </c>
      <c r="AW168" t="str">
        <f t="shared" si="4"/>
        <v>Administración de Empresas</v>
      </c>
      <c r="AX168" t="str">
        <f t="shared" si="5"/>
        <v>322 4587534</v>
      </c>
      <c r="AY168" t="str">
        <f>IFERROR(INDEX(Vacantes!$C:$C,MATCH(AT168,Vacantes!$A:$A,0)),"")</f>
        <v>127</v>
      </c>
      <c r="AZ168" t="str">
        <f>IFERROR(INDEX(Vacantes!$D:$D,MATCH(AT168,Vacantes!$A:$A,0)),"")</f>
        <v>13 de octubre de 2026</v>
      </c>
      <c r="BA168" t="str">
        <f>IFERROR(INDEX(Vacantes!$E:$E,MATCH(AT168,Vacantes!$A:$A,0)),"")</f>
        <v>7:30 a.m. a 11:30 a.m.</v>
      </c>
    </row>
    <row r="169" spans="1:53" x14ac:dyDescent="0.15">
      <c r="A169" t="s">
        <v>404</v>
      </c>
      <c r="B169" t="s">
        <v>405</v>
      </c>
      <c r="C169" t="s">
        <v>55</v>
      </c>
      <c r="D169">
        <v>1110283459</v>
      </c>
      <c r="E169" t="s">
        <v>76</v>
      </c>
      <c r="F169">
        <v>22</v>
      </c>
      <c r="G169" t="b">
        <v>1</v>
      </c>
      <c r="H169" t="s">
        <v>406</v>
      </c>
      <c r="I169" t="s">
        <v>160</v>
      </c>
      <c r="J169" t="s">
        <v>401</v>
      </c>
      <c r="L169" t="s">
        <v>339</v>
      </c>
      <c r="N169" t="b">
        <v>1</v>
      </c>
      <c r="O169" t="b">
        <v>0</v>
      </c>
      <c r="P169" t="s">
        <v>60</v>
      </c>
      <c r="Q169" t="s">
        <v>60</v>
      </c>
      <c r="R169" t="s">
        <v>125</v>
      </c>
      <c r="W169" t="s">
        <v>125</v>
      </c>
      <c r="X169" t="s">
        <v>387</v>
      </c>
      <c r="AB169" t="b">
        <v>0</v>
      </c>
      <c r="AC169" t="b">
        <v>0</v>
      </c>
      <c r="AE169" t="b">
        <v>0</v>
      </c>
      <c r="AG169" t="b">
        <v>0</v>
      </c>
      <c r="AI169" t="b">
        <v>0</v>
      </c>
      <c r="AK169" t="s">
        <v>94</v>
      </c>
      <c r="AL169" t="s">
        <v>66</v>
      </c>
      <c r="AM169" s="3">
        <v>46278</v>
      </c>
      <c r="AN169" s="4">
        <v>0.43395833333333328</v>
      </c>
      <c r="AO169" t="s">
        <v>407</v>
      </c>
      <c r="AP169" t="s">
        <v>408</v>
      </c>
      <c r="AQ169" t="s">
        <v>69</v>
      </c>
      <c r="AR169">
        <v>77.3</v>
      </c>
      <c r="AS169" t="s">
        <v>70</v>
      </c>
      <c r="AT169" t="s">
        <v>409</v>
      </c>
      <c r="AU169" t="s">
        <v>221</v>
      </c>
      <c r="AV169" t="s">
        <v>73</v>
      </c>
      <c r="AW169" t="str">
        <f t="shared" si="4"/>
        <v>Química</v>
      </c>
      <c r="AX169" t="str">
        <f t="shared" si="5"/>
        <v>320 2205129</v>
      </c>
      <c r="AY169" t="str">
        <f>IFERROR(INDEX(Vacantes!$C:$C,MATCH(AT169,Vacantes!$A:$A,0)),"")</f>
        <v>Indugral</v>
      </c>
      <c r="AZ169" t="str">
        <f>IFERROR(INDEX(Vacantes!$D:$D,MATCH(AT169,Vacantes!$A:$A,0)),"")</f>
        <v>15 de octubre de 2026</v>
      </c>
      <c r="BA169" t="str">
        <f>IFERROR(INDEX(Vacantes!$E:$E,MATCH(AT169,Vacantes!$A:$A,0)),"")</f>
        <v>12:30 p.m. a 4:00 p.m.</v>
      </c>
    </row>
    <row r="170" spans="1:53" x14ac:dyDescent="0.15">
      <c r="A170" t="s">
        <v>410</v>
      </c>
      <c r="B170" t="s">
        <v>411</v>
      </c>
      <c r="C170" t="s">
        <v>55</v>
      </c>
      <c r="D170">
        <v>1085896222</v>
      </c>
      <c r="E170" t="s">
        <v>56</v>
      </c>
      <c r="F170">
        <v>22</v>
      </c>
      <c r="G170" t="b">
        <v>1</v>
      </c>
      <c r="H170" t="s">
        <v>412</v>
      </c>
      <c r="I170" t="s">
        <v>160</v>
      </c>
      <c r="J170" t="s">
        <v>413</v>
      </c>
      <c r="L170" t="s">
        <v>132</v>
      </c>
      <c r="M170" t="s">
        <v>414</v>
      </c>
      <c r="N170" t="b">
        <v>0</v>
      </c>
      <c r="O170" t="b">
        <v>0</v>
      </c>
      <c r="P170" t="s">
        <v>144</v>
      </c>
      <c r="Q170" t="s">
        <v>144</v>
      </c>
      <c r="R170" t="s">
        <v>125</v>
      </c>
      <c r="W170" t="s">
        <v>62</v>
      </c>
      <c r="AB170" t="b">
        <v>0</v>
      </c>
      <c r="AC170" t="b">
        <v>0</v>
      </c>
      <c r="AE170" t="b">
        <v>0</v>
      </c>
      <c r="AG170" t="b">
        <v>0</v>
      </c>
      <c r="AI170" t="b">
        <v>0</v>
      </c>
      <c r="AK170" t="s">
        <v>65</v>
      </c>
      <c r="AL170" t="s">
        <v>66</v>
      </c>
      <c r="AM170" s="3">
        <v>46277</v>
      </c>
      <c r="AN170" s="4">
        <v>0.47991898148148149</v>
      </c>
      <c r="AO170" t="s">
        <v>415</v>
      </c>
      <c r="AP170" t="s">
        <v>416</v>
      </c>
      <c r="AQ170" t="s">
        <v>69</v>
      </c>
      <c r="AR170">
        <v>86.5</v>
      </c>
      <c r="AS170" t="s">
        <v>70</v>
      </c>
      <c r="AT170" t="s">
        <v>409</v>
      </c>
      <c r="AU170" t="s">
        <v>221</v>
      </c>
      <c r="AV170" t="s">
        <v>73</v>
      </c>
      <c r="AW170" t="str">
        <f t="shared" si="4"/>
        <v>INGENIERIA EN AUTOMATICA INDUSTRIAL</v>
      </c>
      <c r="AX170" t="str">
        <f t="shared" si="5"/>
        <v>318 4101038</v>
      </c>
      <c r="AY170" t="str">
        <f>IFERROR(INDEX(Vacantes!$C:$C,MATCH(AT170,Vacantes!$A:$A,0)),"")</f>
        <v>Indugral</v>
      </c>
      <c r="AZ170" t="str">
        <f>IFERROR(INDEX(Vacantes!$D:$D,MATCH(AT170,Vacantes!$A:$A,0)),"")</f>
        <v>15 de octubre de 2026</v>
      </c>
      <c r="BA170" t="str">
        <f>IFERROR(INDEX(Vacantes!$E:$E,MATCH(AT170,Vacantes!$A:$A,0)),"")</f>
        <v>12:30 p.m. a 4:00 p.m.</v>
      </c>
    </row>
    <row r="171" spans="1:53" x14ac:dyDescent="0.15">
      <c r="A171" t="s">
        <v>417</v>
      </c>
      <c r="B171" t="s">
        <v>418</v>
      </c>
      <c r="C171" t="s">
        <v>55</v>
      </c>
      <c r="D171">
        <v>1117013881</v>
      </c>
      <c r="E171" t="s">
        <v>76</v>
      </c>
      <c r="F171">
        <v>21</v>
      </c>
      <c r="G171" t="b">
        <v>1</v>
      </c>
      <c r="I171" t="s">
        <v>160</v>
      </c>
      <c r="J171" t="s">
        <v>401</v>
      </c>
      <c r="L171" t="s">
        <v>305</v>
      </c>
      <c r="N171" t="b">
        <v>0</v>
      </c>
      <c r="O171" t="b">
        <v>0</v>
      </c>
      <c r="P171" t="s">
        <v>60</v>
      </c>
      <c r="Q171" t="s">
        <v>61</v>
      </c>
      <c r="R171" t="s">
        <v>125</v>
      </c>
      <c r="W171" t="s">
        <v>135</v>
      </c>
      <c r="AB171" t="b">
        <v>0</v>
      </c>
      <c r="AC171" t="b">
        <v>0</v>
      </c>
      <c r="AE171" t="b">
        <v>0</v>
      </c>
      <c r="AG171" t="b">
        <v>0</v>
      </c>
      <c r="AI171" t="b">
        <v>0</v>
      </c>
      <c r="AK171" t="s">
        <v>94</v>
      </c>
      <c r="AL171" t="s">
        <v>66</v>
      </c>
      <c r="AM171" s="3">
        <v>46278</v>
      </c>
      <c r="AN171" s="4">
        <v>0.60457175925925921</v>
      </c>
      <c r="AO171" t="s">
        <v>419</v>
      </c>
      <c r="AP171" t="s">
        <v>420</v>
      </c>
      <c r="AQ171" t="s">
        <v>69</v>
      </c>
      <c r="AR171">
        <v>87.5</v>
      </c>
      <c r="AS171" t="s">
        <v>70</v>
      </c>
      <c r="AT171" t="s">
        <v>409</v>
      </c>
      <c r="AU171" t="s">
        <v>221</v>
      </c>
      <c r="AV171" t="s">
        <v>73</v>
      </c>
      <c r="AW171" t="str">
        <f t="shared" si="4"/>
        <v>Ingeniería Química</v>
      </c>
      <c r="AX171" t="str">
        <f t="shared" si="5"/>
        <v>322 6378982</v>
      </c>
      <c r="AY171" t="str">
        <f>IFERROR(INDEX(Vacantes!$C:$C,MATCH(AT171,Vacantes!$A:$A,0)),"")</f>
        <v>Indugral</v>
      </c>
      <c r="AZ171" t="str">
        <f>IFERROR(INDEX(Vacantes!$D:$D,MATCH(AT171,Vacantes!$A:$A,0)),"")</f>
        <v>15 de octubre de 2026</v>
      </c>
      <c r="BA171" t="str">
        <f>IFERROR(INDEX(Vacantes!$E:$E,MATCH(AT171,Vacantes!$A:$A,0)),"")</f>
        <v>12:30 p.m. a 4:00 p.m.</v>
      </c>
    </row>
    <row r="172" spans="1:53" x14ac:dyDescent="0.15">
      <c r="A172" t="s">
        <v>421</v>
      </c>
      <c r="B172" t="s">
        <v>422</v>
      </c>
      <c r="C172" t="s">
        <v>55</v>
      </c>
      <c r="D172">
        <v>1083752386</v>
      </c>
      <c r="E172" t="s">
        <v>76</v>
      </c>
      <c r="F172">
        <v>21</v>
      </c>
      <c r="G172" t="b">
        <v>1</v>
      </c>
      <c r="H172" t="s">
        <v>397</v>
      </c>
      <c r="I172" t="s">
        <v>160</v>
      </c>
      <c r="J172" t="s">
        <v>401</v>
      </c>
      <c r="L172" t="s">
        <v>305</v>
      </c>
      <c r="N172" t="b">
        <v>0</v>
      </c>
      <c r="O172" t="b">
        <v>0</v>
      </c>
      <c r="P172" t="s">
        <v>60</v>
      </c>
      <c r="Q172" t="s">
        <v>61</v>
      </c>
      <c r="R172" t="s">
        <v>125</v>
      </c>
      <c r="W172" t="s">
        <v>125</v>
      </c>
      <c r="X172" t="s">
        <v>64</v>
      </c>
      <c r="AB172" t="b">
        <v>0</v>
      </c>
      <c r="AC172" t="b">
        <v>0</v>
      </c>
      <c r="AE172" t="b">
        <v>0</v>
      </c>
      <c r="AG172" t="b">
        <v>0</v>
      </c>
      <c r="AI172" t="b">
        <v>0</v>
      </c>
      <c r="AK172" t="s">
        <v>94</v>
      </c>
      <c r="AL172" t="s">
        <v>66</v>
      </c>
      <c r="AM172" s="3">
        <v>46277</v>
      </c>
      <c r="AN172" s="4">
        <v>0.99234953703703699</v>
      </c>
      <c r="AO172" t="s">
        <v>423</v>
      </c>
      <c r="AP172" t="s">
        <v>424</v>
      </c>
      <c r="AQ172" t="s">
        <v>69</v>
      </c>
      <c r="AR172">
        <v>86.5</v>
      </c>
      <c r="AS172" t="s">
        <v>70</v>
      </c>
      <c r="AT172" t="s">
        <v>409</v>
      </c>
      <c r="AU172" t="s">
        <v>221</v>
      </c>
      <c r="AV172" t="s">
        <v>73</v>
      </c>
      <c r="AW172" t="str">
        <f t="shared" si="4"/>
        <v>Ingeniería Química</v>
      </c>
      <c r="AX172" t="str">
        <f t="shared" si="5"/>
        <v>300 7487102</v>
      </c>
      <c r="AY172" t="str">
        <f>IFERROR(INDEX(Vacantes!$C:$C,MATCH(AT172,Vacantes!$A:$A,0)),"")</f>
        <v>Indugral</v>
      </c>
      <c r="AZ172" t="str">
        <f>IFERROR(INDEX(Vacantes!$D:$D,MATCH(AT172,Vacantes!$A:$A,0)),"")</f>
        <v>15 de octubre de 2026</v>
      </c>
      <c r="BA172" t="str">
        <f>IFERROR(INDEX(Vacantes!$E:$E,MATCH(AT172,Vacantes!$A:$A,0)),"")</f>
        <v>12:30 p.m. a 4:00 p.m.</v>
      </c>
    </row>
    <row r="173" spans="1:53" x14ac:dyDescent="0.15">
      <c r="A173" t="s">
        <v>425</v>
      </c>
      <c r="B173" t="s">
        <v>426</v>
      </c>
      <c r="C173" t="s">
        <v>55</v>
      </c>
      <c r="D173">
        <v>1005784074</v>
      </c>
      <c r="E173" t="s">
        <v>76</v>
      </c>
      <c r="F173">
        <v>25</v>
      </c>
      <c r="G173" t="b">
        <v>1</v>
      </c>
      <c r="H173" t="s">
        <v>378</v>
      </c>
      <c r="I173" t="s">
        <v>160</v>
      </c>
      <c r="J173" t="s">
        <v>401</v>
      </c>
      <c r="L173" t="s">
        <v>305</v>
      </c>
      <c r="N173" t="b">
        <v>0</v>
      </c>
      <c r="O173" t="b">
        <v>0</v>
      </c>
      <c r="P173" t="s">
        <v>60</v>
      </c>
      <c r="Q173" t="s">
        <v>61</v>
      </c>
      <c r="R173" t="s">
        <v>125</v>
      </c>
      <c r="W173" t="s">
        <v>135</v>
      </c>
      <c r="AB173" t="b">
        <v>0</v>
      </c>
      <c r="AC173" t="b">
        <v>0</v>
      </c>
      <c r="AE173" t="b">
        <v>0</v>
      </c>
      <c r="AG173" t="b">
        <v>0</v>
      </c>
      <c r="AI173" t="b">
        <v>0</v>
      </c>
      <c r="AK173" t="s">
        <v>94</v>
      </c>
      <c r="AL173" t="s">
        <v>66</v>
      </c>
      <c r="AM173" s="3">
        <v>46261</v>
      </c>
      <c r="AN173" s="4">
        <v>0.85281249999999997</v>
      </c>
      <c r="AO173" t="s">
        <v>427</v>
      </c>
      <c r="AP173" t="s">
        <v>428</v>
      </c>
      <c r="AQ173" t="s">
        <v>69</v>
      </c>
      <c r="AR173">
        <v>74.400000000000006</v>
      </c>
      <c r="AS173" t="s">
        <v>70</v>
      </c>
      <c r="AT173" t="s">
        <v>409</v>
      </c>
      <c r="AU173" t="s">
        <v>221</v>
      </c>
      <c r="AV173" t="s">
        <v>73</v>
      </c>
      <c r="AW173" t="str">
        <f t="shared" si="4"/>
        <v>Ingeniería Química</v>
      </c>
      <c r="AX173" t="str">
        <f t="shared" si="5"/>
        <v>300 5568536</v>
      </c>
      <c r="AY173" t="str">
        <f>IFERROR(INDEX(Vacantes!$C:$C,MATCH(AT173,Vacantes!$A:$A,0)),"")</f>
        <v>Indugral</v>
      </c>
      <c r="AZ173" t="str">
        <f>IFERROR(INDEX(Vacantes!$D:$D,MATCH(AT173,Vacantes!$A:$A,0)),"")</f>
        <v>15 de octubre de 2026</v>
      </c>
      <c r="BA173" t="str">
        <f>IFERROR(INDEX(Vacantes!$E:$E,MATCH(AT173,Vacantes!$A:$A,0)),"")</f>
        <v>12:30 p.m. a 4:00 p.m.</v>
      </c>
    </row>
    <row r="174" spans="1:53" x14ac:dyDescent="0.15">
      <c r="A174" t="s">
        <v>429</v>
      </c>
      <c r="B174" t="s">
        <v>430</v>
      </c>
      <c r="C174" t="s">
        <v>55</v>
      </c>
      <c r="D174">
        <v>1006053135</v>
      </c>
      <c r="E174" t="s">
        <v>56</v>
      </c>
      <c r="F174">
        <v>23</v>
      </c>
      <c r="G174" t="b">
        <v>1</v>
      </c>
      <c r="H174" t="s">
        <v>397</v>
      </c>
      <c r="I174" t="s">
        <v>160</v>
      </c>
      <c r="J174" t="s">
        <v>401</v>
      </c>
      <c r="L174" t="s">
        <v>305</v>
      </c>
      <c r="N174" t="b">
        <v>0</v>
      </c>
      <c r="O174" t="b">
        <v>0</v>
      </c>
      <c r="P174" t="s">
        <v>60</v>
      </c>
      <c r="Q174" t="s">
        <v>60</v>
      </c>
      <c r="R174" t="s">
        <v>125</v>
      </c>
      <c r="W174" t="s">
        <v>125</v>
      </c>
      <c r="X174" t="s">
        <v>315</v>
      </c>
      <c r="AB174" t="b">
        <v>0</v>
      </c>
      <c r="AC174" t="b">
        <v>0</v>
      </c>
      <c r="AE174" t="b">
        <v>0</v>
      </c>
      <c r="AG174" t="b">
        <v>0</v>
      </c>
      <c r="AI174" t="b">
        <v>0</v>
      </c>
      <c r="AK174" t="s">
        <v>202</v>
      </c>
      <c r="AL174" t="s">
        <v>66</v>
      </c>
      <c r="AM174" s="3">
        <v>46267</v>
      </c>
      <c r="AN174" s="4">
        <v>0.92650462962962965</v>
      </c>
      <c r="AO174" t="s">
        <v>431</v>
      </c>
      <c r="AP174" t="s">
        <v>432</v>
      </c>
      <c r="AQ174" t="s">
        <v>69</v>
      </c>
      <c r="AR174">
        <v>92.9</v>
      </c>
      <c r="AS174" t="s">
        <v>70</v>
      </c>
      <c r="AT174" t="s">
        <v>409</v>
      </c>
      <c r="AU174" t="s">
        <v>221</v>
      </c>
      <c r="AV174" t="s">
        <v>73</v>
      </c>
      <c r="AW174" t="str">
        <f t="shared" si="4"/>
        <v>Ingeniería Química</v>
      </c>
      <c r="AX174" t="str">
        <f t="shared" si="5"/>
        <v>318 5139065</v>
      </c>
      <c r="AY174" t="str">
        <f>IFERROR(INDEX(Vacantes!$C:$C,MATCH(AT174,Vacantes!$A:$A,0)),"")</f>
        <v>Indugral</v>
      </c>
      <c r="AZ174" t="str">
        <f>IFERROR(INDEX(Vacantes!$D:$D,MATCH(AT174,Vacantes!$A:$A,0)),"")</f>
        <v>15 de octubre de 2026</v>
      </c>
      <c r="BA174" t="str">
        <f>IFERROR(INDEX(Vacantes!$E:$E,MATCH(AT174,Vacantes!$A:$A,0)),"")</f>
        <v>12:30 p.m. a 4:00 p.m.</v>
      </c>
    </row>
    <row r="175" spans="1:53" x14ac:dyDescent="0.15">
      <c r="A175" t="s">
        <v>433</v>
      </c>
      <c r="B175" t="s">
        <v>434</v>
      </c>
      <c r="C175" t="s">
        <v>55</v>
      </c>
      <c r="D175">
        <v>1004419222</v>
      </c>
      <c r="E175" t="s">
        <v>76</v>
      </c>
      <c r="F175">
        <v>23</v>
      </c>
      <c r="G175" t="b">
        <v>1</v>
      </c>
      <c r="H175" t="s">
        <v>397</v>
      </c>
      <c r="I175" t="s">
        <v>160</v>
      </c>
      <c r="J175" t="s">
        <v>401</v>
      </c>
      <c r="L175" t="s">
        <v>339</v>
      </c>
      <c r="N175" t="b">
        <v>0</v>
      </c>
      <c r="O175" t="b">
        <v>0</v>
      </c>
      <c r="P175" t="s">
        <v>144</v>
      </c>
      <c r="Q175" t="s">
        <v>144</v>
      </c>
      <c r="R175" t="s">
        <v>125</v>
      </c>
      <c r="W175" t="s">
        <v>125</v>
      </c>
      <c r="X175" t="s">
        <v>300</v>
      </c>
      <c r="AB175" t="b">
        <v>0</v>
      </c>
      <c r="AC175" t="b">
        <v>0</v>
      </c>
      <c r="AE175" t="b">
        <v>0</v>
      </c>
      <c r="AG175" t="b">
        <v>0</v>
      </c>
      <c r="AI175" t="b">
        <v>0</v>
      </c>
      <c r="AK175" t="s">
        <v>94</v>
      </c>
      <c r="AL175" t="s">
        <v>66</v>
      </c>
      <c r="AM175" s="3">
        <v>46267</v>
      </c>
      <c r="AN175" s="4">
        <v>0.77230324074074075</v>
      </c>
      <c r="AO175" t="s">
        <v>435</v>
      </c>
      <c r="AP175" t="s">
        <v>436</v>
      </c>
      <c r="AQ175" t="s">
        <v>69</v>
      </c>
      <c r="AR175">
        <v>91.8</v>
      </c>
      <c r="AS175" t="s">
        <v>70</v>
      </c>
      <c r="AT175" t="s">
        <v>409</v>
      </c>
      <c r="AU175" t="s">
        <v>221</v>
      </c>
      <c r="AV175" t="s">
        <v>184</v>
      </c>
      <c r="AW175" t="str">
        <f t="shared" si="4"/>
        <v>Química</v>
      </c>
      <c r="AX175" t="str">
        <f t="shared" si="5"/>
        <v>317 1662760</v>
      </c>
      <c r="AY175" t="str">
        <f>IFERROR(INDEX(Vacantes!$C:$C,MATCH(AT175,Vacantes!$A:$A,0)),"")</f>
        <v>Indugral</v>
      </c>
      <c r="AZ175" t="str">
        <f>IFERROR(INDEX(Vacantes!$D:$D,MATCH(AT175,Vacantes!$A:$A,0)),"")</f>
        <v>15 de octubre de 2026</v>
      </c>
      <c r="BA175" t="str">
        <f>IFERROR(INDEX(Vacantes!$E:$E,MATCH(AT175,Vacantes!$A:$A,0)),"")</f>
        <v>12:30 p.m. a 4:00 p.m.</v>
      </c>
    </row>
    <row r="176" spans="1:53" x14ac:dyDescent="0.15">
      <c r="A176" t="s">
        <v>665</v>
      </c>
      <c r="B176" t="s">
        <v>666</v>
      </c>
      <c r="C176" t="s">
        <v>55</v>
      </c>
      <c r="D176">
        <v>1006101876</v>
      </c>
      <c r="E176" t="s">
        <v>56</v>
      </c>
      <c r="F176">
        <v>23</v>
      </c>
      <c r="G176" t="b">
        <v>1</v>
      </c>
      <c r="H176" t="s">
        <v>397</v>
      </c>
      <c r="I176" t="s">
        <v>160</v>
      </c>
      <c r="J176" t="s">
        <v>401</v>
      </c>
      <c r="L176" t="s">
        <v>305</v>
      </c>
      <c r="N176" t="b">
        <v>0</v>
      </c>
      <c r="O176" t="b">
        <v>0</v>
      </c>
      <c r="P176" t="s">
        <v>60</v>
      </c>
      <c r="Q176" t="s">
        <v>60</v>
      </c>
      <c r="R176" t="s">
        <v>125</v>
      </c>
      <c r="W176" t="s">
        <v>125</v>
      </c>
      <c r="X176" t="s">
        <v>387</v>
      </c>
      <c r="AB176" t="b">
        <v>0</v>
      </c>
      <c r="AC176" t="b">
        <v>0</v>
      </c>
      <c r="AE176" t="b">
        <v>0</v>
      </c>
      <c r="AG176" t="b">
        <v>0</v>
      </c>
      <c r="AI176" t="b">
        <v>0</v>
      </c>
      <c r="AK176" t="s">
        <v>202</v>
      </c>
      <c r="AL176" t="s">
        <v>66</v>
      </c>
      <c r="AM176" s="3">
        <v>46267</v>
      </c>
      <c r="AN176" s="4">
        <v>0.55072916666666671</v>
      </c>
      <c r="AO176">
        <v>3135404291</v>
      </c>
      <c r="AP176" t="s">
        <v>667</v>
      </c>
      <c r="AQ176" t="s">
        <v>69</v>
      </c>
      <c r="AR176">
        <v>88.5</v>
      </c>
      <c r="AS176" t="s">
        <v>70</v>
      </c>
      <c r="AT176" t="s">
        <v>668</v>
      </c>
      <c r="AU176" t="s">
        <v>221</v>
      </c>
      <c r="AV176" t="s">
        <v>73</v>
      </c>
      <c r="AW176" t="str">
        <f t="shared" si="4"/>
        <v>Ingeniería Química</v>
      </c>
      <c r="AX176" t="str">
        <f t="shared" si="5"/>
        <v>3135404291</v>
      </c>
      <c r="AY176" t="str">
        <f>IFERROR(INDEX(Vacantes!$C:$C,MATCH(AT176,Vacantes!$A:$A,0)),"")</f>
        <v>Indugral</v>
      </c>
      <c r="AZ176" t="str">
        <f>IFERROR(INDEX(Vacantes!$D:$D,MATCH(AT176,Vacantes!$A:$A,0)),"")</f>
        <v>15 de octubre de 2026</v>
      </c>
      <c r="BA176" t="str">
        <f>IFERROR(INDEX(Vacantes!$E:$E,MATCH(AT176,Vacantes!$A:$A,0)),"")</f>
        <v>12:30 p.m. a 4:00 p.m.</v>
      </c>
    </row>
    <row r="177" spans="1:53" x14ac:dyDescent="0.15">
      <c r="A177" t="s">
        <v>669</v>
      </c>
      <c r="B177" t="s">
        <v>670</v>
      </c>
      <c r="C177" t="s">
        <v>55</v>
      </c>
      <c r="D177">
        <v>1006427742</v>
      </c>
      <c r="E177" t="s">
        <v>76</v>
      </c>
      <c r="F177">
        <v>23</v>
      </c>
      <c r="G177" t="b">
        <v>1</v>
      </c>
      <c r="I177" t="s">
        <v>160</v>
      </c>
      <c r="J177" t="s">
        <v>401</v>
      </c>
      <c r="L177" t="s">
        <v>143</v>
      </c>
      <c r="N177" t="b">
        <v>1</v>
      </c>
      <c r="O177" t="b">
        <v>0</v>
      </c>
      <c r="P177" t="s">
        <v>60</v>
      </c>
      <c r="Q177" t="s">
        <v>60</v>
      </c>
      <c r="R177" t="s">
        <v>125</v>
      </c>
      <c r="W177" t="s">
        <v>135</v>
      </c>
      <c r="AB177" t="b">
        <v>0</v>
      </c>
      <c r="AC177" t="b">
        <v>0</v>
      </c>
      <c r="AE177" t="b">
        <v>0</v>
      </c>
      <c r="AG177" t="b">
        <v>0</v>
      </c>
      <c r="AI177" t="b">
        <v>0</v>
      </c>
      <c r="AK177" t="s">
        <v>94</v>
      </c>
      <c r="AL177" t="s">
        <v>66</v>
      </c>
      <c r="AM177" s="3">
        <v>46255</v>
      </c>
      <c r="AN177" s="4">
        <v>0.41465277777777781</v>
      </c>
      <c r="AO177" t="s">
        <v>671</v>
      </c>
      <c r="AP177" t="s">
        <v>672</v>
      </c>
      <c r="AQ177" t="s">
        <v>69</v>
      </c>
      <c r="AR177">
        <v>92.5</v>
      </c>
      <c r="AS177" t="s">
        <v>70</v>
      </c>
      <c r="AT177" t="s">
        <v>668</v>
      </c>
      <c r="AU177" t="s">
        <v>221</v>
      </c>
      <c r="AV177" t="s">
        <v>73</v>
      </c>
      <c r="AW177" t="str">
        <f t="shared" si="4"/>
        <v>Ingeniería Industrial</v>
      </c>
      <c r="AX177" t="str">
        <f t="shared" si="5"/>
        <v>323 3317100</v>
      </c>
      <c r="AY177" t="str">
        <f>IFERROR(INDEX(Vacantes!$C:$C,MATCH(AT177,Vacantes!$A:$A,0)),"")</f>
        <v>Indugral</v>
      </c>
      <c r="AZ177" t="str">
        <f>IFERROR(INDEX(Vacantes!$D:$D,MATCH(AT177,Vacantes!$A:$A,0)),"")</f>
        <v>15 de octubre de 2026</v>
      </c>
      <c r="BA177" t="str">
        <f>IFERROR(INDEX(Vacantes!$E:$E,MATCH(AT177,Vacantes!$A:$A,0)),"")</f>
        <v>12:30 p.m. a 4:00 p.m.</v>
      </c>
    </row>
    <row r="178" spans="1:53" x14ac:dyDescent="0.15">
      <c r="A178" t="s">
        <v>673</v>
      </c>
      <c r="B178" t="s">
        <v>674</v>
      </c>
      <c r="C178" t="s">
        <v>55</v>
      </c>
      <c r="D178">
        <v>1004154247</v>
      </c>
      <c r="E178" t="s">
        <v>56</v>
      </c>
      <c r="F178">
        <v>24</v>
      </c>
      <c r="G178" t="b">
        <v>1</v>
      </c>
      <c r="I178" t="s">
        <v>160</v>
      </c>
      <c r="J178" t="s">
        <v>413</v>
      </c>
      <c r="L178" t="s">
        <v>143</v>
      </c>
      <c r="N178" t="b">
        <v>0</v>
      </c>
      <c r="O178" t="b">
        <v>0</v>
      </c>
      <c r="P178" t="s">
        <v>60</v>
      </c>
      <c r="Q178" t="s">
        <v>144</v>
      </c>
      <c r="R178" t="s">
        <v>125</v>
      </c>
      <c r="W178" t="s">
        <v>135</v>
      </c>
      <c r="AB178" t="b">
        <v>0</v>
      </c>
      <c r="AC178" t="b">
        <v>0</v>
      </c>
      <c r="AE178" t="b">
        <v>0</v>
      </c>
      <c r="AG178" t="b">
        <v>0</v>
      </c>
      <c r="AI178" t="b">
        <v>0</v>
      </c>
      <c r="AK178" t="s">
        <v>65</v>
      </c>
      <c r="AL178" t="s">
        <v>66</v>
      </c>
      <c r="AM178" s="3">
        <v>46257</v>
      </c>
      <c r="AN178" s="4">
        <v>0.77711805555555558</v>
      </c>
      <c r="AO178" t="s">
        <v>675</v>
      </c>
      <c r="AP178" t="s">
        <v>676</v>
      </c>
      <c r="AQ178" t="s">
        <v>69</v>
      </c>
      <c r="AR178">
        <v>89.6</v>
      </c>
      <c r="AS178" t="s">
        <v>70</v>
      </c>
      <c r="AT178" t="s">
        <v>668</v>
      </c>
      <c r="AU178" t="s">
        <v>221</v>
      </c>
      <c r="AV178" t="s">
        <v>73</v>
      </c>
      <c r="AW178" t="str">
        <f t="shared" si="4"/>
        <v>Ingeniería Industrial</v>
      </c>
      <c r="AX178" t="str">
        <f t="shared" si="5"/>
        <v>320 8753642</v>
      </c>
      <c r="AY178" t="str">
        <f>IFERROR(INDEX(Vacantes!$C:$C,MATCH(AT178,Vacantes!$A:$A,0)),"")</f>
        <v>Indugral</v>
      </c>
      <c r="AZ178" t="str">
        <f>IFERROR(INDEX(Vacantes!$D:$D,MATCH(AT178,Vacantes!$A:$A,0)),"")</f>
        <v>15 de octubre de 2026</v>
      </c>
      <c r="BA178" t="str">
        <f>IFERROR(INDEX(Vacantes!$E:$E,MATCH(AT178,Vacantes!$A:$A,0)),"")</f>
        <v>12:30 p.m. a 4:00 p.m.</v>
      </c>
    </row>
    <row r="179" spans="1:53" x14ac:dyDescent="0.15">
      <c r="A179" t="s">
        <v>677</v>
      </c>
      <c r="B179" t="s">
        <v>678</v>
      </c>
      <c r="C179" t="s">
        <v>55</v>
      </c>
      <c r="D179">
        <v>1004691011</v>
      </c>
      <c r="E179" t="s">
        <v>56</v>
      </c>
      <c r="F179">
        <v>23</v>
      </c>
      <c r="G179" t="b">
        <v>1</v>
      </c>
      <c r="H179" t="s">
        <v>397</v>
      </c>
      <c r="I179" t="s">
        <v>160</v>
      </c>
      <c r="J179" t="s">
        <v>401</v>
      </c>
      <c r="L179" t="s">
        <v>612</v>
      </c>
      <c r="N179" t="b">
        <v>1</v>
      </c>
      <c r="O179" t="b">
        <v>0</v>
      </c>
      <c r="P179" t="s">
        <v>144</v>
      </c>
      <c r="Q179" t="s">
        <v>60</v>
      </c>
      <c r="R179" t="s">
        <v>125</v>
      </c>
      <c r="W179" t="s">
        <v>135</v>
      </c>
      <c r="AB179" t="b">
        <v>0</v>
      </c>
      <c r="AC179" t="b">
        <v>0</v>
      </c>
      <c r="AE179" t="b">
        <v>0</v>
      </c>
      <c r="AG179" t="b">
        <v>0</v>
      </c>
      <c r="AI179" t="b">
        <v>0</v>
      </c>
      <c r="AK179" t="s">
        <v>153</v>
      </c>
      <c r="AL179" t="s">
        <v>66</v>
      </c>
      <c r="AM179" s="3">
        <v>46274</v>
      </c>
      <c r="AN179" s="4">
        <v>0.57861111111111108</v>
      </c>
      <c r="AO179">
        <v>0</v>
      </c>
      <c r="AP179" t="s">
        <v>656</v>
      </c>
      <c r="AQ179" t="s">
        <v>69</v>
      </c>
      <c r="AR179">
        <v>97.8</v>
      </c>
      <c r="AS179" t="s">
        <v>70</v>
      </c>
      <c r="AT179" t="s">
        <v>668</v>
      </c>
      <c r="AU179" t="s">
        <v>221</v>
      </c>
      <c r="AV179" t="s">
        <v>73</v>
      </c>
      <c r="AW179" t="str">
        <f t="shared" si="4"/>
        <v>Ingeniería Mecánica</v>
      </c>
      <c r="AX179" t="str">
        <f t="shared" si="5"/>
        <v/>
      </c>
      <c r="AY179" t="str">
        <f>IFERROR(INDEX(Vacantes!$C:$C,MATCH(AT179,Vacantes!$A:$A,0)),"")</f>
        <v>Indugral</v>
      </c>
      <c r="AZ179" t="str">
        <f>IFERROR(INDEX(Vacantes!$D:$D,MATCH(AT179,Vacantes!$A:$A,0)),"")</f>
        <v>15 de octubre de 2026</v>
      </c>
      <c r="BA179" t="str">
        <f>IFERROR(INDEX(Vacantes!$E:$E,MATCH(AT179,Vacantes!$A:$A,0)),"")</f>
        <v>12:30 p.m. a 4:00 p.m.</v>
      </c>
    </row>
    <row r="180" spans="1:53" x14ac:dyDescent="0.15">
      <c r="A180" t="s">
        <v>679</v>
      </c>
      <c r="B180" t="s">
        <v>680</v>
      </c>
      <c r="C180" t="s">
        <v>55</v>
      </c>
      <c r="D180">
        <v>1089512175</v>
      </c>
      <c r="E180" t="s">
        <v>56</v>
      </c>
      <c r="F180">
        <v>21</v>
      </c>
      <c r="G180" t="b">
        <v>1</v>
      </c>
      <c r="H180" t="s">
        <v>397</v>
      </c>
      <c r="I180" t="s">
        <v>160</v>
      </c>
      <c r="J180" t="s">
        <v>401</v>
      </c>
      <c r="L180" t="s">
        <v>143</v>
      </c>
      <c r="N180" t="b">
        <v>1</v>
      </c>
      <c r="O180" t="b">
        <v>0</v>
      </c>
      <c r="P180" t="s">
        <v>144</v>
      </c>
      <c r="Q180" t="s">
        <v>60</v>
      </c>
      <c r="R180" t="s">
        <v>125</v>
      </c>
      <c r="W180" t="s">
        <v>135</v>
      </c>
      <c r="AB180" t="b">
        <v>0</v>
      </c>
      <c r="AC180" t="b">
        <v>0</v>
      </c>
      <c r="AE180" t="b">
        <v>0</v>
      </c>
      <c r="AG180" t="b">
        <v>0</v>
      </c>
      <c r="AI180" t="b">
        <v>0</v>
      </c>
      <c r="AK180" t="s">
        <v>94</v>
      </c>
      <c r="AL180" t="s">
        <v>66</v>
      </c>
      <c r="AM180" s="3">
        <v>46278</v>
      </c>
      <c r="AN180" s="4">
        <v>0.41063657407407411</v>
      </c>
      <c r="AO180" t="s">
        <v>681</v>
      </c>
      <c r="AP180" t="s">
        <v>682</v>
      </c>
      <c r="AQ180" t="s">
        <v>69</v>
      </c>
      <c r="AR180">
        <v>89.5</v>
      </c>
      <c r="AS180" t="s">
        <v>70</v>
      </c>
      <c r="AT180" t="s">
        <v>668</v>
      </c>
      <c r="AU180" t="s">
        <v>221</v>
      </c>
      <c r="AV180" t="s">
        <v>73</v>
      </c>
      <c r="AW180" t="str">
        <f t="shared" si="4"/>
        <v>Ingeniería Industrial</v>
      </c>
      <c r="AX180" t="str">
        <f t="shared" si="5"/>
        <v>320 5293145</v>
      </c>
      <c r="AY180" t="str">
        <f>IFERROR(INDEX(Vacantes!$C:$C,MATCH(AT180,Vacantes!$A:$A,0)),"")</f>
        <v>Indugral</v>
      </c>
      <c r="AZ180" t="str">
        <f>IFERROR(INDEX(Vacantes!$D:$D,MATCH(AT180,Vacantes!$A:$A,0)),"")</f>
        <v>15 de octubre de 2026</v>
      </c>
      <c r="BA180" t="str">
        <f>IFERROR(INDEX(Vacantes!$E:$E,MATCH(AT180,Vacantes!$A:$A,0)),"")</f>
        <v>12:30 p.m. a 4:00 p.m.</v>
      </c>
    </row>
    <row r="181" spans="1:53" x14ac:dyDescent="0.15">
      <c r="A181" t="s">
        <v>683</v>
      </c>
      <c r="B181" t="s">
        <v>684</v>
      </c>
      <c r="C181" t="s">
        <v>55</v>
      </c>
      <c r="D181">
        <v>1002777341</v>
      </c>
      <c r="E181" t="s">
        <v>56</v>
      </c>
      <c r="F181">
        <v>24</v>
      </c>
      <c r="G181" t="b">
        <v>1</v>
      </c>
      <c r="I181" t="s">
        <v>160</v>
      </c>
      <c r="J181" t="s">
        <v>413</v>
      </c>
      <c r="L181" t="s">
        <v>143</v>
      </c>
      <c r="N181" t="b">
        <v>0</v>
      </c>
      <c r="O181" t="b">
        <v>0</v>
      </c>
      <c r="P181" t="s">
        <v>60</v>
      </c>
      <c r="Q181" t="s">
        <v>60</v>
      </c>
      <c r="R181" t="s">
        <v>125</v>
      </c>
      <c r="W181" t="s">
        <v>135</v>
      </c>
      <c r="AB181" t="b">
        <v>0</v>
      </c>
      <c r="AC181" t="b">
        <v>0</v>
      </c>
      <c r="AE181" t="b">
        <v>0</v>
      </c>
      <c r="AG181" t="b">
        <v>0</v>
      </c>
      <c r="AI181" t="b">
        <v>0</v>
      </c>
      <c r="AK181" t="s">
        <v>94</v>
      </c>
      <c r="AL181" t="s">
        <v>66</v>
      </c>
      <c r="AM181" s="3">
        <v>46277</v>
      </c>
      <c r="AN181" s="4">
        <v>0.5423958333333333</v>
      </c>
      <c r="AO181" t="s">
        <v>685</v>
      </c>
      <c r="AP181" t="s">
        <v>686</v>
      </c>
      <c r="AQ181" t="s">
        <v>69</v>
      </c>
      <c r="AR181">
        <v>78.7</v>
      </c>
      <c r="AS181" t="s">
        <v>70</v>
      </c>
      <c r="AT181" t="s">
        <v>668</v>
      </c>
      <c r="AU181" t="s">
        <v>221</v>
      </c>
      <c r="AV181" t="s">
        <v>73</v>
      </c>
      <c r="AW181" t="str">
        <f t="shared" si="4"/>
        <v>Ingeniería Industrial</v>
      </c>
      <c r="AX181" t="str">
        <f t="shared" si="5"/>
        <v>314 8443067</v>
      </c>
      <c r="AY181" t="str">
        <f>IFERROR(INDEX(Vacantes!$C:$C,MATCH(AT181,Vacantes!$A:$A,0)),"")</f>
        <v>Indugral</v>
      </c>
      <c r="AZ181" t="str">
        <f>IFERROR(INDEX(Vacantes!$D:$D,MATCH(AT181,Vacantes!$A:$A,0)),"")</f>
        <v>15 de octubre de 2026</v>
      </c>
      <c r="BA181" t="str">
        <f>IFERROR(INDEX(Vacantes!$E:$E,MATCH(AT181,Vacantes!$A:$A,0)),"")</f>
        <v>12:30 p.m. a 4:00 p.m.</v>
      </c>
    </row>
    <row r="182" spans="1:53" x14ac:dyDescent="0.15">
      <c r="A182" t="s">
        <v>687</v>
      </c>
      <c r="B182" t="s">
        <v>688</v>
      </c>
      <c r="C182" t="s">
        <v>55</v>
      </c>
      <c r="D182">
        <v>1193600407</v>
      </c>
      <c r="E182" t="s">
        <v>56</v>
      </c>
      <c r="F182">
        <v>23</v>
      </c>
      <c r="G182" t="b">
        <v>1</v>
      </c>
      <c r="H182" t="s">
        <v>194</v>
      </c>
      <c r="I182" t="s">
        <v>160</v>
      </c>
      <c r="J182" t="s">
        <v>495</v>
      </c>
      <c r="L182" t="s">
        <v>124</v>
      </c>
      <c r="N182" t="b">
        <v>1</v>
      </c>
      <c r="O182" t="b">
        <v>0</v>
      </c>
      <c r="P182" t="s">
        <v>60</v>
      </c>
      <c r="Q182" t="s">
        <v>61</v>
      </c>
      <c r="R182" t="s">
        <v>125</v>
      </c>
      <c r="W182" t="s">
        <v>125</v>
      </c>
      <c r="X182" t="s">
        <v>300</v>
      </c>
      <c r="AB182" t="b">
        <v>0</v>
      </c>
      <c r="AC182" t="b">
        <v>0</v>
      </c>
      <c r="AE182" t="b">
        <v>0</v>
      </c>
      <c r="AG182" t="b">
        <v>0</v>
      </c>
      <c r="AI182" t="b">
        <v>0</v>
      </c>
      <c r="AK182" t="s">
        <v>94</v>
      </c>
      <c r="AL182" t="s">
        <v>66</v>
      </c>
      <c r="AM182" s="3">
        <v>46277</v>
      </c>
      <c r="AN182" s="4">
        <v>0.51954861111111106</v>
      </c>
      <c r="AO182" t="s">
        <v>689</v>
      </c>
      <c r="AP182" t="s">
        <v>690</v>
      </c>
      <c r="AQ182" t="s">
        <v>69</v>
      </c>
      <c r="AR182">
        <v>91.2</v>
      </c>
      <c r="AS182" t="s">
        <v>70</v>
      </c>
      <c r="AT182" t="s">
        <v>668</v>
      </c>
      <c r="AU182" t="s">
        <v>221</v>
      </c>
      <c r="AV182" t="s">
        <v>73</v>
      </c>
      <c r="AW182" t="str">
        <f t="shared" si="4"/>
        <v>Ingeniería Mecatrónica</v>
      </c>
      <c r="AX182" t="str">
        <f t="shared" si="5"/>
        <v>314 5015242</v>
      </c>
      <c r="AY182" t="str">
        <f>IFERROR(INDEX(Vacantes!$C:$C,MATCH(AT182,Vacantes!$A:$A,0)),"")</f>
        <v>Indugral</v>
      </c>
      <c r="AZ182" t="str">
        <f>IFERROR(INDEX(Vacantes!$D:$D,MATCH(AT182,Vacantes!$A:$A,0)),"")</f>
        <v>15 de octubre de 2026</v>
      </c>
      <c r="BA182" t="str">
        <f>IFERROR(INDEX(Vacantes!$E:$E,MATCH(AT182,Vacantes!$A:$A,0)),"")</f>
        <v>12:30 p.m. a 4:00 p.m.</v>
      </c>
    </row>
    <row r="183" spans="1:53" x14ac:dyDescent="0.15">
      <c r="A183" t="s">
        <v>1619</v>
      </c>
      <c r="B183" t="s">
        <v>1620</v>
      </c>
      <c r="C183" t="s">
        <v>55</v>
      </c>
      <c r="D183">
        <v>1021394536</v>
      </c>
      <c r="E183" t="s">
        <v>76</v>
      </c>
      <c r="F183">
        <v>21</v>
      </c>
      <c r="G183" t="b">
        <v>1</v>
      </c>
      <c r="H183" t="s">
        <v>397</v>
      </c>
      <c r="I183" t="s">
        <v>160</v>
      </c>
      <c r="J183" t="s">
        <v>132</v>
      </c>
      <c r="K183" t="s">
        <v>385</v>
      </c>
      <c r="L183" t="s">
        <v>132</v>
      </c>
      <c r="M183" t="s">
        <v>1357</v>
      </c>
      <c r="N183" t="b">
        <v>0</v>
      </c>
      <c r="O183" t="b">
        <v>0</v>
      </c>
      <c r="P183" t="s">
        <v>60</v>
      </c>
      <c r="Q183" t="s">
        <v>60</v>
      </c>
      <c r="R183" t="s">
        <v>125</v>
      </c>
      <c r="W183" t="s">
        <v>125</v>
      </c>
      <c r="X183" t="s">
        <v>387</v>
      </c>
      <c r="AB183" t="b">
        <v>0</v>
      </c>
      <c r="AC183" t="b">
        <v>0</v>
      </c>
      <c r="AE183" t="b">
        <v>0</v>
      </c>
      <c r="AG183" t="b">
        <v>0</v>
      </c>
      <c r="AI183" t="b">
        <v>0</v>
      </c>
      <c r="AK183" t="s">
        <v>202</v>
      </c>
      <c r="AL183" t="s">
        <v>66</v>
      </c>
      <c r="AM183" s="3">
        <v>46262</v>
      </c>
      <c r="AN183" s="4">
        <v>0.46675925925925932</v>
      </c>
      <c r="AO183" t="s">
        <v>1621</v>
      </c>
      <c r="AP183" t="s">
        <v>1622</v>
      </c>
      <c r="AQ183" t="s">
        <v>69</v>
      </c>
      <c r="AR183">
        <v>85.6</v>
      </c>
      <c r="AS183" t="s">
        <v>70</v>
      </c>
      <c r="AT183" t="s">
        <v>409</v>
      </c>
      <c r="AV183" t="s">
        <v>73</v>
      </c>
      <c r="AW183" t="str">
        <f t="shared" si="4"/>
        <v>Química Farmacéutica</v>
      </c>
      <c r="AX183" t="str">
        <f t="shared" si="5"/>
        <v>311 2165948</v>
      </c>
      <c r="AY183" t="str">
        <f>IFERROR(INDEX(Vacantes!$C:$C,MATCH(AT183,Vacantes!$A:$A,0)),"")</f>
        <v>Indugral</v>
      </c>
      <c r="AZ183" t="str">
        <f>IFERROR(INDEX(Vacantes!$D:$D,MATCH(AT183,Vacantes!$A:$A,0)),"")</f>
        <v>15 de octubre de 2026</v>
      </c>
      <c r="BA183" t="str">
        <f>IFERROR(INDEX(Vacantes!$E:$E,MATCH(AT183,Vacantes!$A:$A,0)),"")</f>
        <v>12:30 p.m. a 4:00 p.m.</v>
      </c>
    </row>
    <row r="184" spans="1:53" x14ac:dyDescent="0.15">
      <c r="A184" t="s">
        <v>1623</v>
      </c>
      <c r="B184" t="s">
        <v>1624</v>
      </c>
      <c r="C184" t="s">
        <v>55</v>
      </c>
      <c r="D184">
        <v>1109665069</v>
      </c>
      <c r="E184" t="s">
        <v>76</v>
      </c>
      <c r="F184">
        <v>20</v>
      </c>
      <c r="G184" t="b">
        <v>1</v>
      </c>
      <c r="H184" t="s">
        <v>159</v>
      </c>
      <c r="I184" t="s">
        <v>160</v>
      </c>
      <c r="J184" t="s">
        <v>401</v>
      </c>
      <c r="L184" t="s">
        <v>143</v>
      </c>
      <c r="N184" t="b">
        <v>1</v>
      </c>
      <c r="O184" t="b">
        <v>0</v>
      </c>
      <c r="P184" t="s">
        <v>60</v>
      </c>
      <c r="Q184" t="s">
        <v>60</v>
      </c>
      <c r="R184" t="s">
        <v>125</v>
      </c>
      <c r="W184" t="s">
        <v>125</v>
      </c>
      <c r="X184" t="s">
        <v>315</v>
      </c>
      <c r="AB184" t="b">
        <v>0</v>
      </c>
      <c r="AC184" t="b">
        <v>0</v>
      </c>
      <c r="AE184" t="b">
        <v>0</v>
      </c>
      <c r="AG184" t="b">
        <v>0</v>
      </c>
      <c r="AI184" t="b">
        <v>0</v>
      </c>
      <c r="AK184" t="s">
        <v>202</v>
      </c>
      <c r="AL184" t="s">
        <v>66</v>
      </c>
      <c r="AM184" s="3">
        <v>46278</v>
      </c>
      <c r="AN184" s="4">
        <v>0.50771990740740736</v>
      </c>
      <c r="AO184">
        <v>3144784547</v>
      </c>
      <c r="AP184" t="s">
        <v>1625</v>
      </c>
      <c r="AQ184" t="s">
        <v>69</v>
      </c>
      <c r="AR184">
        <v>98</v>
      </c>
      <c r="AS184" t="s">
        <v>70</v>
      </c>
      <c r="AT184" t="s">
        <v>409</v>
      </c>
      <c r="AU184" t="s">
        <v>221</v>
      </c>
      <c r="AV184" t="s">
        <v>73</v>
      </c>
      <c r="AW184" t="str">
        <f t="shared" si="4"/>
        <v>Ingeniería Industrial</v>
      </c>
      <c r="AX184" t="str">
        <f t="shared" si="5"/>
        <v>3144784547</v>
      </c>
      <c r="AY184" t="str">
        <f>IFERROR(INDEX(Vacantes!$C:$C,MATCH(AT184,Vacantes!$A:$A,0)),"")</f>
        <v>Indugral</v>
      </c>
      <c r="AZ184" t="str">
        <f>IFERROR(INDEX(Vacantes!$D:$D,MATCH(AT184,Vacantes!$A:$A,0)),"")</f>
        <v>15 de octubre de 2026</v>
      </c>
      <c r="BA184" t="str">
        <f>IFERROR(INDEX(Vacantes!$E:$E,MATCH(AT184,Vacantes!$A:$A,0)),"")</f>
        <v>12:30 p.m. a 4:00 p.m.</v>
      </c>
    </row>
    <row r="185" spans="1:53" x14ac:dyDescent="0.15">
      <c r="A185" t="s">
        <v>1815</v>
      </c>
      <c r="B185" t="s">
        <v>1816</v>
      </c>
      <c r="C185" t="s">
        <v>55</v>
      </c>
      <c r="D185">
        <v>1106512686</v>
      </c>
      <c r="E185" t="s">
        <v>56</v>
      </c>
      <c r="F185">
        <v>22</v>
      </c>
      <c r="G185" t="b">
        <v>1</v>
      </c>
      <c r="H185" t="s">
        <v>397</v>
      </c>
      <c r="I185" t="s">
        <v>160</v>
      </c>
      <c r="J185" t="s">
        <v>401</v>
      </c>
      <c r="L185" t="s">
        <v>305</v>
      </c>
      <c r="N185" t="b">
        <v>0</v>
      </c>
      <c r="O185" t="b">
        <v>0</v>
      </c>
      <c r="P185" t="s">
        <v>61</v>
      </c>
      <c r="Q185" t="s">
        <v>60</v>
      </c>
      <c r="R185" t="s">
        <v>125</v>
      </c>
      <c r="W185" t="s">
        <v>125</v>
      </c>
      <c r="X185" t="s">
        <v>300</v>
      </c>
      <c r="AB185" t="b">
        <v>0</v>
      </c>
      <c r="AC185" t="b">
        <v>0</v>
      </c>
      <c r="AE185" t="b">
        <v>0</v>
      </c>
      <c r="AG185" t="b">
        <v>0</v>
      </c>
      <c r="AI185" t="b">
        <v>0</v>
      </c>
      <c r="AK185" t="s">
        <v>65</v>
      </c>
      <c r="AL185" t="s">
        <v>66</v>
      </c>
      <c r="AM185" s="3">
        <v>46277</v>
      </c>
      <c r="AN185" s="4">
        <v>0.65494212962962961</v>
      </c>
      <c r="AO185" t="s">
        <v>1817</v>
      </c>
      <c r="AP185" t="s">
        <v>1818</v>
      </c>
      <c r="AQ185" t="s">
        <v>69</v>
      </c>
      <c r="AR185">
        <v>70.5</v>
      </c>
      <c r="AS185" t="s">
        <v>70</v>
      </c>
      <c r="AT185" t="s">
        <v>668</v>
      </c>
      <c r="AV185" t="s">
        <v>73</v>
      </c>
      <c r="AW185" t="str">
        <f t="shared" si="4"/>
        <v>Ingeniería Química</v>
      </c>
      <c r="AX185" t="str">
        <f t="shared" si="5"/>
        <v>301 4054205</v>
      </c>
      <c r="AY185" t="str">
        <f>IFERROR(INDEX(Vacantes!$C:$C,MATCH(AT185,Vacantes!$A:$A,0)),"")</f>
        <v>Indugral</v>
      </c>
      <c r="AZ185" t="str">
        <f>IFERROR(INDEX(Vacantes!$D:$D,MATCH(AT185,Vacantes!$A:$A,0)),"")</f>
        <v>15 de octubre de 2026</v>
      </c>
      <c r="BA185" t="str">
        <f>IFERROR(INDEX(Vacantes!$E:$E,MATCH(AT185,Vacantes!$A:$A,0)),"")</f>
        <v>12:30 p.m. a 4:00 p.m.</v>
      </c>
    </row>
    <row r="186" spans="1:53" x14ac:dyDescent="0.15">
      <c r="A186" t="s">
        <v>1819</v>
      </c>
      <c r="B186" t="s">
        <v>1820</v>
      </c>
      <c r="C186" t="s">
        <v>55</v>
      </c>
      <c r="D186">
        <v>1004249982</v>
      </c>
      <c r="E186" t="s">
        <v>56</v>
      </c>
      <c r="F186">
        <v>23</v>
      </c>
      <c r="G186" t="b">
        <v>1</v>
      </c>
      <c r="H186" t="s">
        <v>1821</v>
      </c>
      <c r="I186" t="s">
        <v>160</v>
      </c>
      <c r="J186" t="s">
        <v>413</v>
      </c>
      <c r="L186" t="s">
        <v>124</v>
      </c>
      <c r="N186" t="b">
        <v>0</v>
      </c>
      <c r="O186" t="b">
        <v>0</v>
      </c>
      <c r="P186" t="s">
        <v>60</v>
      </c>
      <c r="Q186" t="s">
        <v>61</v>
      </c>
      <c r="R186" t="s">
        <v>125</v>
      </c>
      <c r="W186" t="s">
        <v>125</v>
      </c>
      <c r="X186" t="s">
        <v>387</v>
      </c>
      <c r="AB186" t="b">
        <v>0</v>
      </c>
      <c r="AC186" t="b">
        <v>0</v>
      </c>
      <c r="AE186" t="b">
        <v>0</v>
      </c>
      <c r="AG186" t="b">
        <v>0</v>
      </c>
      <c r="AI186" t="b">
        <v>0</v>
      </c>
      <c r="AK186" t="s">
        <v>65</v>
      </c>
      <c r="AL186" t="s">
        <v>66</v>
      </c>
      <c r="AM186" s="3">
        <v>46278</v>
      </c>
      <c r="AN186" s="4">
        <v>0.54622685185185182</v>
      </c>
      <c r="AO186" t="s">
        <v>1822</v>
      </c>
      <c r="AP186" t="s">
        <v>1823</v>
      </c>
      <c r="AQ186" t="s">
        <v>69</v>
      </c>
      <c r="AR186">
        <v>70.3</v>
      </c>
      <c r="AS186" t="s">
        <v>70</v>
      </c>
      <c r="AT186" t="s">
        <v>668</v>
      </c>
      <c r="AV186" t="s">
        <v>73</v>
      </c>
      <c r="AW186" t="str">
        <f t="shared" si="4"/>
        <v>Ingeniería Mecatrónica</v>
      </c>
      <c r="AX186" t="str">
        <f t="shared" si="5"/>
        <v>317 8982461</v>
      </c>
      <c r="AY186" t="str">
        <f>IFERROR(INDEX(Vacantes!$C:$C,MATCH(AT186,Vacantes!$A:$A,0)),"")</f>
        <v>Indugral</v>
      </c>
      <c r="AZ186" t="str">
        <f>IFERROR(INDEX(Vacantes!$D:$D,MATCH(AT186,Vacantes!$A:$A,0)),"")</f>
        <v>15 de octubre de 2026</v>
      </c>
      <c r="BA186" t="str">
        <f>IFERROR(INDEX(Vacantes!$E:$E,MATCH(AT186,Vacantes!$A:$A,0)),"")</f>
        <v>12:30 p.m. a 4:00 p.m.</v>
      </c>
    </row>
    <row r="187" spans="1:53" x14ac:dyDescent="0.15">
      <c r="A187" t="s">
        <v>1824</v>
      </c>
      <c r="B187" t="s">
        <v>1825</v>
      </c>
      <c r="C187" t="s">
        <v>55</v>
      </c>
      <c r="D187">
        <v>1088589197</v>
      </c>
      <c r="E187" t="s">
        <v>76</v>
      </c>
      <c r="F187">
        <v>21</v>
      </c>
      <c r="G187" t="b">
        <v>1</v>
      </c>
      <c r="H187" t="s">
        <v>1826</v>
      </c>
      <c r="I187" t="s">
        <v>160</v>
      </c>
      <c r="J187" t="s">
        <v>161</v>
      </c>
      <c r="L187" t="s">
        <v>143</v>
      </c>
      <c r="N187" t="b">
        <v>0</v>
      </c>
      <c r="O187" t="b">
        <v>0</v>
      </c>
      <c r="P187" t="s">
        <v>60</v>
      </c>
      <c r="Q187" t="s">
        <v>60</v>
      </c>
      <c r="R187" t="s">
        <v>125</v>
      </c>
      <c r="W187" t="s">
        <v>125</v>
      </c>
      <c r="X187" t="s">
        <v>300</v>
      </c>
      <c r="AB187" t="b">
        <v>0</v>
      </c>
      <c r="AC187" t="b">
        <v>0</v>
      </c>
      <c r="AE187" t="b">
        <v>0</v>
      </c>
      <c r="AG187" t="b">
        <v>0</v>
      </c>
      <c r="AI187" t="b">
        <v>0</v>
      </c>
      <c r="AK187" t="s">
        <v>65</v>
      </c>
      <c r="AL187" t="s">
        <v>66</v>
      </c>
      <c r="AM187" s="3">
        <v>46277</v>
      </c>
      <c r="AN187" s="4">
        <v>0.65009259259259256</v>
      </c>
      <c r="AO187">
        <v>3106456019</v>
      </c>
      <c r="AP187" t="s">
        <v>1827</v>
      </c>
      <c r="AQ187" t="s">
        <v>69</v>
      </c>
      <c r="AR187">
        <v>79.2</v>
      </c>
      <c r="AS187" t="s">
        <v>70</v>
      </c>
      <c r="AT187" t="s">
        <v>668</v>
      </c>
      <c r="AU187" t="s">
        <v>221</v>
      </c>
      <c r="AV187" t="s">
        <v>73</v>
      </c>
      <c r="AW187" t="str">
        <f t="shared" si="4"/>
        <v>Ingeniería Industrial</v>
      </c>
      <c r="AX187" t="str">
        <f t="shared" si="5"/>
        <v>3106456019</v>
      </c>
      <c r="AY187" t="str">
        <f>IFERROR(INDEX(Vacantes!$C:$C,MATCH(AT187,Vacantes!$A:$A,0)),"")</f>
        <v>Indugral</v>
      </c>
      <c r="AZ187" t="str">
        <f>IFERROR(INDEX(Vacantes!$D:$D,MATCH(AT187,Vacantes!$A:$A,0)),"")</f>
        <v>15 de octubre de 2026</v>
      </c>
      <c r="BA187" t="str">
        <f>IFERROR(INDEX(Vacantes!$E:$E,MATCH(AT187,Vacantes!$A:$A,0)),"")</f>
        <v>12:30 p.m. a 4:00 p.m.</v>
      </c>
    </row>
    <row r="188" spans="1:53" x14ac:dyDescent="0.15">
      <c r="A188" t="s">
        <v>205</v>
      </c>
      <c r="B188" t="s">
        <v>206</v>
      </c>
      <c r="C188" t="s">
        <v>55</v>
      </c>
      <c r="D188">
        <v>1017923697</v>
      </c>
      <c r="E188" t="s">
        <v>76</v>
      </c>
      <c r="F188">
        <v>21</v>
      </c>
      <c r="G188" t="b">
        <v>1</v>
      </c>
      <c r="H188" t="s">
        <v>207</v>
      </c>
      <c r="I188" t="s">
        <v>57</v>
      </c>
      <c r="J188" t="s">
        <v>100</v>
      </c>
      <c r="L188" t="s">
        <v>107</v>
      </c>
      <c r="N188" t="b">
        <v>0</v>
      </c>
      <c r="O188" t="b">
        <v>0</v>
      </c>
      <c r="P188" t="s">
        <v>60</v>
      </c>
      <c r="Q188" t="s">
        <v>60</v>
      </c>
      <c r="R188" t="s">
        <v>108</v>
      </c>
      <c r="W188" t="s">
        <v>109</v>
      </c>
      <c r="AA188" t="s">
        <v>110</v>
      </c>
      <c r="AB188" t="b">
        <v>0</v>
      </c>
      <c r="AC188" t="b">
        <v>0</v>
      </c>
      <c r="AE188" t="b">
        <v>0</v>
      </c>
      <c r="AG188" t="b">
        <v>0</v>
      </c>
      <c r="AI188" t="b">
        <v>0</v>
      </c>
      <c r="AK188" t="s">
        <v>153</v>
      </c>
      <c r="AL188" t="s">
        <v>66</v>
      </c>
      <c r="AM188" s="3">
        <v>46258</v>
      </c>
      <c r="AN188" s="4">
        <v>0.46335648148148151</v>
      </c>
      <c r="AO188" t="s">
        <v>208</v>
      </c>
      <c r="AP188" t="s">
        <v>209</v>
      </c>
      <c r="AQ188" t="s">
        <v>69</v>
      </c>
      <c r="AR188">
        <v>91.1</v>
      </c>
      <c r="AS188" t="s">
        <v>70</v>
      </c>
      <c r="AT188" t="s">
        <v>210</v>
      </c>
      <c r="AU188" t="s">
        <v>72</v>
      </c>
      <c r="AV188" t="s">
        <v>73</v>
      </c>
      <c r="AW188" t="str">
        <f t="shared" si="4"/>
        <v>Administración de Empresas</v>
      </c>
      <c r="AX188" t="str">
        <f t="shared" si="5"/>
        <v>316 8321353</v>
      </c>
      <c r="AY188" t="str">
        <f>IFERROR(INDEX(Vacantes!$C:$C,MATCH(AT188,Vacantes!$A:$A,0)),"")</f>
        <v>127</v>
      </c>
      <c r="AZ188" t="str">
        <f>IFERROR(INDEX(Vacantes!$D:$D,MATCH(AT188,Vacantes!$A:$A,0)),"")</f>
        <v>16 de octubre de 2026</v>
      </c>
      <c r="BA188" t="str">
        <f>IFERROR(INDEX(Vacantes!$E:$E,MATCH(AT188,Vacantes!$A:$A,0)),"")</f>
        <v>1:30 p.m. a 3:30 p.m.</v>
      </c>
    </row>
    <row r="189" spans="1:53" x14ac:dyDescent="0.15">
      <c r="A189" t="s">
        <v>806</v>
      </c>
      <c r="B189" t="s">
        <v>807</v>
      </c>
      <c r="C189" t="s">
        <v>55</v>
      </c>
      <c r="D189">
        <v>1000795796</v>
      </c>
      <c r="E189" t="s">
        <v>76</v>
      </c>
      <c r="F189">
        <v>23</v>
      </c>
      <c r="G189" t="b">
        <v>1</v>
      </c>
      <c r="H189" t="s">
        <v>131</v>
      </c>
      <c r="I189" t="s">
        <v>57</v>
      </c>
      <c r="J189" t="s">
        <v>150</v>
      </c>
      <c r="L189" t="s">
        <v>107</v>
      </c>
      <c r="N189" t="b">
        <v>0</v>
      </c>
      <c r="O189" t="b">
        <v>0</v>
      </c>
      <c r="P189" t="s">
        <v>61</v>
      </c>
      <c r="Q189" t="s">
        <v>60</v>
      </c>
      <c r="R189" t="s">
        <v>135</v>
      </c>
      <c r="W189" t="s">
        <v>108</v>
      </c>
      <c r="AB189" t="b">
        <v>0</v>
      </c>
      <c r="AC189" t="b">
        <v>0</v>
      </c>
      <c r="AE189" t="b">
        <v>0</v>
      </c>
      <c r="AG189" t="b">
        <v>0</v>
      </c>
      <c r="AI189" t="b">
        <v>0</v>
      </c>
      <c r="AK189" t="s">
        <v>65</v>
      </c>
      <c r="AL189" t="s">
        <v>66</v>
      </c>
      <c r="AM189" s="3">
        <v>46262</v>
      </c>
      <c r="AN189" s="4">
        <v>0.24175925925925931</v>
      </c>
      <c r="AO189" t="s">
        <v>808</v>
      </c>
      <c r="AP189" t="s">
        <v>809</v>
      </c>
      <c r="AQ189" t="s">
        <v>69</v>
      </c>
      <c r="AR189">
        <v>94.8</v>
      </c>
      <c r="AS189" t="s">
        <v>70</v>
      </c>
      <c r="AT189" t="s">
        <v>210</v>
      </c>
      <c r="AU189" t="s">
        <v>221</v>
      </c>
      <c r="AV189" t="s">
        <v>73</v>
      </c>
      <c r="AW189" t="str">
        <f t="shared" si="4"/>
        <v>Administración de Empresas</v>
      </c>
      <c r="AX189" t="str">
        <f t="shared" si="5"/>
        <v>320 3103680</v>
      </c>
      <c r="AY189" t="str">
        <f>IFERROR(INDEX(Vacantes!$C:$C,MATCH(AT189,Vacantes!$A:$A,0)),"")</f>
        <v>127</v>
      </c>
      <c r="AZ189" t="str">
        <f>IFERROR(INDEX(Vacantes!$D:$D,MATCH(AT189,Vacantes!$A:$A,0)),"")</f>
        <v>16 de octubre de 2026</v>
      </c>
      <c r="BA189" t="str">
        <f>IFERROR(INDEX(Vacantes!$E:$E,MATCH(AT189,Vacantes!$A:$A,0)),"")</f>
        <v>1:30 p.m. a 3:30 p.m.</v>
      </c>
    </row>
    <row r="190" spans="1:53" x14ac:dyDescent="0.15">
      <c r="A190" t="s">
        <v>810</v>
      </c>
      <c r="B190" t="s">
        <v>811</v>
      </c>
      <c r="C190" t="s">
        <v>55</v>
      </c>
      <c r="D190">
        <v>1014861896</v>
      </c>
      <c r="E190" t="s">
        <v>76</v>
      </c>
      <c r="F190">
        <v>19</v>
      </c>
      <c r="G190" t="b">
        <v>1</v>
      </c>
      <c r="H190" t="s">
        <v>57</v>
      </c>
      <c r="I190" t="s">
        <v>57</v>
      </c>
      <c r="J190" t="s">
        <v>234</v>
      </c>
      <c r="L190" t="s">
        <v>107</v>
      </c>
      <c r="N190" t="b">
        <v>1</v>
      </c>
      <c r="O190" t="b">
        <v>0</v>
      </c>
      <c r="P190" t="s">
        <v>60</v>
      </c>
      <c r="Q190" t="s">
        <v>60</v>
      </c>
      <c r="R190" t="s">
        <v>108</v>
      </c>
      <c r="U190" t="s">
        <v>151</v>
      </c>
      <c r="W190" t="s">
        <v>64</v>
      </c>
      <c r="AB190" t="b">
        <v>0</v>
      </c>
      <c r="AC190" t="b">
        <v>0</v>
      </c>
      <c r="AE190" t="b">
        <v>0</v>
      </c>
      <c r="AG190" t="b">
        <v>0</v>
      </c>
      <c r="AI190" t="b">
        <v>0</v>
      </c>
      <c r="AK190" t="s">
        <v>65</v>
      </c>
      <c r="AL190" t="s">
        <v>66</v>
      </c>
      <c r="AM190" s="3">
        <v>46276</v>
      </c>
      <c r="AN190" s="4">
        <v>0.43269675925925932</v>
      </c>
      <c r="AO190" t="s">
        <v>812</v>
      </c>
      <c r="AP190" t="s">
        <v>813</v>
      </c>
      <c r="AQ190" t="s">
        <v>69</v>
      </c>
      <c r="AR190">
        <v>89.7</v>
      </c>
      <c r="AS190" t="s">
        <v>70</v>
      </c>
      <c r="AT190" t="s">
        <v>210</v>
      </c>
      <c r="AU190" t="s">
        <v>221</v>
      </c>
      <c r="AV190" t="s">
        <v>73</v>
      </c>
      <c r="AW190" t="str">
        <f t="shared" si="4"/>
        <v>Administración de Empresas</v>
      </c>
      <c r="AX190" t="str">
        <f t="shared" si="5"/>
        <v>321 4233785</v>
      </c>
      <c r="AY190" t="str">
        <f>IFERROR(INDEX(Vacantes!$C:$C,MATCH(AT190,Vacantes!$A:$A,0)),"")</f>
        <v>127</v>
      </c>
      <c r="AZ190" t="str">
        <f>IFERROR(INDEX(Vacantes!$D:$D,MATCH(AT190,Vacantes!$A:$A,0)),"")</f>
        <v>16 de octubre de 2026</v>
      </c>
      <c r="BA190" t="str">
        <f>IFERROR(INDEX(Vacantes!$E:$E,MATCH(AT190,Vacantes!$A:$A,0)),"")</f>
        <v>1:30 p.m. a 3:30 p.m.</v>
      </c>
    </row>
    <row r="191" spans="1:53" x14ac:dyDescent="0.15">
      <c r="A191" t="s">
        <v>814</v>
      </c>
      <c r="B191" t="s">
        <v>815</v>
      </c>
      <c r="C191" t="s">
        <v>55</v>
      </c>
      <c r="D191">
        <v>1013036441</v>
      </c>
      <c r="E191" t="s">
        <v>56</v>
      </c>
      <c r="F191">
        <v>22</v>
      </c>
      <c r="G191" t="b">
        <v>1</v>
      </c>
      <c r="I191" t="s">
        <v>57</v>
      </c>
      <c r="J191" t="s">
        <v>458</v>
      </c>
      <c r="L191" t="s">
        <v>107</v>
      </c>
      <c r="N191" t="b">
        <v>1</v>
      </c>
      <c r="O191" t="b">
        <v>0</v>
      </c>
      <c r="P191" t="s">
        <v>61</v>
      </c>
      <c r="Q191" t="s">
        <v>61</v>
      </c>
      <c r="R191" t="s">
        <v>108</v>
      </c>
      <c r="W191" t="s">
        <v>109</v>
      </c>
      <c r="AA191" t="s">
        <v>110</v>
      </c>
      <c r="AB191" t="b">
        <v>0</v>
      </c>
      <c r="AC191" t="b">
        <v>0</v>
      </c>
      <c r="AE191" t="b">
        <v>0</v>
      </c>
      <c r="AG191" t="b">
        <v>0</v>
      </c>
      <c r="AI191" t="b">
        <v>0</v>
      </c>
      <c r="AK191" t="s">
        <v>65</v>
      </c>
      <c r="AL191" t="s">
        <v>66</v>
      </c>
      <c r="AM191" s="3">
        <v>46255</v>
      </c>
      <c r="AN191" s="4">
        <v>0.61746527777777782</v>
      </c>
      <c r="AO191" t="s">
        <v>816</v>
      </c>
      <c r="AP191" t="s">
        <v>817</v>
      </c>
      <c r="AQ191" t="s">
        <v>69</v>
      </c>
      <c r="AR191">
        <v>96.8</v>
      </c>
      <c r="AS191" t="s">
        <v>70</v>
      </c>
      <c r="AT191" t="s">
        <v>210</v>
      </c>
      <c r="AU191" t="s">
        <v>221</v>
      </c>
      <c r="AV191" t="s">
        <v>73</v>
      </c>
      <c r="AW191" t="str">
        <f t="shared" si="4"/>
        <v>Administración de Empresas</v>
      </c>
      <c r="AX191" t="str">
        <f t="shared" si="5"/>
        <v>315 3084237</v>
      </c>
      <c r="AY191" t="str">
        <f>IFERROR(INDEX(Vacantes!$C:$C,MATCH(AT191,Vacantes!$A:$A,0)),"")</f>
        <v>127</v>
      </c>
      <c r="AZ191" t="str">
        <f>IFERROR(INDEX(Vacantes!$D:$D,MATCH(AT191,Vacantes!$A:$A,0)),"")</f>
        <v>16 de octubre de 2026</v>
      </c>
      <c r="BA191" t="str">
        <f>IFERROR(INDEX(Vacantes!$E:$E,MATCH(AT191,Vacantes!$A:$A,0)),"")</f>
        <v>1:30 p.m. a 3:30 p.m.</v>
      </c>
    </row>
    <row r="192" spans="1:53" x14ac:dyDescent="0.15">
      <c r="A192" t="s">
        <v>818</v>
      </c>
      <c r="B192" t="s">
        <v>819</v>
      </c>
      <c r="C192" t="s">
        <v>55</v>
      </c>
      <c r="D192">
        <v>1016946062</v>
      </c>
      <c r="E192" t="s">
        <v>76</v>
      </c>
      <c r="F192">
        <v>21</v>
      </c>
      <c r="G192" t="b">
        <v>1</v>
      </c>
      <c r="H192" t="s">
        <v>88</v>
      </c>
      <c r="I192" t="s">
        <v>57</v>
      </c>
      <c r="J192" t="s">
        <v>495</v>
      </c>
      <c r="L192" t="s">
        <v>117</v>
      </c>
      <c r="N192" t="b">
        <v>1</v>
      </c>
      <c r="O192" t="b">
        <v>0</v>
      </c>
      <c r="P192" t="s">
        <v>61</v>
      </c>
      <c r="Q192" t="s">
        <v>60</v>
      </c>
      <c r="R192" t="s">
        <v>108</v>
      </c>
      <c r="W192" t="s">
        <v>113</v>
      </c>
      <c r="AB192" t="b">
        <v>0</v>
      </c>
      <c r="AC192" t="b">
        <v>0</v>
      </c>
      <c r="AE192" t="b">
        <v>0</v>
      </c>
      <c r="AG192" t="b">
        <v>0</v>
      </c>
      <c r="AI192" t="b">
        <v>0</v>
      </c>
      <c r="AK192" t="s">
        <v>94</v>
      </c>
      <c r="AL192" t="s">
        <v>66</v>
      </c>
      <c r="AM192" s="3">
        <v>46263</v>
      </c>
      <c r="AN192" s="4">
        <v>0.5025115740740741</v>
      </c>
      <c r="AO192" t="s">
        <v>820</v>
      </c>
      <c r="AP192" t="s">
        <v>821</v>
      </c>
      <c r="AQ192" t="s">
        <v>69</v>
      </c>
      <c r="AR192">
        <v>98.5</v>
      </c>
      <c r="AS192" t="s">
        <v>70</v>
      </c>
      <c r="AT192" t="s">
        <v>210</v>
      </c>
      <c r="AU192" t="s">
        <v>221</v>
      </c>
      <c r="AV192" t="s">
        <v>73</v>
      </c>
      <c r="AW192" t="str">
        <f t="shared" si="4"/>
        <v>Marketing / Mercadeo</v>
      </c>
      <c r="AX192" t="str">
        <f t="shared" si="5"/>
        <v>315 4665567</v>
      </c>
      <c r="AY192" t="str">
        <f>IFERROR(INDEX(Vacantes!$C:$C,MATCH(AT192,Vacantes!$A:$A,0)),"")</f>
        <v>127</v>
      </c>
      <c r="AZ192" t="str">
        <f>IFERROR(INDEX(Vacantes!$D:$D,MATCH(AT192,Vacantes!$A:$A,0)),"")</f>
        <v>16 de octubre de 2026</v>
      </c>
      <c r="BA192" t="str">
        <f>IFERROR(INDEX(Vacantes!$E:$E,MATCH(AT192,Vacantes!$A:$A,0)),"")</f>
        <v>1:30 p.m. a 3:30 p.m.</v>
      </c>
    </row>
    <row r="193" spans="1:53" x14ac:dyDescent="0.15">
      <c r="A193" t="s">
        <v>822</v>
      </c>
      <c r="B193" t="s">
        <v>823</v>
      </c>
      <c r="C193" t="s">
        <v>55</v>
      </c>
      <c r="D193">
        <v>1012339115</v>
      </c>
      <c r="E193" t="s">
        <v>56</v>
      </c>
      <c r="F193">
        <v>20</v>
      </c>
      <c r="G193" t="b">
        <v>1</v>
      </c>
      <c r="I193" t="s">
        <v>57</v>
      </c>
      <c r="J193" t="s">
        <v>771</v>
      </c>
      <c r="L193" t="s">
        <v>526</v>
      </c>
      <c r="N193" t="b">
        <v>1</v>
      </c>
      <c r="O193" t="b">
        <v>0</v>
      </c>
      <c r="P193" t="s">
        <v>60</v>
      </c>
      <c r="Q193" t="s">
        <v>144</v>
      </c>
      <c r="R193" t="s">
        <v>108</v>
      </c>
      <c r="W193" t="s">
        <v>113</v>
      </c>
      <c r="AB193" t="b">
        <v>0</v>
      </c>
      <c r="AC193" t="b">
        <v>0</v>
      </c>
      <c r="AE193" t="b">
        <v>0</v>
      </c>
      <c r="AG193" t="b">
        <v>0</v>
      </c>
      <c r="AI193" t="b">
        <v>0</v>
      </c>
      <c r="AK193" t="s">
        <v>94</v>
      </c>
      <c r="AL193" t="s">
        <v>66</v>
      </c>
      <c r="AM193" s="3">
        <v>46255</v>
      </c>
      <c r="AN193" s="4">
        <v>0.45004629629629628</v>
      </c>
      <c r="AO193">
        <v>0</v>
      </c>
      <c r="AP193" t="s">
        <v>824</v>
      </c>
      <c r="AQ193" t="s">
        <v>69</v>
      </c>
      <c r="AR193">
        <v>91.8</v>
      </c>
      <c r="AS193" t="s">
        <v>70</v>
      </c>
      <c r="AT193" t="s">
        <v>210</v>
      </c>
      <c r="AU193" t="s">
        <v>221</v>
      </c>
      <c r="AV193" t="s">
        <v>73</v>
      </c>
      <c r="AW193" t="str">
        <f t="shared" si="4"/>
        <v>Publicidad</v>
      </c>
      <c r="AX193" t="str">
        <f t="shared" si="5"/>
        <v/>
      </c>
      <c r="AY193" t="str">
        <f>IFERROR(INDEX(Vacantes!$C:$C,MATCH(AT193,Vacantes!$A:$A,0)),"")</f>
        <v>127</v>
      </c>
      <c r="AZ193" t="str">
        <f>IFERROR(INDEX(Vacantes!$D:$D,MATCH(AT193,Vacantes!$A:$A,0)),"")</f>
        <v>16 de octubre de 2026</v>
      </c>
      <c r="BA193" t="str">
        <f>IFERROR(INDEX(Vacantes!$E:$E,MATCH(AT193,Vacantes!$A:$A,0)),"")</f>
        <v>1:30 p.m. a 3:30 p.m.</v>
      </c>
    </row>
    <row r="194" spans="1:53" x14ac:dyDescent="0.15">
      <c r="A194" t="s">
        <v>825</v>
      </c>
      <c r="B194" t="s">
        <v>826</v>
      </c>
      <c r="C194" t="s">
        <v>55</v>
      </c>
      <c r="D194">
        <v>1014738839</v>
      </c>
      <c r="E194" t="s">
        <v>56</v>
      </c>
      <c r="F194">
        <v>20</v>
      </c>
      <c r="G194" t="b">
        <v>1</v>
      </c>
      <c r="H194" t="s">
        <v>827</v>
      </c>
      <c r="I194" t="s">
        <v>57</v>
      </c>
      <c r="J194" t="s">
        <v>187</v>
      </c>
      <c r="L194" t="s">
        <v>117</v>
      </c>
      <c r="N194" t="b">
        <v>1</v>
      </c>
      <c r="O194" t="b">
        <v>0</v>
      </c>
      <c r="P194" t="s">
        <v>61</v>
      </c>
      <c r="Q194" t="s">
        <v>61</v>
      </c>
      <c r="R194" t="s">
        <v>108</v>
      </c>
      <c r="W194" t="s">
        <v>109</v>
      </c>
      <c r="AA194" t="s">
        <v>110</v>
      </c>
      <c r="AB194" t="b">
        <v>0</v>
      </c>
      <c r="AC194" t="b">
        <v>0</v>
      </c>
      <c r="AE194" t="b">
        <v>0</v>
      </c>
      <c r="AG194" t="b">
        <v>0</v>
      </c>
      <c r="AI194" t="b">
        <v>0</v>
      </c>
      <c r="AK194" t="s">
        <v>202</v>
      </c>
      <c r="AL194" t="s">
        <v>66</v>
      </c>
      <c r="AM194" s="3">
        <v>46261</v>
      </c>
      <c r="AN194" s="4">
        <v>0.39111111111111108</v>
      </c>
      <c r="AO194" t="s">
        <v>828</v>
      </c>
      <c r="AP194" t="s">
        <v>829</v>
      </c>
      <c r="AQ194" t="s">
        <v>69</v>
      </c>
      <c r="AR194">
        <v>92.2</v>
      </c>
      <c r="AS194" t="s">
        <v>70</v>
      </c>
      <c r="AT194" t="s">
        <v>210</v>
      </c>
      <c r="AU194" t="s">
        <v>221</v>
      </c>
      <c r="AV194" t="s">
        <v>73</v>
      </c>
      <c r="AW194" t="str">
        <f t="shared" ref="AW194:AW257" si="6">IF(L194="Otra",IF(M194="","Otra",M194&amp;""),L194&amp;"")</f>
        <v>Marketing / Mercadeo</v>
      </c>
      <c r="AX194" t="str">
        <f t="shared" ref="AX194:AX257" si="7">IF(OR(AO194="",AO194=0),"",TRIM(AO194))</f>
        <v>350 8504117</v>
      </c>
      <c r="AY194" t="str">
        <f>IFERROR(INDEX(Vacantes!$C:$C,MATCH(AT194,Vacantes!$A:$A,0)),"")</f>
        <v>127</v>
      </c>
      <c r="AZ194" t="str">
        <f>IFERROR(INDEX(Vacantes!$D:$D,MATCH(AT194,Vacantes!$A:$A,0)),"")</f>
        <v>16 de octubre de 2026</v>
      </c>
      <c r="BA194" t="str">
        <f>IFERROR(INDEX(Vacantes!$E:$E,MATCH(AT194,Vacantes!$A:$A,0)),"")</f>
        <v>1:30 p.m. a 3:30 p.m.</v>
      </c>
    </row>
    <row r="195" spans="1:53" x14ac:dyDescent="0.15">
      <c r="A195" t="s">
        <v>830</v>
      </c>
      <c r="B195" t="s">
        <v>831</v>
      </c>
      <c r="C195" t="s">
        <v>55</v>
      </c>
      <c r="D195">
        <v>1011085210</v>
      </c>
      <c r="E195" t="s">
        <v>76</v>
      </c>
      <c r="F195">
        <v>21</v>
      </c>
      <c r="G195" t="b">
        <v>1</v>
      </c>
      <c r="H195" t="s">
        <v>88</v>
      </c>
      <c r="I195" t="s">
        <v>57</v>
      </c>
      <c r="J195" t="s">
        <v>771</v>
      </c>
      <c r="L195" t="s">
        <v>526</v>
      </c>
      <c r="N195" t="b">
        <v>0</v>
      </c>
      <c r="O195" t="b">
        <v>0</v>
      </c>
      <c r="P195" t="s">
        <v>60</v>
      </c>
      <c r="Q195" t="s">
        <v>60</v>
      </c>
      <c r="R195" t="s">
        <v>108</v>
      </c>
      <c r="W195" t="s">
        <v>113</v>
      </c>
      <c r="AB195" t="b">
        <v>0</v>
      </c>
      <c r="AC195" t="b">
        <v>0</v>
      </c>
      <c r="AE195" t="b">
        <v>0</v>
      </c>
      <c r="AG195" t="b">
        <v>0</v>
      </c>
      <c r="AI195" t="b">
        <v>0</v>
      </c>
      <c r="AK195" t="s">
        <v>65</v>
      </c>
      <c r="AL195" t="s">
        <v>66</v>
      </c>
      <c r="AM195" s="3">
        <v>46277</v>
      </c>
      <c r="AN195" s="4">
        <v>0.77633101851851849</v>
      </c>
      <c r="AO195">
        <v>3133763400</v>
      </c>
      <c r="AP195" t="s">
        <v>832</v>
      </c>
      <c r="AQ195" t="s">
        <v>69</v>
      </c>
      <c r="AR195">
        <v>72.7</v>
      </c>
      <c r="AS195" t="s">
        <v>70</v>
      </c>
      <c r="AT195" t="s">
        <v>210</v>
      </c>
      <c r="AU195" t="s">
        <v>221</v>
      </c>
      <c r="AV195" t="s">
        <v>73</v>
      </c>
      <c r="AW195" t="str">
        <f t="shared" si="6"/>
        <v>Publicidad</v>
      </c>
      <c r="AX195" t="str">
        <f t="shared" si="7"/>
        <v>3133763400</v>
      </c>
      <c r="AY195" t="str">
        <f>IFERROR(INDEX(Vacantes!$C:$C,MATCH(AT195,Vacantes!$A:$A,0)),"")</f>
        <v>127</v>
      </c>
      <c r="AZ195" t="str">
        <f>IFERROR(INDEX(Vacantes!$D:$D,MATCH(AT195,Vacantes!$A:$A,0)),"")</f>
        <v>16 de octubre de 2026</v>
      </c>
      <c r="BA195" t="str">
        <f>IFERROR(INDEX(Vacantes!$E:$E,MATCH(AT195,Vacantes!$A:$A,0)),"")</f>
        <v>1:30 p.m. a 3:30 p.m.</v>
      </c>
    </row>
    <row r="196" spans="1:53" x14ac:dyDescent="0.15">
      <c r="A196" t="s">
        <v>833</v>
      </c>
      <c r="B196" t="s">
        <v>834</v>
      </c>
      <c r="C196" t="s">
        <v>55</v>
      </c>
      <c r="D196">
        <v>1014656615</v>
      </c>
      <c r="E196" t="s">
        <v>56</v>
      </c>
      <c r="F196">
        <v>22</v>
      </c>
      <c r="G196" t="b">
        <v>1</v>
      </c>
      <c r="I196" t="s">
        <v>57</v>
      </c>
      <c r="J196" t="s">
        <v>150</v>
      </c>
      <c r="L196" t="s">
        <v>521</v>
      </c>
      <c r="N196" t="b">
        <v>0</v>
      </c>
      <c r="O196" t="b">
        <v>0</v>
      </c>
      <c r="P196" t="s">
        <v>61</v>
      </c>
      <c r="Q196" t="s">
        <v>60</v>
      </c>
      <c r="R196" t="s">
        <v>108</v>
      </c>
      <c r="U196" t="s">
        <v>151</v>
      </c>
      <c r="W196" t="s">
        <v>64</v>
      </c>
      <c r="AB196" t="b">
        <v>0</v>
      </c>
      <c r="AC196" t="b">
        <v>0</v>
      </c>
      <c r="AE196" t="b">
        <v>0</v>
      </c>
      <c r="AG196" t="b">
        <v>0</v>
      </c>
      <c r="AI196" t="b">
        <v>0</v>
      </c>
      <c r="AK196" t="s">
        <v>94</v>
      </c>
      <c r="AL196" t="s">
        <v>66</v>
      </c>
      <c r="AM196" s="3">
        <v>46255</v>
      </c>
      <c r="AN196" s="4">
        <v>0.50877314814814811</v>
      </c>
      <c r="AO196" t="s">
        <v>835</v>
      </c>
      <c r="AP196" t="s">
        <v>836</v>
      </c>
      <c r="AQ196" t="s">
        <v>69</v>
      </c>
      <c r="AR196">
        <v>94.5</v>
      </c>
      <c r="AS196" t="s">
        <v>70</v>
      </c>
      <c r="AT196" t="s">
        <v>210</v>
      </c>
      <c r="AU196" t="s">
        <v>221</v>
      </c>
      <c r="AV196" t="s">
        <v>73</v>
      </c>
      <c r="AW196" t="str">
        <f t="shared" si="6"/>
        <v>Comunicación social</v>
      </c>
      <c r="AX196" t="str">
        <f t="shared" si="7"/>
        <v>315 3327189</v>
      </c>
      <c r="AY196" t="str">
        <f>IFERROR(INDEX(Vacantes!$C:$C,MATCH(AT196,Vacantes!$A:$A,0)),"")</f>
        <v>127</v>
      </c>
      <c r="AZ196" t="str">
        <f>IFERROR(INDEX(Vacantes!$D:$D,MATCH(AT196,Vacantes!$A:$A,0)),"")</f>
        <v>16 de octubre de 2026</v>
      </c>
      <c r="BA196" t="str">
        <f>IFERROR(INDEX(Vacantes!$E:$E,MATCH(AT196,Vacantes!$A:$A,0)),"")</f>
        <v>1:30 p.m. a 3:30 p.m.</v>
      </c>
    </row>
    <row r="197" spans="1:53" x14ac:dyDescent="0.15">
      <c r="A197" t="s">
        <v>837</v>
      </c>
      <c r="B197" t="s">
        <v>838</v>
      </c>
      <c r="C197" t="s">
        <v>55</v>
      </c>
      <c r="D197">
        <v>1016946776</v>
      </c>
      <c r="E197" t="s">
        <v>76</v>
      </c>
      <c r="F197">
        <v>21</v>
      </c>
      <c r="G197" t="b">
        <v>1</v>
      </c>
      <c r="I197" t="s">
        <v>57</v>
      </c>
      <c r="J197" t="s">
        <v>58</v>
      </c>
      <c r="L197" t="s">
        <v>134</v>
      </c>
      <c r="N197" t="b">
        <v>1</v>
      </c>
      <c r="O197" t="b">
        <v>0</v>
      </c>
      <c r="P197" t="s">
        <v>60</v>
      </c>
      <c r="Q197" t="s">
        <v>60</v>
      </c>
      <c r="R197" t="s">
        <v>109</v>
      </c>
      <c r="V197" t="s">
        <v>110</v>
      </c>
      <c r="W197" t="s">
        <v>108</v>
      </c>
      <c r="AB197" t="b">
        <v>0</v>
      </c>
      <c r="AC197" t="b">
        <v>0</v>
      </c>
      <c r="AE197" t="b">
        <v>0</v>
      </c>
      <c r="AG197" t="b">
        <v>0</v>
      </c>
      <c r="AI197" t="b">
        <v>0</v>
      </c>
      <c r="AK197" t="s">
        <v>94</v>
      </c>
      <c r="AL197" t="s">
        <v>66</v>
      </c>
      <c r="AM197" s="3">
        <v>46257</v>
      </c>
      <c r="AN197" s="4">
        <v>0.77718750000000003</v>
      </c>
      <c r="AO197" t="s">
        <v>839</v>
      </c>
      <c r="AP197" t="s">
        <v>840</v>
      </c>
      <c r="AQ197" t="s">
        <v>69</v>
      </c>
      <c r="AR197">
        <v>82.6</v>
      </c>
      <c r="AS197" t="s">
        <v>70</v>
      </c>
      <c r="AT197" t="s">
        <v>841</v>
      </c>
      <c r="AU197" t="s">
        <v>221</v>
      </c>
      <c r="AV197" t="s">
        <v>73</v>
      </c>
      <c r="AW197" t="str">
        <f t="shared" si="6"/>
        <v>Negocios Internacionales</v>
      </c>
      <c r="AX197" t="str">
        <f t="shared" si="7"/>
        <v>320 2851472</v>
      </c>
      <c r="AY197" t="str">
        <f>IFERROR(INDEX(Vacantes!$C:$C,MATCH(AT197,Vacantes!$A:$A,0)),"")</f>
        <v>127</v>
      </c>
      <c r="AZ197" t="str">
        <f>IFERROR(INDEX(Vacantes!$D:$D,MATCH(AT197,Vacantes!$A:$A,0)),"")</f>
        <v>16 de octubre de 2026</v>
      </c>
      <c r="BA197" t="str">
        <f>IFERROR(INDEX(Vacantes!$E:$E,MATCH(AT197,Vacantes!$A:$A,0)),"")</f>
        <v>1:30 p.m. a 3:30 p.m.</v>
      </c>
    </row>
    <row r="198" spans="1:53" x14ac:dyDescent="0.15">
      <c r="A198" t="s">
        <v>842</v>
      </c>
      <c r="B198" t="s">
        <v>843</v>
      </c>
      <c r="C198" t="s">
        <v>55</v>
      </c>
      <c r="D198">
        <v>1025529261</v>
      </c>
      <c r="E198" t="s">
        <v>76</v>
      </c>
      <c r="F198">
        <v>20</v>
      </c>
      <c r="G198" t="b">
        <v>1</v>
      </c>
      <c r="H198" t="s">
        <v>131</v>
      </c>
      <c r="I198" t="s">
        <v>57</v>
      </c>
      <c r="J198" t="s">
        <v>132</v>
      </c>
      <c r="K198" t="s">
        <v>133</v>
      </c>
      <c r="L198" t="s">
        <v>117</v>
      </c>
      <c r="N198" t="b">
        <v>1</v>
      </c>
      <c r="O198" t="b">
        <v>0</v>
      </c>
      <c r="P198" t="s">
        <v>60</v>
      </c>
      <c r="Q198" t="s">
        <v>60</v>
      </c>
      <c r="R198" t="s">
        <v>108</v>
      </c>
      <c r="W198" t="s">
        <v>109</v>
      </c>
      <c r="AA198" t="s">
        <v>110</v>
      </c>
      <c r="AB198" t="b">
        <v>0</v>
      </c>
      <c r="AC198" t="b">
        <v>0</v>
      </c>
      <c r="AE198" t="b">
        <v>0</v>
      </c>
      <c r="AG198" t="b">
        <v>0</v>
      </c>
      <c r="AI198" t="b">
        <v>0</v>
      </c>
      <c r="AK198" t="s">
        <v>94</v>
      </c>
      <c r="AL198" t="s">
        <v>66</v>
      </c>
      <c r="AM198" s="3">
        <v>46264</v>
      </c>
      <c r="AN198" s="4">
        <v>0.78413194444444445</v>
      </c>
      <c r="AO198" t="s">
        <v>844</v>
      </c>
      <c r="AP198" t="s">
        <v>845</v>
      </c>
      <c r="AQ198" t="s">
        <v>69</v>
      </c>
      <c r="AR198">
        <v>88.3</v>
      </c>
      <c r="AS198" t="s">
        <v>70</v>
      </c>
      <c r="AT198" t="s">
        <v>841</v>
      </c>
      <c r="AU198" t="s">
        <v>221</v>
      </c>
      <c r="AV198" t="s">
        <v>73</v>
      </c>
      <c r="AW198" t="str">
        <f t="shared" si="6"/>
        <v>Marketing / Mercadeo</v>
      </c>
      <c r="AX198" t="str">
        <f t="shared" si="7"/>
        <v>311 2327835</v>
      </c>
      <c r="AY198" t="str">
        <f>IFERROR(INDEX(Vacantes!$C:$C,MATCH(AT198,Vacantes!$A:$A,0)),"")</f>
        <v>127</v>
      </c>
      <c r="AZ198" t="str">
        <f>IFERROR(INDEX(Vacantes!$D:$D,MATCH(AT198,Vacantes!$A:$A,0)),"")</f>
        <v>16 de octubre de 2026</v>
      </c>
      <c r="BA198" t="str">
        <f>IFERROR(INDEX(Vacantes!$E:$E,MATCH(AT198,Vacantes!$A:$A,0)),"")</f>
        <v>1:30 p.m. a 3:30 p.m.</v>
      </c>
    </row>
    <row r="199" spans="1:53" x14ac:dyDescent="0.15">
      <c r="A199" t="s">
        <v>846</v>
      </c>
      <c r="B199" t="s">
        <v>847</v>
      </c>
      <c r="C199" t="s">
        <v>55</v>
      </c>
      <c r="D199">
        <v>1082850774</v>
      </c>
      <c r="E199" t="s">
        <v>76</v>
      </c>
      <c r="F199">
        <v>21</v>
      </c>
      <c r="G199" t="b">
        <v>1</v>
      </c>
      <c r="H199" t="s">
        <v>174</v>
      </c>
      <c r="I199" t="s">
        <v>57</v>
      </c>
      <c r="J199" t="s">
        <v>319</v>
      </c>
      <c r="L199" t="s">
        <v>521</v>
      </c>
      <c r="N199" t="b">
        <v>0</v>
      </c>
      <c r="O199" t="b">
        <v>0</v>
      </c>
      <c r="P199" t="s">
        <v>60</v>
      </c>
      <c r="Q199" t="s">
        <v>60</v>
      </c>
      <c r="R199" t="s">
        <v>113</v>
      </c>
      <c r="W199" t="s">
        <v>108</v>
      </c>
      <c r="AB199" t="b">
        <v>0</v>
      </c>
      <c r="AC199" t="b">
        <v>0</v>
      </c>
      <c r="AE199" t="b">
        <v>0</v>
      </c>
      <c r="AG199" t="b">
        <v>0</v>
      </c>
      <c r="AI199" t="b">
        <v>0</v>
      </c>
      <c r="AK199" t="s">
        <v>202</v>
      </c>
      <c r="AL199" t="s">
        <v>66</v>
      </c>
      <c r="AM199" s="3">
        <v>46275</v>
      </c>
      <c r="AN199" s="4">
        <v>0.24239583333333331</v>
      </c>
      <c r="AO199" t="s">
        <v>848</v>
      </c>
      <c r="AP199" t="s">
        <v>849</v>
      </c>
      <c r="AQ199" t="s">
        <v>69</v>
      </c>
      <c r="AR199">
        <v>90.8</v>
      </c>
      <c r="AS199" t="s">
        <v>70</v>
      </c>
      <c r="AT199" t="s">
        <v>841</v>
      </c>
      <c r="AU199" t="s">
        <v>221</v>
      </c>
      <c r="AV199" t="s">
        <v>73</v>
      </c>
      <c r="AW199" t="str">
        <f t="shared" si="6"/>
        <v>Comunicación social</v>
      </c>
      <c r="AX199" t="str">
        <f t="shared" si="7"/>
        <v>302 3978224</v>
      </c>
      <c r="AY199" t="str">
        <f>IFERROR(INDEX(Vacantes!$C:$C,MATCH(AT199,Vacantes!$A:$A,0)),"")</f>
        <v>127</v>
      </c>
      <c r="AZ199" t="str">
        <f>IFERROR(INDEX(Vacantes!$D:$D,MATCH(AT199,Vacantes!$A:$A,0)),"")</f>
        <v>16 de octubre de 2026</v>
      </c>
      <c r="BA199" t="str">
        <f>IFERROR(INDEX(Vacantes!$E:$E,MATCH(AT199,Vacantes!$A:$A,0)),"")</f>
        <v>1:30 p.m. a 3:30 p.m.</v>
      </c>
    </row>
    <row r="200" spans="1:53" x14ac:dyDescent="0.15">
      <c r="A200" t="s">
        <v>850</v>
      </c>
      <c r="B200" t="s">
        <v>851</v>
      </c>
      <c r="C200" t="s">
        <v>55</v>
      </c>
      <c r="D200">
        <v>1013106151</v>
      </c>
      <c r="E200" t="s">
        <v>76</v>
      </c>
      <c r="F200">
        <v>21</v>
      </c>
      <c r="G200" t="b">
        <v>1</v>
      </c>
      <c r="H200" t="s">
        <v>131</v>
      </c>
      <c r="I200" t="s">
        <v>57</v>
      </c>
      <c r="J200" t="s">
        <v>106</v>
      </c>
      <c r="L200" t="s">
        <v>521</v>
      </c>
      <c r="N200" t="b">
        <v>0</v>
      </c>
      <c r="O200" t="b">
        <v>0</v>
      </c>
      <c r="P200" t="s">
        <v>61</v>
      </c>
      <c r="Q200" t="s">
        <v>144</v>
      </c>
      <c r="R200" t="s">
        <v>113</v>
      </c>
      <c r="W200" t="s">
        <v>108</v>
      </c>
      <c r="AB200" t="b">
        <v>0</v>
      </c>
      <c r="AC200" t="b">
        <v>0</v>
      </c>
      <c r="AE200" t="b">
        <v>0</v>
      </c>
      <c r="AG200" t="b">
        <v>0</v>
      </c>
      <c r="AI200" t="b">
        <v>0</v>
      </c>
      <c r="AK200" t="s">
        <v>153</v>
      </c>
      <c r="AL200" t="s">
        <v>66</v>
      </c>
      <c r="AM200" s="3">
        <v>46274</v>
      </c>
      <c r="AN200" s="4">
        <v>0.31745370370370368</v>
      </c>
      <c r="AO200" t="s">
        <v>852</v>
      </c>
      <c r="AP200" t="s">
        <v>853</v>
      </c>
      <c r="AQ200" t="s">
        <v>69</v>
      </c>
      <c r="AR200">
        <v>90.1</v>
      </c>
      <c r="AS200" t="s">
        <v>70</v>
      </c>
      <c r="AT200" t="s">
        <v>841</v>
      </c>
      <c r="AU200" t="s">
        <v>221</v>
      </c>
      <c r="AV200" t="s">
        <v>73</v>
      </c>
      <c r="AW200" t="str">
        <f t="shared" si="6"/>
        <v>Comunicación social</v>
      </c>
      <c r="AX200" t="str">
        <f t="shared" si="7"/>
        <v>322 8919762</v>
      </c>
      <c r="AY200" t="str">
        <f>IFERROR(INDEX(Vacantes!$C:$C,MATCH(AT200,Vacantes!$A:$A,0)),"")</f>
        <v>127</v>
      </c>
      <c r="AZ200" t="str">
        <f>IFERROR(INDEX(Vacantes!$D:$D,MATCH(AT200,Vacantes!$A:$A,0)),"")</f>
        <v>16 de octubre de 2026</v>
      </c>
      <c r="BA200" t="str">
        <f>IFERROR(INDEX(Vacantes!$E:$E,MATCH(AT200,Vacantes!$A:$A,0)),"")</f>
        <v>1:30 p.m. a 3:30 p.m.</v>
      </c>
    </row>
    <row r="201" spans="1:53" x14ac:dyDescent="0.15">
      <c r="A201" t="s">
        <v>854</v>
      </c>
      <c r="B201" t="s">
        <v>855</v>
      </c>
      <c r="C201" t="s">
        <v>55</v>
      </c>
      <c r="D201">
        <v>1005220378</v>
      </c>
      <c r="E201" t="s">
        <v>76</v>
      </c>
      <c r="F201">
        <v>22</v>
      </c>
      <c r="G201" t="b">
        <v>1</v>
      </c>
      <c r="H201" t="s">
        <v>57</v>
      </c>
      <c r="I201" t="s">
        <v>57</v>
      </c>
      <c r="J201" t="s">
        <v>78</v>
      </c>
      <c r="L201" t="s">
        <v>856</v>
      </c>
      <c r="N201" t="b">
        <v>0</v>
      </c>
      <c r="O201" t="b">
        <v>0</v>
      </c>
      <c r="P201" t="s">
        <v>61</v>
      </c>
      <c r="Q201" t="s">
        <v>144</v>
      </c>
      <c r="R201" t="s">
        <v>62</v>
      </c>
      <c r="W201" t="s">
        <v>108</v>
      </c>
      <c r="AB201" t="b">
        <v>0</v>
      </c>
      <c r="AC201" t="b">
        <v>0</v>
      </c>
      <c r="AE201" t="b">
        <v>0</v>
      </c>
      <c r="AG201" t="b">
        <v>0</v>
      </c>
      <c r="AI201" t="b">
        <v>0</v>
      </c>
      <c r="AK201" t="s">
        <v>94</v>
      </c>
      <c r="AL201" t="s">
        <v>66</v>
      </c>
      <c r="AM201" s="3">
        <v>46259</v>
      </c>
      <c r="AN201" s="4">
        <v>0.86820601851851853</v>
      </c>
      <c r="AO201" t="s">
        <v>857</v>
      </c>
      <c r="AP201" t="s">
        <v>858</v>
      </c>
      <c r="AQ201" t="s">
        <v>69</v>
      </c>
      <c r="AR201">
        <v>97.6</v>
      </c>
      <c r="AS201" t="s">
        <v>70</v>
      </c>
      <c r="AT201" t="s">
        <v>841</v>
      </c>
      <c r="AU201" t="s">
        <v>221</v>
      </c>
      <c r="AV201" t="s">
        <v>73</v>
      </c>
      <c r="AW201" t="str">
        <f t="shared" si="6"/>
        <v>Diseño Gráfico</v>
      </c>
      <c r="AX201" t="str">
        <f t="shared" si="7"/>
        <v>313 2540752</v>
      </c>
      <c r="AY201" t="str">
        <f>IFERROR(INDEX(Vacantes!$C:$C,MATCH(AT201,Vacantes!$A:$A,0)),"")</f>
        <v>127</v>
      </c>
      <c r="AZ201" t="str">
        <f>IFERROR(INDEX(Vacantes!$D:$D,MATCH(AT201,Vacantes!$A:$A,0)),"")</f>
        <v>16 de octubre de 2026</v>
      </c>
      <c r="BA201" t="str">
        <f>IFERROR(INDEX(Vacantes!$E:$E,MATCH(AT201,Vacantes!$A:$A,0)),"")</f>
        <v>1:30 p.m. a 3:30 p.m.</v>
      </c>
    </row>
    <row r="202" spans="1:53" x14ac:dyDescent="0.15">
      <c r="A202" t="s">
        <v>859</v>
      </c>
      <c r="B202" t="s">
        <v>860</v>
      </c>
      <c r="C202" t="s">
        <v>55</v>
      </c>
      <c r="D202">
        <v>1027210266</v>
      </c>
      <c r="E202" t="s">
        <v>76</v>
      </c>
      <c r="F202">
        <v>21</v>
      </c>
      <c r="G202" t="b">
        <v>1</v>
      </c>
      <c r="H202" t="s">
        <v>57</v>
      </c>
      <c r="I202" t="s">
        <v>57</v>
      </c>
      <c r="J202" t="s">
        <v>169</v>
      </c>
      <c r="L202" t="s">
        <v>526</v>
      </c>
      <c r="N202" t="b">
        <v>0</v>
      </c>
      <c r="O202" t="b">
        <v>0</v>
      </c>
      <c r="P202" t="s">
        <v>60</v>
      </c>
      <c r="Q202" t="s">
        <v>60</v>
      </c>
      <c r="R202" t="s">
        <v>108</v>
      </c>
      <c r="W202" t="s">
        <v>113</v>
      </c>
      <c r="AB202" t="b">
        <v>0</v>
      </c>
      <c r="AC202" t="b">
        <v>0</v>
      </c>
      <c r="AE202" t="b">
        <v>0</v>
      </c>
      <c r="AG202" t="b">
        <v>0</v>
      </c>
      <c r="AI202" t="b">
        <v>0</v>
      </c>
      <c r="AK202" t="s">
        <v>94</v>
      </c>
      <c r="AL202" t="s">
        <v>66</v>
      </c>
      <c r="AM202" s="3">
        <v>46261</v>
      </c>
      <c r="AN202" s="4">
        <v>0.90356481481481477</v>
      </c>
      <c r="AO202">
        <v>0</v>
      </c>
      <c r="AP202" t="s">
        <v>861</v>
      </c>
      <c r="AQ202" t="s">
        <v>69</v>
      </c>
      <c r="AR202">
        <v>88.5</v>
      </c>
      <c r="AS202" t="s">
        <v>85</v>
      </c>
      <c r="AT202" t="s">
        <v>841</v>
      </c>
      <c r="AU202" t="s">
        <v>221</v>
      </c>
      <c r="AV202" t="s">
        <v>73</v>
      </c>
      <c r="AW202" t="str">
        <f t="shared" si="6"/>
        <v>Publicidad</v>
      </c>
      <c r="AX202" t="str">
        <f t="shared" si="7"/>
        <v/>
      </c>
      <c r="AY202" t="str">
        <f>IFERROR(INDEX(Vacantes!$C:$C,MATCH(AT202,Vacantes!$A:$A,0)),"")</f>
        <v>127</v>
      </c>
      <c r="AZ202" t="str">
        <f>IFERROR(INDEX(Vacantes!$D:$D,MATCH(AT202,Vacantes!$A:$A,0)),"")</f>
        <v>16 de octubre de 2026</v>
      </c>
      <c r="BA202" t="str">
        <f>IFERROR(INDEX(Vacantes!$E:$E,MATCH(AT202,Vacantes!$A:$A,0)),"")</f>
        <v>1:30 p.m. a 3:30 p.m.</v>
      </c>
    </row>
    <row r="203" spans="1:53" x14ac:dyDescent="0.15">
      <c r="A203" t="s">
        <v>862</v>
      </c>
      <c r="B203" t="s">
        <v>863</v>
      </c>
      <c r="C203" t="s">
        <v>55</v>
      </c>
      <c r="D203">
        <v>1010001901</v>
      </c>
      <c r="E203" t="s">
        <v>76</v>
      </c>
      <c r="F203">
        <v>25</v>
      </c>
      <c r="G203" t="b">
        <v>1</v>
      </c>
      <c r="H203" t="s">
        <v>57</v>
      </c>
      <c r="I203" t="s">
        <v>57</v>
      </c>
      <c r="J203" t="s">
        <v>187</v>
      </c>
      <c r="L203" t="s">
        <v>117</v>
      </c>
      <c r="N203" t="b">
        <v>0</v>
      </c>
      <c r="O203" t="b">
        <v>0</v>
      </c>
      <c r="P203" t="s">
        <v>61</v>
      </c>
      <c r="Q203" t="s">
        <v>60</v>
      </c>
      <c r="R203" t="s">
        <v>108</v>
      </c>
      <c r="W203" t="s">
        <v>113</v>
      </c>
      <c r="AB203" t="b">
        <v>0</v>
      </c>
      <c r="AC203" t="b">
        <v>0</v>
      </c>
      <c r="AE203" t="b">
        <v>0</v>
      </c>
      <c r="AG203" t="b">
        <v>0</v>
      </c>
      <c r="AI203" t="b">
        <v>0</v>
      </c>
      <c r="AK203" t="s">
        <v>65</v>
      </c>
      <c r="AL203" t="s">
        <v>66</v>
      </c>
      <c r="AM203" s="3">
        <v>46261</v>
      </c>
      <c r="AN203" s="4">
        <v>0.55500000000000005</v>
      </c>
      <c r="AO203" t="s">
        <v>864</v>
      </c>
      <c r="AP203" t="s">
        <v>865</v>
      </c>
      <c r="AQ203" t="s">
        <v>69</v>
      </c>
      <c r="AR203">
        <v>87.6</v>
      </c>
      <c r="AS203" t="s">
        <v>70</v>
      </c>
      <c r="AT203" t="s">
        <v>841</v>
      </c>
      <c r="AU203" t="s">
        <v>221</v>
      </c>
      <c r="AV203" t="s">
        <v>73</v>
      </c>
      <c r="AW203" t="str">
        <f t="shared" si="6"/>
        <v>Marketing / Mercadeo</v>
      </c>
      <c r="AX203" t="str">
        <f t="shared" si="7"/>
        <v>316 6382624</v>
      </c>
      <c r="AY203" t="str">
        <f>IFERROR(INDEX(Vacantes!$C:$C,MATCH(AT203,Vacantes!$A:$A,0)),"")</f>
        <v>127</v>
      </c>
      <c r="AZ203" t="str">
        <f>IFERROR(INDEX(Vacantes!$D:$D,MATCH(AT203,Vacantes!$A:$A,0)),"")</f>
        <v>16 de octubre de 2026</v>
      </c>
      <c r="BA203" t="str">
        <f>IFERROR(INDEX(Vacantes!$E:$E,MATCH(AT203,Vacantes!$A:$A,0)),"")</f>
        <v>1:30 p.m. a 3:30 p.m.</v>
      </c>
    </row>
    <row r="204" spans="1:53" x14ac:dyDescent="0.15">
      <c r="A204" t="s">
        <v>866</v>
      </c>
      <c r="B204" t="s">
        <v>867</v>
      </c>
      <c r="C204" t="s">
        <v>55</v>
      </c>
      <c r="D204">
        <v>1013257717</v>
      </c>
      <c r="E204" t="s">
        <v>76</v>
      </c>
      <c r="F204">
        <v>22</v>
      </c>
      <c r="G204" t="b">
        <v>1</v>
      </c>
      <c r="H204" t="s">
        <v>57</v>
      </c>
      <c r="I204" t="s">
        <v>57</v>
      </c>
      <c r="J204" t="s">
        <v>78</v>
      </c>
      <c r="L204" t="s">
        <v>79</v>
      </c>
      <c r="N204" t="b">
        <v>0</v>
      </c>
      <c r="O204" t="b">
        <v>0</v>
      </c>
      <c r="P204" t="s">
        <v>61</v>
      </c>
      <c r="Q204" t="s">
        <v>144</v>
      </c>
      <c r="R204" t="s">
        <v>108</v>
      </c>
      <c r="W204" t="s">
        <v>89</v>
      </c>
      <c r="AB204" t="b">
        <v>0</v>
      </c>
      <c r="AC204" t="b">
        <v>0</v>
      </c>
      <c r="AE204" t="b">
        <v>0</v>
      </c>
      <c r="AG204" t="b">
        <v>0</v>
      </c>
      <c r="AI204" t="b">
        <v>0</v>
      </c>
      <c r="AK204" t="s">
        <v>65</v>
      </c>
      <c r="AL204" t="s">
        <v>66</v>
      </c>
      <c r="AM204" s="3">
        <v>46272</v>
      </c>
      <c r="AN204" s="4">
        <v>0.57504629629629633</v>
      </c>
      <c r="AO204" t="s">
        <v>868</v>
      </c>
      <c r="AP204" t="s">
        <v>869</v>
      </c>
      <c r="AQ204" t="s">
        <v>69</v>
      </c>
      <c r="AR204">
        <v>77.2</v>
      </c>
      <c r="AS204" t="s">
        <v>70</v>
      </c>
      <c r="AT204" t="s">
        <v>841</v>
      </c>
      <c r="AU204" t="s">
        <v>221</v>
      </c>
      <c r="AV204" t="s">
        <v>73</v>
      </c>
      <c r="AW204" t="str">
        <f t="shared" si="6"/>
        <v>Economía</v>
      </c>
      <c r="AX204" t="str">
        <f t="shared" si="7"/>
        <v>300 4247308</v>
      </c>
      <c r="AY204" t="str">
        <f>IFERROR(INDEX(Vacantes!$C:$C,MATCH(AT204,Vacantes!$A:$A,0)),"")</f>
        <v>127</v>
      </c>
      <c r="AZ204" t="str">
        <f>IFERROR(INDEX(Vacantes!$D:$D,MATCH(AT204,Vacantes!$A:$A,0)),"")</f>
        <v>16 de octubre de 2026</v>
      </c>
      <c r="BA204" t="str">
        <f>IFERROR(INDEX(Vacantes!$E:$E,MATCH(AT204,Vacantes!$A:$A,0)),"")</f>
        <v>1:30 p.m. a 3:30 p.m.</v>
      </c>
    </row>
    <row r="205" spans="1:53" x14ac:dyDescent="0.15">
      <c r="A205" t="s">
        <v>870</v>
      </c>
      <c r="B205" t="s">
        <v>871</v>
      </c>
      <c r="C205" t="s">
        <v>55</v>
      </c>
      <c r="D205">
        <v>1000954209</v>
      </c>
      <c r="E205" t="s">
        <v>76</v>
      </c>
      <c r="F205">
        <v>23</v>
      </c>
      <c r="G205" t="b">
        <v>1</v>
      </c>
      <c r="I205" t="s">
        <v>57</v>
      </c>
      <c r="J205" t="s">
        <v>106</v>
      </c>
      <c r="L205" t="s">
        <v>521</v>
      </c>
      <c r="N205" t="b">
        <v>0</v>
      </c>
      <c r="O205" t="b">
        <v>0</v>
      </c>
      <c r="P205" t="s">
        <v>61</v>
      </c>
      <c r="Q205" t="s">
        <v>60</v>
      </c>
      <c r="R205" t="s">
        <v>113</v>
      </c>
      <c r="W205" t="s">
        <v>108</v>
      </c>
      <c r="AB205" t="b">
        <v>0</v>
      </c>
      <c r="AC205" t="b">
        <v>0</v>
      </c>
      <c r="AE205" t="b">
        <v>0</v>
      </c>
      <c r="AG205" t="b">
        <v>0</v>
      </c>
      <c r="AI205" t="b">
        <v>0</v>
      </c>
      <c r="AK205" t="s">
        <v>94</v>
      </c>
      <c r="AL205" t="s">
        <v>66</v>
      </c>
      <c r="AM205" s="3">
        <v>46275</v>
      </c>
      <c r="AN205" s="4">
        <v>0.54839120370370376</v>
      </c>
      <c r="AO205" t="s">
        <v>872</v>
      </c>
      <c r="AP205" t="s">
        <v>873</v>
      </c>
      <c r="AQ205" t="s">
        <v>69</v>
      </c>
      <c r="AR205">
        <v>87.4</v>
      </c>
      <c r="AS205" t="s">
        <v>70</v>
      </c>
      <c r="AT205" t="s">
        <v>841</v>
      </c>
      <c r="AU205" t="s">
        <v>221</v>
      </c>
      <c r="AV205" t="s">
        <v>73</v>
      </c>
      <c r="AW205" t="str">
        <f t="shared" si="6"/>
        <v>Comunicación social</v>
      </c>
      <c r="AX205" t="str">
        <f t="shared" si="7"/>
        <v>316 2331982</v>
      </c>
      <c r="AY205" t="str">
        <f>IFERROR(INDEX(Vacantes!$C:$C,MATCH(AT205,Vacantes!$A:$A,0)),"")</f>
        <v>127</v>
      </c>
      <c r="AZ205" t="str">
        <f>IFERROR(INDEX(Vacantes!$D:$D,MATCH(AT205,Vacantes!$A:$A,0)),"")</f>
        <v>16 de octubre de 2026</v>
      </c>
      <c r="BA205" t="str">
        <f>IFERROR(INDEX(Vacantes!$E:$E,MATCH(AT205,Vacantes!$A:$A,0)),"")</f>
        <v>1:30 p.m. a 3:30 p.m.</v>
      </c>
    </row>
    <row r="206" spans="1:53" x14ac:dyDescent="0.15">
      <c r="A206" t="s">
        <v>874</v>
      </c>
      <c r="B206" t="s">
        <v>875</v>
      </c>
      <c r="C206" t="s">
        <v>55</v>
      </c>
      <c r="D206">
        <v>1000612793</v>
      </c>
      <c r="E206" t="s">
        <v>56</v>
      </c>
      <c r="F206">
        <v>24</v>
      </c>
      <c r="G206" t="b">
        <v>1</v>
      </c>
      <c r="H206" t="s">
        <v>57</v>
      </c>
      <c r="I206" t="s">
        <v>57</v>
      </c>
      <c r="J206" t="s">
        <v>58</v>
      </c>
      <c r="L206" t="s">
        <v>117</v>
      </c>
      <c r="N206" t="b">
        <v>0</v>
      </c>
      <c r="O206" t="b">
        <v>0</v>
      </c>
      <c r="P206" t="s">
        <v>60</v>
      </c>
      <c r="Q206" t="s">
        <v>60</v>
      </c>
      <c r="R206" t="s">
        <v>108</v>
      </c>
      <c r="W206" t="s">
        <v>62</v>
      </c>
      <c r="AB206" t="b">
        <v>0</v>
      </c>
      <c r="AC206" t="b">
        <v>0</v>
      </c>
      <c r="AE206" t="b">
        <v>0</v>
      </c>
      <c r="AG206" t="b">
        <v>0</v>
      </c>
      <c r="AI206" t="b">
        <v>0</v>
      </c>
      <c r="AK206" t="s">
        <v>65</v>
      </c>
      <c r="AL206" t="s">
        <v>66</v>
      </c>
      <c r="AM206" s="3">
        <v>46269</v>
      </c>
      <c r="AN206" s="4">
        <v>0.24945601851851851</v>
      </c>
      <c r="AO206" t="s">
        <v>876</v>
      </c>
      <c r="AP206" t="s">
        <v>877</v>
      </c>
      <c r="AQ206" t="s">
        <v>69</v>
      </c>
      <c r="AR206">
        <v>97.2</v>
      </c>
      <c r="AS206" t="s">
        <v>70</v>
      </c>
      <c r="AT206" t="s">
        <v>878</v>
      </c>
      <c r="AU206" t="s">
        <v>221</v>
      </c>
      <c r="AV206" t="s">
        <v>73</v>
      </c>
      <c r="AW206" t="str">
        <f t="shared" si="6"/>
        <v>Marketing / Mercadeo</v>
      </c>
      <c r="AX206" t="str">
        <f t="shared" si="7"/>
        <v>318 6537732</v>
      </c>
      <c r="AY206" t="str">
        <f>IFERROR(INDEX(Vacantes!$C:$C,MATCH(AT206,Vacantes!$A:$A,0)),"")</f>
        <v>127</v>
      </c>
      <c r="AZ206" t="str">
        <f>IFERROR(INDEX(Vacantes!$D:$D,MATCH(AT206,Vacantes!$A:$A,0)),"")</f>
        <v>16 de octubre de 2026</v>
      </c>
      <c r="BA206" t="str">
        <f>IFERROR(INDEX(Vacantes!$E:$E,MATCH(AT206,Vacantes!$A:$A,0)),"")</f>
        <v>1:30 p.m. a 3:30 p.m.</v>
      </c>
    </row>
    <row r="207" spans="1:53" x14ac:dyDescent="0.15">
      <c r="A207" t="s">
        <v>879</v>
      </c>
      <c r="B207" t="s">
        <v>880</v>
      </c>
      <c r="C207" t="s">
        <v>55</v>
      </c>
      <c r="D207">
        <v>1011092812</v>
      </c>
      <c r="E207" t="s">
        <v>56</v>
      </c>
      <c r="F207">
        <v>20</v>
      </c>
      <c r="G207" t="b">
        <v>1</v>
      </c>
      <c r="H207" t="s">
        <v>57</v>
      </c>
      <c r="I207" t="s">
        <v>57</v>
      </c>
      <c r="J207" t="s">
        <v>242</v>
      </c>
      <c r="L207" t="s">
        <v>521</v>
      </c>
      <c r="N207" t="b">
        <v>0</v>
      </c>
      <c r="O207" t="b">
        <v>0</v>
      </c>
      <c r="P207" t="s">
        <v>61</v>
      </c>
      <c r="Q207" t="s">
        <v>144</v>
      </c>
      <c r="R207" t="s">
        <v>108</v>
      </c>
      <c r="W207" t="s">
        <v>113</v>
      </c>
      <c r="AB207" t="b">
        <v>0</v>
      </c>
      <c r="AC207" t="b">
        <v>0</v>
      </c>
      <c r="AE207" t="b">
        <v>0</v>
      </c>
      <c r="AG207" t="b">
        <v>0</v>
      </c>
      <c r="AI207" t="b">
        <v>0</v>
      </c>
      <c r="AK207" t="s">
        <v>202</v>
      </c>
      <c r="AL207" t="s">
        <v>66</v>
      </c>
      <c r="AM207" s="3">
        <v>46259</v>
      </c>
      <c r="AN207" s="4">
        <v>0.33584490740740741</v>
      </c>
      <c r="AO207" t="s">
        <v>881</v>
      </c>
      <c r="AP207" t="s">
        <v>882</v>
      </c>
      <c r="AQ207" t="s">
        <v>69</v>
      </c>
      <c r="AR207">
        <v>96.2</v>
      </c>
      <c r="AS207" t="s">
        <v>70</v>
      </c>
      <c r="AT207" t="s">
        <v>878</v>
      </c>
      <c r="AU207" t="s">
        <v>221</v>
      </c>
      <c r="AV207" t="s">
        <v>73</v>
      </c>
      <c r="AW207" t="str">
        <f t="shared" si="6"/>
        <v>Comunicación social</v>
      </c>
      <c r="AX207" t="str">
        <f t="shared" si="7"/>
        <v>322 4654910</v>
      </c>
      <c r="AY207" t="str">
        <f>IFERROR(INDEX(Vacantes!$C:$C,MATCH(AT207,Vacantes!$A:$A,0)),"")</f>
        <v>127</v>
      </c>
      <c r="AZ207" t="str">
        <f>IFERROR(INDEX(Vacantes!$D:$D,MATCH(AT207,Vacantes!$A:$A,0)),"")</f>
        <v>16 de octubre de 2026</v>
      </c>
      <c r="BA207" t="str">
        <f>IFERROR(INDEX(Vacantes!$E:$E,MATCH(AT207,Vacantes!$A:$A,0)),"")</f>
        <v>1:30 p.m. a 3:30 p.m.</v>
      </c>
    </row>
    <row r="208" spans="1:53" x14ac:dyDescent="0.15">
      <c r="A208" t="s">
        <v>883</v>
      </c>
      <c r="B208" t="s">
        <v>884</v>
      </c>
      <c r="C208" t="s">
        <v>55</v>
      </c>
      <c r="D208">
        <v>1044602243</v>
      </c>
      <c r="E208" t="s">
        <v>56</v>
      </c>
      <c r="F208">
        <v>22</v>
      </c>
      <c r="G208" t="b">
        <v>1</v>
      </c>
      <c r="H208" t="s">
        <v>885</v>
      </c>
      <c r="I208" t="s">
        <v>57</v>
      </c>
      <c r="J208" t="s">
        <v>106</v>
      </c>
      <c r="L208" t="s">
        <v>134</v>
      </c>
      <c r="N208" t="b">
        <v>0</v>
      </c>
      <c r="O208" t="b">
        <v>0</v>
      </c>
      <c r="P208" t="s">
        <v>61</v>
      </c>
      <c r="Q208" t="s">
        <v>61</v>
      </c>
      <c r="R208" t="s">
        <v>108</v>
      </c>
      <c r="W208" t="s">
        <v>109</v>
      </c>
      <c r="AA208" t="s">
        <v>110</v>
      </c>
      <c r="AB208" t="b">
        <v>0</v>
      </c>
      <c r="AC208" t="b">
        <v>0</v>
      </c>
      <c r="AE208" t="b">
        <v>0</v>
      </c>
      <c r="AG208" t="b">
        <v>0</v>
      </c>
      <c r="AI208" t="b">
        <v>0</v>
      </c>
      <c r="AK208" t="s">
        <v>94</v>
      </c>
      <c r="AL208" t="s">
        <v>66</v>
      </c>
      <c r="AM208" s="3">
        <v>46277</v>
      </c>
      <c r="AN208" s="4">
        <v>0.6293171296296296</v>
      </c>
      <c r="AO208" t="s">
        <v>886</v>
      </c>
      <c r="AP208" t="s">
        <v>887</v>
      </c>
      <c r="AQ208" t="s">
        <v>69</v>
      </c>
      <c r="AR208">
        <v>78.5</v>
      </c>
      <c r="AS208" t="s">
        <v>70</v>
      </c>
      <c r="AT208" t="s">
        <v>878</v>
      </c>
      <c r="AU208" t="s">
        <v>221</v>
      </c>
      <c r="AV208" t="s">
        <v>73</v>
      </c>
      <c r="AW208" t="str">
        <f t="shared" si="6"/>
        <v>Negocios Internacionales</v>
      </c>
      <c r="AX208" t="str">
        <f t="shared" si="7"/>
        <v>+32 3 380 64 19</v>
      </c>
      <c r="AY208" t="str">
        <f>IFERROR(INDEX(Vacantes!$C:$C,MATCH(AT208,Vacantes!$A:$A,0)),"")</f>
        <v>127</v>
      </c>
      <c r="AZ208" t="str">
        <f>IFERROR(INDEX(Vacantes!$D:$D,MATCH(AT208,Vacantes!$A:$A,0)),"")</f>
        <v>16 de octubre de 2026</v>
      </c>
      <c r="BA208" t="str">
        <f>IFERROR(INDEX(Vacantes!$E:$E,MATCH(AT208,Vacantes!$A:$A,0)),"")</f>
        <v>1:30 p.m. a 3:30 p.m.</v>
      </c>
    </row>
    <row r="209" spans="1:53" x14ac:dyDescent="0.15">
      <c r="A209" t="s">
        <v>888</v>
      </c>
      <c r="B209" t="s">
        <v>889</v>
      </c>
      <c r="C209" t="s">
        <v>55</v>
      </c>
      <c r="D209">
        <v>1015400341</v>
      </c>
      <c r="E209" t="s">
        <v>76</v>
      </c>
      <c r="F209">
        <v>21</v>
      </c>
      <c r="G209" t="b">
        <v>1</v>
      </c>
      <c r="H209" t="s">
        <v>57</v>
      </c>
      <c r="I209" t="s">
        <v>57</v>
      </c>
      <c r="J209" t="s">
        <v>890</v>
      </c>
      <c r="L209" t="s">
        <v>107</v>
      </c>
      <c r="N209" t="b">
        <v>0</v>
      </c>
      <c r="O209" t="b">
        <v>0</v>
      </c>
      <c r="P209" t="s">
        <v>60</v>
      </c>
      <c r="Q209" t="s">
        <v>61</v>
      </c>
      <c r="R209" t="s">
        <v>108</v>
      </c>
      <c r="W209" t="s">
        <v>109</v>
      </c>
      <c r="AA209" t="s">
        <v>283</v>
      </c>
      <c r="AB209" t="b">
        <v>0</v>
      </c>
      <c r="AC209" t="b">
        <v>0</v>
      </c>
      <c r="AE209" t="b">
        <v>0</v>
      </c>
      <c r="AG209" t="b">
        <v>0</v>
      </c>
      <c r="AI209" t="b">
        <v>0</v>
      </c>
      <c r="AK209" t="s">
        <v>248</v>
      </c>
      <c r="AL209" t="s">
        <v>66</v>
      </c>
      <c r="AM209" s="3">
        <v>46258</v>
      </c>
      <c r="AN209" s="4">
        <v>0.76322916666666663</v>
      </c>
      <c r="AO209">
        <v>0</v>
      </c>
      <c r="AP209" t="s">
        <v>891</v>
      </c>
      <c r="AQ209" t="s">
        <v>69</v>
      </c>
      <c r="AR209">
        <v>86.2</v>
      </c>
      <c r="AS209" t="s">
        <v>70</v>
      </c>
      <c r="AT209" t="s">
        <v>878</v>
      </c>
      <c r="AU209" t="s">
        <v>221</v>
      </c>
      <c r="AV209" t="s">
        <v>73</v>
      </c>
      <c r="AW209" t="str">
        <f t="shared" si="6"/>
        <v>Administración de Empresas</v>
      </c>
      <c r="AX209" t="str">
        <f t="shared" si="7"/>
        <v/>
      </c>
      <c r="AY209" t="str">
        <f>IFERROR(INDEX(Vacantes!$C:$C,MATCH(AT209,Vacantes!$A:$A,0)),"")</f>
        <v>127</v>
      </c>
      <c r="AZ209" t="str">
        <f>IFERROR(INDEX(Vacantes!$D:$D,MATCH(AT209,Vacantes!$A:$A,0)),"")</f>
        <v>16 de octubre de 2026</v>
      </c>
      <c r="BA209" t="str">
        <f>IFERROR(INDEX(Vacantes!$E:$E,MATCH(AT209,Vacantes!$A:$A,0)),"")</f>
        <v>1:30 p.m. a 3:30 p.m.</v>
      </c>
    </row>
    <row r="210" spans="1:53" x14ac:dyDescent="0.15">
      <c r="A210" t="s">
        <v>892</v>
      </c>
      <c r="B210" t="s">
        <v>893</v>
      </c>
      <c r="C210" t="s">
        <v>55</v>
      </c>
      <c r="D210">
        <v>1013259195</v>
      </c>
      <c r="E210" t="s">
        <v>56</v>
      </c>
      <c r="F210">
        <v>21</v>
      </c>
      <c r="G210" t="b">
        <v>1</v>
      </c>
      <c r="I210" t="s">
        <v>57</v>
      </c>
      <c r="J210" t="s">
        <v>58</v>
      </c>
      <c r="L210" t="s">
        <v>134</v>
      </c>
      <c r="N210" t="b">
        <v>1</v>
      </c>
      <c r="O210" t="b">
        <v>0</v>
      </c>
      <c r="P210" t="s">
        <v>60</v>
      </c>
      <c r="Q210" t="s">
        <v>60</v>
      </c>
      <c r="R210" t="s">
        <v>109</v>
      </c>
      <c r="V210" t="s">
        <v>188</v>
      </c>
      <c r="W210" t="s">
        <v>108</v>
      </c>
      <c r="AB210" t="b">
        <v>0</v>
      </c>
      <c r="AC210" t="b">
        <v>0</v>
      </c>
      <c r="AE210" t="b">
        <v>0</v>
      </c>
      <c r="AG210" t="b">
        <v>0</v>
      </c>
      <c r="AI210" t="b">
        <v>0</v>
      </c>
      <c r="AK210" t="s">
        <v>65</v>
      </c>
      <c r="AL210" t="s">
        <v>66</v>
      </c>
      <c r="AM210" s="3">
        <v>46278</v>
      </c>
      <c r="AN210" s="4">
        <v>0.56480324074074073</v>
      </c>
      <c r="AO210" t="s">
        <v>894</v>
      </c>
      <c r="AP210" t="s">
        <v>895</v>
      </c>
      <c r="AQ210" t="s">
        <v>69</v>
      </c>
      <c r="AR210">
        <v>73.099999999999994</v>
      </c>
      <c r="AS210" t="s">
        <v>70</v>
      </c>
      <c r="AT210" t="s">
        <v>878</v>
      </c>
      <c r="AU210" t="s">
        <v>221</v>
      </c>
      <c r="AV210" t="s">
        <v>73</v>
      </c>
      <c r="AW210" t="str">
        <f t="shared" si="6"/>
        <v>Negocios Internacionales</v>
      </c>
      <c r="AX210" t="str">
        <f t="shared" si="7"/>
        <v>310 4858949</v>
      </c>
      <c r="AY210" t="str">
        <f>IFERROR(INDEX(Vacantes!$C:$C,MATCH(AT210,Vacantes!$A:$A,0)),"")</f>
        <v>127</v>
      </c>
      <c r="AZ210" t="str">
        <f>IFERROR(INDEX(Vacantes!$D:$D,MATCH(AT210,Vacantes!$A:$A,0)),"")</f>
        <v>16 de octubre de 2026</v>
      </c>
      <c r="BA210" t="str">
        <f>IFERROR(INDEX(Vacantes!$E:$E,MATCH(AT210,Vacantes!$A:$A,0)),"")</f>
        <v>1:30 p.m. a 3:30 p.m.</v>
      </c>
    </row>
    <row r="211" spans="1:53" x14ac:dyDescent="0.15">
      <c r="A211" t="s">
        <v>896</v>
      </c>
      <c r="B211" t="s">
        <v>897</v>
      </c>
      <c r="C211" t="s">
        <v>55</v>
      </c>
      <c r="D211">
        <v>1025060402</v>
      </c>
      <c r="E211" t="s">
        <v>76</v>
      </c>
      <c r="F211">
        <v>22</v>
      </c>
      <c r="G211" t="b">
        <v>1</v>
      </c>
      <c r="I211" t="s">
        <v>57</v>
      </c>
      <c r="J211" t="s">
        <v>78</v>
      </c>
      <c r="L211" t="s">
        <v>856</v>
      </c>
      <c r="N211" t="b">
        <v>0</v>
      </c>
      <c r="O211" t="b">
        <v>0</v>
      </c>
      <c r="P211" t="s">
        <v>61</v>
      </c>
      <c r="Q211" t="s">
        <v>898</v>
      </c>
      <c r="R211" t="s">
        <v>108</v>
      </c>
      <c r="W211" t="s">
        <v>113</v>
      </c>
      <c r="AB211" t="b">
        <v>0</v>
      </c>
      <c r="AC211" t="b">
        <v>0</v>
      </c>
      <c r="AE211" t="b">
        <v>0</v>
      </c>
      <c r="AG211" t="b">
        <v>0</v>
      </c>
      <c r="AI211" t="b">
        <v>0</v>
      </c>
      <c r="AK211" t="s">
        <v>530</v>
      </c>
      <c r="AL211" t="s">
        <v>66</v>
      </c>
      <c r="AM211" s="3">
        <v>46278</v>
      </c>
      <c r="AN211" s="4">
        <v>0.62832175925925926</v>
      </c>
      <c r="AO211">
        <v>3012747419</v>
      </c>
      <c r="AP211" t="s">
        <v>899</v>
      </c>
      <c r="AQ211" t="s">
        <v>69</v>
      </c>
      <c r="AR211">
        <v>74.2</v>
      </c>
      <c r="AS211" t="s">
        <v>70</v>
      </c>
      <c r="AT211" t="s">
        <v>878</v>
      </c>
      <c r="AU211" t="s">
        <v>221</v>
      </c>
      <c r="AV211" t="s">
        <v>73</v>
      </c>
      <c r="AW211" t="str">
        <f t="shared" si="6"/>
        <v>Diseño Gráfico</v>
      </c>
      <c r="AX211" t="str">
        <f t="shared" si="7"/>
        <v>3012747419</v>
      </c>
      <c r="AY211" t="str">
        <f>IFERROR(INDEX(Vacantes!$C:$C,MATCH(AT211,Vacantes!$A:$A,0)),"")</f>
        <v>127</v>
      </c>
      <c r="AZ211" t="str">
        <f>IFERROR(INDEX(Vacantes!$D:$D,MATCH(AT211,Vacantes!$A:$A,0)),"")</f>
        <v>16 de octubre de 2026</v>
      </c>
      <c r="BA211" t="str">
        <f>IFERROR(INDEX(Vacantes!$E:$E,MATCH(AT211,Vacantes!$A:$A,0)),"")</f>
        <v>1:30 p.m. a 3:30 p.m.</v>
      </c>
    </row>
    <row r="212" spans="1:53" x14ac:dyDescent="0.15">
      <c r="A212" t="s">
        <v>900</v>
      </c>
      <c r="B212" t="s">
        <v>901</v>
      </c>
      <c r="C212" t="s">
        <v>55</v>
      </c>
      <c r="D212">
        <v>1054283488</v>
      </c>
      <c r="E212" t="s">
        <v>76</v>
      </c>
      <c r="F212">
        <v>20</v>
      </c>
      <c r="G212" t="b">
        <v>1</v>
      </c>
      <c r="H212" t="s">
        <v>902</v>
      </c>
      <c r="I212" t="s">
        <v>57</v>
      </c>
      <c r="J212" t="s">
        <v>495</v>
      </c>
      <c r="L212" t="s">
        <v>134</v>
      </c>
      <c r="N212" t="b">
        <v>0</v>
      </c>
      <c r="O212" t="b">
        <v>0</v>
      </c>
      <c r="P212" t="s">
        <v>60</v>
      </c>
      <c r="Q212" t="s">
        <v>144</v>
      </c>
      <c r="R212" t="s">
        <v>108</v>
      </c>
      <c r="W212" t="s">
        <v>113</v>
      </c>
      <c r="AB212" t="b">
        <v>0</v>
      </c>
      <c r="AC212" t="b">
        <v>0</v>
      </c>
      <c r="AE212" t="b">
        <v>0</v>
      </c>
      <c r="AG212" t="b">
        <v>0</v>
      </c>
      <c r="AI212" t="b">
        <v>0</v>
      </c>
      <c r="AK212" t="s">
        <v>65</v>
      </c>
      <c r="AL212" t="s">
        <v>66</v>
      </c>
      <c r="AM212" s="3">
        <v>46278</v>
      </c>
      <c r="AN212" s="4">
        <v>0.52385416666666662</v>
      </c>
      <c r="AO212">
        <v>3203673260</v>
      </c>
      <c r="AP212" t="s">
        <v>903</v>
      </c>
      <c r="AQ212" t="s">
        <v>69</v>
      </c>
      <c r="AR212">
        <v>83.2</v>
      </c>
      <c r="AS212" t="s">
        <v>70</v>
      </c>
      <c r="AT212" t="s">
        <v>904</v>
      </c>
      <c r="AU212" t="s">
        <v>221</v>
      </c>
      <c r="AV212" t="s">
        <v>73</v>
      </c>
      <c r="AW212" t="str">
        <f t="shared" si="6"/>
        <v>Negocios Internacionales</v>
      </c>
      <c r="AX212" t="str">
        <f t="shared" si="7"/>
        <v>3203673260</v>
      </c>
      <c r="AY212" t="str">
        <f>IFERROR(INDEX(Vacantes!$C:$C,MATCH(AT212,Vacantes!$A:$A,0)),"")</f>
        <v>127</v>
      </c>
      <c r="AZ212" t="str">
        <f>IFERROR(INDEX(Vacantes!$D:$D,MATCH(AT212,Vacantes!$A:$A,0)),"")</f>
        <v>16 de octubre de 2026</v>
      </c>
      <c r="BA212" t="str">
        <f>IFERROR(INDEX(Vacantes!$E:$E,MATCH(AT212,Vacantes!$A:$A,0)),"")</f>
        <v>1:30 p.m. a 3:30 p.m.</v>
      </c>
    </row>
    <row r="213" spans="1:53" x14ac:dyDescent="0.15">
      <c r="A213" t="s">
        <v>905</v>
      </c>
      <c r="B213" t="s">
        <v>906</v>
      </c>
      <c r="C213" t="s">
        <v>55</v>
      </c>
      <c r="D213">
        <v>1011321660</v>
      </c>
      <c r="E213" t="s">
        <v>76</v>
      </c>
      <c r="F213">
        <v>21</v>
      </c>
      <c r="G213" t="b">
        <v>1</v>
      </c>
      <c r="I213" t="s">
        <v>57</v>
      </c>
      <c r="J213" t="s">
        <v>150</v>
      </c>
      <c r="L213" t="s">
        <v>521</v>
      </c>
      <c r="N213" t="b">
        <v>0</v>
      </c>
      <c r="O213" t="b">
        <v>0</v>
      </c>
      <c r="P213" t="s">
        <v>61</v>
      </c>
      <c r="Q213" t="s">
        <v>144</v>
      </c>
      <c r="R213" t="s">
        <v>108</v>
      </c>
      <c r="W213" t="s">
        <v>113</v>
      </c>
      <c r="AB213" t="b">
        <v>0</v>
      </c>
      <c r="AC213" t="b">
        <v>0</v>
      </c>
      <c r="AE213" t="b">
        <v>0</v>
      </c>
      <c r="AG213" t="b">
        <v>0</v>
      </c>
      <c r="AI213" t="b">
        <v>0</v>
      </c>
      <c r="AK213" t="s">
        <v>65</v>
      </c>
      <c r="AL213" t="s">
        <v>66</v>
      </c>
      <c r="AM213" s="3">
        <v>46255</v>
      </c>
      <c r="AN213" s="4">
        <v>0.59878472222222223</v>
      </c>
      <c r="AO213" t="s">
        <v>907</v>
      </c>
      <c r="AP213" t="s">
        <v>908</v>
      </c>
      <c r="AQ213" t="s">
        <v>69</v>
      </c>
      <c r="AR213">
        <v>93.2</v>
      </c>
      <c r="AS213" t="s">
        <v>70</v>
      </c>
      <c r="AT213" t="s">
        <v>904</v>
      </c>
      <c r="AU213" t="s">
        <v>221</v>
      </c>
      <c r="AV213" t="s">
        <v>73</v>
      </c>
      <c r="AW213" t="str">
        <f t="shared" si="6"/>
        <v>Comunicación social</v>
      </c>
      <c r="AX213" t="str">
        <f t="shared" si="7"/>
        <v>310 7994203</v>
      </c>
      <c r="AY213" t="str">
        <f>IFERROR(INDEX(Vacantes!$C:$C,MATCH(AT213,Vacantes!$A:$A,0)),"")</f>
        <v>127</v>
      </c>
      <c r="AZ213" t="str">
        <f>IFERROR(INDEX(Vacantes!$D:$D,MATCH(AT213,Vacantes!$A:$A,0)),"")</f>
        <v>16 de octubre de 2026</v>
      </c>
      <c r="BA213" t="str">
        <f>IFERROR(INDEX(Vacantes!$E:$E,MATCH(AT213,Vacantes!$A:$A,0)),"")</f>
        <v>1:30 p.m. a 3:30 p.m.</v>
      </c>
    </row>
    <row r="214" spans="1:53" x14ac:dyDescent="0.15">
      <c r="A214" t="s">
        <v>909</v>
      </c>
      <c r="B214" t="s">
        <v>910</v>
      </c>
      <c r="C214" t="s">
        <v>55</v>
      </c>
      <c r="D214">
        <v>1066866461</v>
      </c>
      <c r="E214" t="s">
        <v>76</v>
      </c>
      <c r="F214">
        <v>21</v>
      </c>
      <c r="G214" t="b">
        <v>1</v>
      </c>
      <c r="H214" t="s">
        <v>88</v>
      </c>
      <c r="I214" t="s">
        <v>57</v>
      </c>
      <c r="J214" t="s">
        <v>458</v>
      </c>
      <c r="L214" t="s">
        <v>107</v>
      </c>
      <c r="N214" t="b">
        <v>0</v>
      </c>
      <c r="O214" t="b">
        <v>0</v>
      </c>
      <c r="P214" t="s">
        <v>61</v>
      </c>
      <c r="Q214" t="s">
        <v>61</v>
      </c>
      <c r="R214" t="s">
        <v>108</v>
      </c>
      <c r="W214" t="s">
        <v>113</v>
      </c>
      <c r="AB214" t="b">
        <v>0</v>
      </c>
      <c r="AC214" t="b">
        <v>0</v>
      </c>
      <c r="AE214" t="b">
        <v>0</v>
      </c>
      <c r="AG214" t="b">
        <v>0</v>
      </c>
      <c r="AI214" t="b">
        <v>0</v>
      </c>
      <c r="AK214" t="s">
        <v>65</v>
      </c>
      <c r="AL214" t="s">
        <v>66</v>
      </c>
      <c r="AM214" s="3">
        <v>46260</v>
      </c>
      <c r="AN214" s="4">
        <v>0.74033564814814812</v>
      </c>
      <c r="AO214" t="s">
        <v>911</v>
      </c>
      <c r="AP214" t="s">
        <v>912</v>
      </c>
      <c r="AQ214" t="s">
        <v>69</v>
      </c>
      <c r="AR214">
        <v>92.5</v>
      </c>
      <c r="AS214" t="s">
        <v>70</v>
      </c>
      <c r="AT214" t="s">
        <v>904</v>
      </c>
      <c r="AU214" t="s">
        <v>221</v>
      </c>
      <c r="AV214" t="s">
        <v>73</v>
      </c>
      <c r="AW214" t="str">
        <f t="shared" si="6"/>
        <v>Administración de Empresas</v>
      </c>
      <c r="AX214" t="str">
        <f t="shared" si="7"/>
        <v>301 6356209</v>
      </c>
      <c r="AY214" t="str">
        <f>IFERROR(INDEX(Vacantes!$C:$C,MATCH(AT214,Vacantes!$A:$A,0)),"")</f>
        <v>127</v>
      </c>
      <c r="AZ214" t="str">
        <f>IFERROR(INDEX(Vacantes!$D:$D,MATCH(AT214,Vacantes!$A:$A,0)),"")</f>
        <v>16 de octubre de 2026</v>
      </c>
      <c r="BA214" t="str">
        <f>IFERROR(INDEX(Vacantes!$E:$E,MATCH(AT214,Vacantes!$A:$A,0)),"")</f>
        <v>1:30 p.m. a 3:30 p.m.</v>
      </c>
    </row>
    <row r="215" spans="1:53" x14ac:dyDescent="0.15">
      <c r="A215" t="s">
        <v>913</v>
      </c>
      <c r="B215" t="s">
        <v>914</v>
      </c>
      <c r="C215" t="s">
        <v>55</v>
      </c>
      <c r="D215">
        <v>1023082974</v>
      </c>
      <c r="E215" t="s">
        <v>76</v>
      </c>
      <c r="F215">
        <v>21</v>
      </c>
      <c r="G215" t="b">
        <v>1</v>
      </c>
      <c r="I215" t="s">
        <v>57</v>
      </c>
      <c r="J215" t="s">
        <v>106</v>
      </c>
      <c r="L215" t="s">
        <v>521</v>
      </c>
      <c r="N215" t="b">
        <v>0</v>
      </c>
      <c r="O215" t="b">
        <v>0</v>
      </c>
      <c r="P215" t="s">
        <v>61</v>
      </c>
      <c r="Q215" t="s">
        <v>60</v>
      </c>
      <c r="R215" t="s">
        <v>113</v>
      </c>
      <c r="W215" t="s">
        <v>108</v>
      </c>
      <c r="AB215" t="b">
        <v>0</v>
      </c>
      <c r="AC215" t="b">
        <v>0</v>
      </c>
      <c r="AE215" t="b">
        <v>0</v>
      </c>
      <c r="AG215" t="b">
        <v>0</v>
      </c>
      <c r="AI215" t="b">
        <v>0</v>
      </c>
      <c r="AK215" t="s">
        <v>94</v>
      </c>
      <c r="AL215" t="s">
        <v>66</v>
      </c>
      <c r="AM215" s="3">
        <v>46255</v>
      </c>
      <c r="AN215" s="4">
        <v>0.41468749999999999</v>
      </c>
      <c r="AO215" t="s">
        <v>915</v>
      </c>
      <c r="AP215" t="s">
        <v>916</v>
      </c>
      <c r="AQ215" t="s">
        <v>69</v>
      </c>
      <c r="AR215">
        <v>90.1</v>
      </c>
      <c r="AS215" t="s">
        <v>70</v>
      </c>
      <c r="AT215" t="s">
        <v>904</v>
      </c>
      <c r="AU215" t="s">
        <v>221</v>
      </c>
      <c r="AV215" t="s">
        <v>73</v>
      </c>
      <c r="AW215" t="str">
        <f t="shared" si="6"/>
        <v>Comunicación social</v>
      </c>
      <c r="AX215" t="str">
        <f t="shared" si="7"/>
        <v>302 4653702</v>
      </c>
      <c r="AY215" t="str">
        <f>IFERROR(INDEX(Vacantes!$C:$C,MATCH(AT215,Vacantes!$A:$A,0)),"")</f>
        <v>127</v>
      </c>
      <c r="AZ215" t="str">
        <f>IFERROR(INDEX(Vacantes!$D:$D,MATCH(AT215,Vacantes!$A:$A,0)),"")</f>
        <v>16 de octubre de 2026</v>
      </c>
      <c r="BA215" t="str">
        <f>IFERROR(INDEX(Vacantes!$E:$E,MATCH(AT215,Vacantes!$A:$A,0)),"")</f>
        <v>1:30 p.m. a 3:30 p.m.</v>
      </c>
    </row>
    <row r="216" spans="1:53" x14ac:dyDescent="0.15">
      <c r="A216" t="s">
        <v>917</v>
      </c>
      <c r="B216" t="s">
        <v>918</v>
      </c>
      <c r="C216" t="s">
        <v>55</v>
      </c>
      <c r="D216">
        <v>1013260068</v>
      </c>
      <c r="E216" t="s">
        <v>56</v>
      </c>
      <c r="F216">
        <v>21</v>
      </c>
      <c r="G216" t="b">
        <v>1</v>
      </c>
      <c r="H216" t="s">
        <v>88</v>
      </c>
      <c r="I216" t="s">
        <v>57</v>
      </c>
      <c r="J216" t="s">
        <v>187</v>
      </c>
      <c r="L216" t="s">
        <v>117</v>
      </c>
      <c r="N216" t="b">
        <v>0</v>
      </c>
      <c r="O216" t="b">
        <v>0</v>
      </c>
      <c r="P216" t="s">
        <v>61</v>
      </c>
      <c r="Q216" t="s">
        <v>60</v>
      </c>
      <c r="R216" t="s">
        <v>108</v>
      </c>
      <c r="W216" t="s">
        <v>135</v>
      </c>
      <c r="AB216" t="b">
        <v>0</v>
      </c>
      <c r="AC216" t="b">
        <v>0</v>
      </c>
      <c r="AE216" t="b">
        <v>0</v>
      </c>
      <c r="AG216" t="b">
        <v>0</v>
      </c>
      <c r="AI216" t="b">
        <v>0</v>
      </c>
      <c r="AK216" t="s">
        <v>202</v>
      </c>
      <c r="AL216" t="s">
        <v>66</v>
      </c>
      <c r="AM216" s="3">
        <v>46264</v>
      </c>
      <c r="AN216" s="4">
        <v>0.43060185185185179</v>
      </c>
      <c r="AO216">
        <v>3158221182</v>
      </c>
      <c r="AP216" t="s">
        <v>919</v>
      </c>
      <c r="AQ216" t="s">
        <v>69</v>
      </c>
      <c r="AR216">
        <v>95.6</v>
      </c>
      <c r="AS216" t="s">
        <v>70</v>
      </c>
      <c r="AT216" t="s">
        <v>904</v>
      </c>
      <c r="AU216" t="s">
        <v>221</v>
      </c>
      <c r="AV216" t="s">
        <v>73</v>
      </c>
      <c r="AW216" t="str">
        <f t="shared" si="6"/>
        <v>Marketing / Mercadeo</v>
      </c>
      <c r="AX216" t="str">
        <f t="shared" si="7"/>
        <v>3158221182</v>
      </c>
      <c r="AY216" t="str">
        <f>IFERROR(INDEX(Vacantes!$C:$C,MATCH(AT216,Vacantes!$A:$A,0)),"")</f>
        <v>127</v>
      </c>
      <c r="AZ216" t="str">
        <f>IFERROR(INDEX(Vacantes!$D:$D,MATCH(AT216,Vacantes!$A:$A,0)),"")</f>
        <v>16 de octubre de 2026</v>
      </c>
      <c r="BA216" t="str">
        <f>IFERROR(INDEX(Vacantes!$E:$E,MATCH(AT216,Vacantes!$A:$A,0)),"")</f>
        <v>1:30 p.m. a 3:30 p.m.</v>
      </c>
    </row>
    <row r="217" spans="1:53" x14ac:dyDescent="0.15">
      <c r="A217" t="s">
        <v>920</v>
      </c>
      <c r="B217" t="s">
        <v>921</v>
      </c>
      <c r="C217" t="s">
        <v>55</v>
      </c>
      <c r="D217">
        <v>1002479999</v>
      </c>
      <c r="E217" t="s">
        <v>56</v>
      </c>
      <c r="F217">
        <v>24</v>
      </c>
      <c r="G217" t="b">
        <v>1</v>
      </c>
      <c r="H217" t="s">
        <v>922</v>
      </c>
      <c r="I217" t="s">
        <v>57</v>
      </c>
      <c r="J217" t="s">
        <v>495</v>
      </c>
      <c r="L217" t="s">
        <v>134</v>
      </c>
      <c r="N217" t="b">
        <v>0</v>
      </c>
      <c r="O217" t="b">
        <v>0</v>
      </c>
      <c r="P217" t="s">
        <v>60</v>
      </c>
      <c r="Q217" t="s">
        <v>144</v>
      </c>
      <c r="R217" t="s">
        <v>108</v>
      </c>
      <c r="W217" t="s">
        <v>109</v>
      </c>
      <c r="AA217" t="s">
        <v>110</v>
      </c>
      <c r="AB217" t="b">
        <v>0</v>
      </c>
      <c r="AC217" t="b">
        <v>0</v>
      </c>
      <c r="AE217" t="b">
        <v>0</v>
      </c>
      <c r="AG217" t="b">
        <v>0</v>
      </c>
      <c r="AI217" t="b">
        <v>0</v>
      </c>
      <c r="AK217" t="s">
        <v>94</v>
      </c>
      <c r="AL217" t="s">
        <v>66</v>
      </c>
      <c r="AM217" s="3">
        <v>46275</v>
      </c>
      <c r="AN217" s="4">
        <v>0.76518518518518519</v>
      </c>
      <c r="AO217" t="s">
        <v>923</v>
      </c>
      <c r="AP217" t="s">
        <v>924</v>
      </c>
      <c r="AQ217" t="s">
        <v>69</v>
      </c>
      <c r="AR217">
        <v>95.7</v>
      </c>
      <c r="AS217" t="s">
        <v>70</v>
      </c>
      <c r="AT217" t="s">
        <v>904</v>
      </c>
      <c r="AU217" t="s">
        <v>221</v>
      </c>
      <c r="AV217" t="s">
        <v>73</v>
      </c>
      <c r="AW217" t="str">
        <f t="shared" si="6"/>
        <v>Negocios Internacionales</v>
      </c>
      <c r="AX217" t="str">
        <f t="shared" si="7"/>
        <v>313 2005007</v>
      </c>
      <c r="AY217" t="str">
        <f>IFERROR(INDEX(Vacantes!$C:$C,MATCH(AT217,Vacantes!$A:$A,0)),"")</f>
        <v>127</v>
      </c>
      <c r="AZ217" t="str">
        <f>IFERROR(INDEX(Vacantes!$D:$D,MATCH(AT217,Vacantes!$A:$A,0)),"")</f>
        <v>16 de octubre de 2026</v>
      </c>
      <c r="BA217" t="str">
        <f>IFERROR(INDEX(Vacantes!$E:$E,MATCH(AT217,Vacantes!$A:$A,0)),"")</f>
        <v>1:30 p.m. a 3:30 p.m.</v>
      </c>
    </row>
    <row r="218" spans="1:53" x14ac:dyDescent="0.15">
      <c r="A218" t="s">
        <v>925</v>
      </c>
      <c r="B218" t="s">
        <v>926</v>
      </c>
      <c r="C218" t="s">
        <v>55</v>
      </c>
      <c r="D218">
        <v>1019986060</v>
      </c>
      <c r="E218" t="s">
        <v>76</v>
      </c>
      <c r="F218">
        <v>21</v>
      </c>
      <c r="G218" t="b">
        <v>1</v>
      </c>
      <c r="H218" t="s">
        <v>88</v>
      </c>
      <c r="I218" t="s">
        <v>57</v>
      </c>
      <c r="J218" t="s">
        <v>242</v>
      </c>
      <c r="L218" t="s">
        <v>521</v>
      </c>
      <c r="N218" t="b">
        <v>0</v>
      </c>
      <c r="O218" t="b">
        <v>0</v>
      </c>
      <c r="P218" t="s">
        <v>61</v>
      </c>
      <c r="Q218" t="s">
        <v>60</v>
      </c>
      <c r="R218" t="s">
        <v>113</v>
      </c>
      <c r="W218" t="s">
        <v>108</v>
      </c>
      <c r="AB218" t="b">
        <v>0</v>
      </c>
      <c r="AC218" t="b">
        <v>0</v>
      </c>
      <c r="AE218" t="b">
        <v>0</v>
      </c>
      <c r="AG218" t="b">
        <v>0</v>
      </c>
      <c r="AI218" t="b">
        <v>0</v>
      </c>
      <c r="AK218" t="s">
        <v>202</v>
      </c>
      <c r="AL218" t="s">
        <v>66</v>
      </c>
      <c r="AM218" s="3">
        <v>46266</v>
      </c>
      <c r="AN218" s="4">
        <v>0.55784722222222227</v>
      </c>
      <c r="AO218">
        <v>3166852996</v>
      </c>
      <c r="AP218" t="s">
        <v>927</v>
      </c>
      <c r="AQ218" t="s">
        <v>69</v>
      </c>
      <c r="AR218">
        <v>95.3</v>
      </c>
      <c r="AS218" t="s">
        <v>70</v>
      </c>
      <c r="AT218" t="s">
        <v>904</v>
      </c>
      <c r="AU218" t="s">
        <v>221</v>
      </c>
      <c r="AV218" t="s">
        <v>73</v>
      </c>
      <c r="AW218" t="str">
        <f t="shared" si="6"/>
        <v>Comunicación social</v>
      </c>
      <c r="AX218" t="str">
        <f t="shared" si="7"/>
        <v>3166852996</v>
      </c>
      <c r="AY218" t="str">
        <f>IFERROR(INDEX(Vacantes!$C:$C,MATCH(AT218,Vacantes!$A:$A,0)),"")</f>
        <v>127</v>
      </c>
      <c r="AZ218" t="str">
        <f>IFERROR(INDEX(Vacantes!$D:$D,MATCH(AT218,Vacantes!$A:$A,0)),"")</f>
        <v>16 de octubre de 2026</v>
      </c>
      <c r="BA218" t="str">
        <f>IFERROR(INDEX(Vacantes!$E:$E,MATCH(AT218,Vacantes!$A:$A,0)),"")</f>
        <v>1:30 p.m. a 3:30 p.m.</v>
      </c>
    </row>
    <row r="219" spans="1:53" x14ac:dyDescent="0.15">
      <c r="A219" t="s">
        <v>928</v>
      </c>
      <c r="B219" t="s">
        <v>929</v>
      </c>
      <c r="C219" t="s">
        <v>55</v>
      </c>
      <c r="D219">
        <v>1021392572</v>
      </c>
      <c r="E219" t="s">
        <v>76</v>
      </c>
      <c r="F219">
        <v>22</v>
      </c>
      <c r="G219" t="b">
        <v>1</v>
      </c>
      <c r="H219" t="s">
        <v>930</v>
      </c>
      <c r="I219" t="s">
        <v>57</v>
      </c>
      <c r="J219" t="s">
        <v>187</v>
      </c>
      <c r="L219" t="s">
        <v>117</v>
      </c>
      <c r="N219" t="b">
        <v>1</v>
      </c>
      <c r="O219" t="b">
        <v>0</v>
      </c>
      <c r="P219" t="s">
        <v>60</v>
      </c>
      <c r="Q219" t="s">
        <v>144</v>
      </c>
      <c r="R219" t="s">
        <v>108</v>
      </c>
      <c r="W219" t="s">
        <v>113</v>
      </c>
      <c r="AB219" t="b">
        <v>0</v>
      </c>
      <c r="AC219" t="b">
        <v>0</v>
      </c>
      <c r="AE219" t="b">
        <v>0</v>
      </c>
      <c r="AG219" t="b">
        <v>0</v>
      </c>
      <c r="AI219" t="b">
        <v>0</v>
      </c>
      <c r="AK219" t="s">
        <v>65</v>
      </c>
      <c r="AL219" t="s">
        <v>66</v>
      </c>
      <c r="AM219" s="3">
        <v>46261</v>
      </c>
      <c r="AN219" s="4">
        <v>0.39100694444444439</v>
      </c>
      <c r="AO219" t="s">
        <v>931</v>
      </c>
      <c r="AP219" t="s">
        <v>932</v>
      </c>
      <c r="AQ219" t="s">
        <v>69</v>
      </c>
      <c r="AR219">
        <v>85.9</v>
      </c>
      <c r="AS219" t="s">
        <v>70</v>
      </c>
      <c r="AT219" t="s">
        <v>904</v>
      </c>
      <c r="AU219" t="s">
        <v>221</v>
      </c>
      <c r="AV219" t="s">
        <v>73</v>
      </c>
      <c r="AW219" t="str">
        <f t="shared" si="6"/>
        <v>Marketing / Mercadeo</v>
      </c>
      <c r="AX219" t="str">
        <f t="shared" si="7"/>
        <v>320 4770807</v>
      </c>
      <c r="AY219" t="str">
        <f>IFERROR(INDEX(Vacantes!$C:$C,MATCH(AT219,Vacantes!$A:$A,0)),"")</f>
        <v>127</v>
      </c>
      <c r="AZ219" t="str">
        <f>IFERROR(INDEX(Vacantes!$D:$D,MATCH(AT219,Vacantes!$A:$A,0)),"")</f>
        <v>16 de octubre de 2026</v>
      </c>
      <c r="BA219" t="str">
        <f>IFERROR(INDEX(Vacantes!$E:$E,MATCH(AT219,Vacantes!$A:$A,0)),"")</f>
        <v>1:30 p.m. a 3:30 p.m.</v>
      </c>
    </row>
    <row r="220" spans="1:53" x14ac:dyDescent="0.15">
      <c r="A220" t="s">
        <v>1331</v>
      </c>
      <c r="B220" t="s">
        <v>1332</v>
      </c>
      <c r="C220" t="s">
        <v>55</v>
      </c>
      <c r="D220">
        <v>1012338729</v>
      </c>
      <c r="E220" t="s">
        <v>56</v>
      </c>
      <c r="F220">
        <v>20</v>
      </c>
      <c r="G220" t="b">
        <v>1</v>
      </c>
      <c r="H220" t="s">
        <v>57</v>
      </c>
      <c r="I220" t="s">
        <v>57</v>
      </c>
      <c r="J220" t="s">
        <v>169</v>
      </c>
      <c r="L220" t="s">
        <v>526</v>
      </c>
      <c r="N220" t="b">
        <v>0</v>
      </c>
      <c r="O220" t="b">
        <v>0</v>
      </c>
      <c r="P220" t="s">
        <v>60</v>
      </c>
      <c r="Q220" t="s">
        <v>60</v>
      </c>
      <c r="R220" t="s">
        <v>108</v>
      </c>
      <c r="W220" t="s">
        <v>113</v>
      </c>
      <c r="AB220" t="b">
        <v>0</v>
      </c>
      <c r="AC220" t="b">
        <v>0</v>
      </c>
      <c r="AE220" t="b">
        <v>0</v>
      </c>
      <c r="AG220" t="b">
        <v>0</v>
      </c>
      <c r="AI220" t="b">
        <v>0</v>
      </c>
      <c r="AK220" t="s">
        <v>65</v>
      </c>
      <c r="AL220" t="s">
        <v>66</v>
      </c>
      <c r="AM220" s="3">
        <v>46265</v>
      </c>
      <c r="AN220" s="4">
        <v>0.92298611111111106</v>
      </c>
      <c r="AO220" t="s">
        <v>1333</v>
      </c>
      <c r="AP220" t="s">
        <v>1334</v>
      </c>
      <c r="AQ220" t="s">
        <v>69</v>
      </c>
      <c r="AR220">
        <v>89.8</v>
      </c>
      <c r="AS220" t="s">
        <v>70</v>
      </c>
      <c r="AT220" t="s">
        <v>841</v>
      </c>
      <c r="AU220" t="s">
        <v>221</v>
      </c>
      <c r="AV220" t="s">
        <v>73</v>
      </c>
      <c r="AW220" t="str">
        <f t="shared" si="6"/>
        <v>Publicidad</v>
      </c>
      <c r="AX220" t="str">
        <f t="shared" si="7"/>
        <v>321 2201787</v>
      </c>
      <c r="AY220" t="str">
        <f>IFERROR(INDEX(Vacantes!$C:$C,MATCH(AT220,Vacantes!$A:$A,0)),"")</f>
        <v>127</v>
      </c>
      <c r="AZ220" t="str">
        <f>IFERROR(INDEX(Vacantes!$D:$D,MATCH(AT220,Vacantes!$A:$A,0)),"")</f>
        <v>16 de octubre de 2026</v>
      </c>
      <c r="BA220" t="str">
        <f>IFERROR(INDEX(Vacantes!$E:$E,MATCH(AT220,Vacantes!$A:$A,0)),"")</f>
        <v>1:30 p.m. a 3:30 p.m.</v>
      </c>
    </row>
    <row r="221" spans="1:53" x14ac:dyDescent="0.15">
      <c r="A221" t="s">
        <v>1429</v>
      </c>
      <c r="B221" t="s">
        <v>1430</v>
      </c>
      <c r="C221" t="s">
        <v>55</v>
      </c>
      <c r="D221">
        <v>1014976849</v>
      </c>
      <c r="E221" t="s">
        <v>76</v>
      </c>
      <c r="F221">
        <v>22</v>
      </c>
      <c r="G221" t="b">
        <v>1</v>
      </c>
      <c r="H221" t="s">
        <v>57</v>
      </c>
      <c r="I221" t="s">
        <v>57</v>
      </c>
      <c r="J221" t="s">
        <v>150</v>
      </c>
      <c r="L221" t="s">
        <v>856</v>
      </c>
      <c r="N221" t="b">
        <v>1</v>
      </c>
      <c r="O221" t="b">
        <v>0</v>
      </c>
      <c r="P221" t="s">
        <v>60</v>
      </c>
      <c r="Q221" t="s">
        <v>144</v>
      </c>
      <c r="R221" t="s">
        <v>108</v>
      </c>
      <c r="W221" t="s">
        <v>113</v>
      </c>
      <c r="AB221" t="b">
        <v>0</v>
      </c>
      <c r="AC221" t="b">
        <v>0</v>
      </c>
      <c r="AE221" t="b">
        <v>0</v>
      </c>
      <c r="AG221" t="b">
        <v>0</v>
      </c>
      <c r="AI221" t="b">
        <v>0</v>
      </c>
      <c r="AK221" t="s">
        <v>94</v>
      </c>
      <c r="AL221" t="s">
        <v>66</v>
      </c>
      <c r="AM221" s="3">
        <v>46277</v>
      </c>
      <c r="AN221" s="4">
        <v>0.72991898148148149</v>
      </c>
      <c r="AO221">
        <v>3176131515</v>
      </c>
      <c r="AP221" t="s">
        <v>1431</v>
      </c>
      <c r="AQ221" t="s">
        <v>69</v>
      </c>
      <c r="AR221">
        <v>77.5</v>
      </c>
      <c r="AS221" t="s">
        <v>70</v>
      </c>
      <c r="AT221" t="s">
        <v>210</v>
      </c>
      <c r="AU221" t="s">
        <v>221</v>
      </c>
      <c r="AV221" t="s">
        <v>73</v>
      </c>
      <c r="AW221" t="str">
        <f t="shared" si="6"/>
        <v>Diseño Gráfico</v>
      </c>
      <c r="AX221" t="str">
        <f t="shared" si="7"/>
        <v>3176131515</v>
      </c>
      <c r="AY221" t="str">
        <f>IFERROR(INDEX(Vacantes!$C:$C,MATCH(AT221,Vacantes!$A:$A,0)),"")</f>
        <v>127</v>
      </c>
      <c r="AZ221" t="str">
        <f>IFERROR(INDEX(Vacantes!$D:$D,MATCH(AT221,Vacantes!$A:$A,0)),"")</f>
        <v>16 de octubre de 2026</v>
      </c>
      <c r="BA221" t="str">
        <f>IFERROR(INDEX(Vacantes!$E:$E,MATCH(AT221,Vacantes!$A:$A,0)),"")</f>
        <v>1:30 p.m. a 3:30 p.m.</v>
      </c>
    </row>
    <row r="222" spans="1:53" x14ac:dyDescent="0.15">
      <c r="A222" t="s">
        <v>1432</v>
      </c>
      <c r="B222" t="s">
        <v>1433</v>
      </c>
      <c r="C222" t="s">
        <v>55</v>
      </c>
      <c r="D222">
        <v>1010073275</v>
      </c>
      <c r="E222" t="s">
        <v>56</v>
      </c>
      <c r="F222">
        <v>25</v>
      </c>
      <c r="G222" t="b">
        <v>1</v>
      </c>
      <c r="I222" t="s">
        <v>57</v>
      </c>
      <c r="J222" t="s">
        <v>169</v>
      </c>
      <c r="L222" t="s">
        <v>132</v>
      </c>
      <c r="M222" t="s">
        <v>1434</v>
      </c>
      <c r="N222" t="b">
        <v>0</v>
      </c>
      <c r="O222" t="b">
        <v>0</v>
      </c>
      <c r="P222" t="s">
        <v>61</v>
      </c>
      <c r="Q222" t="s">
        <v>60</v>
      </c>
      <c r="R222" t="s">
        <v>108</v>
      </c>
      <c r="W222" t="s">
        <v>135</v>
      </c>
      <c r="AB222" t="b">
        <v>0</v>
      </c>
      <c r="AC222" t="b">
        <v>0</v>
      </c>
      <c r="AE222" t="b">
        <v>0</v>
      </c>
      <c r="AG222" t="b">
        <v>0</v>
      </c>
      <c r="AI222" t="b">
        <v>0</v>
      </c>
      <c r="AK222" t="s">
        <v>65</v>
      </c>
      <c r="AL222" t="s">
        <v>66</v>
      </c>
      <c r="AM222" s="3">
        <v>46255</v>
      </c>
      <c r="AN222" s="4">
        <v>0.41468749999999999</v>
      </c>
      <c r="AO222" t="s">
        <v>1435</v>
      </c>
      <c r="AP222" t="s">
        <v>1436</v>
      </c>
      <c r="AQ222" t="s">
        <v>69</v>
      </c>
      <c r="AR222">
        <v>93</v>
      </c>
      <c r="AS222" t="s">
        <v>70</v>
      </c>
      <c r="AT222" t="s">
        <v>878</v>
      </c>
      <c r="AU222" t="s">
        <v>221</v>
      </c>
      <c r="AV222" t="s">
        <v>73</v>
      </c>
      <c r="AW222" t="str">
        <f t="shared" si="6"/>
        <v>Marketing Integral y Negocios Globales</v>
      </c>
      <c r="AX222" t="str">
        <f t="shared" si="7"/>
        <v>314 5427700</v>
      </c>
      <c r="AY222" t="str">
        <f>IFERROR(INDEX(Vacantes!$C:$C,MATCH(AT222,Vacantes!$A:$A,0)),"")</f>
        <v>127</v>
      </c>
      <c r="AZ222" t="str">
        <f>IFERROR(INDEX(Vacantes!$D:$D,MATCH(AT222,Vacantes!$A:$A,0)),"")</f>
        <v>16 de octubre de 2026</v>
      </c>
      <c r="BA222" t="str">
        <f>IFERROR(INDEX(Vacantes!$E:$E,MATCH(AT222,Vacantes!$A:$A,0)),"")</f>
        <v>1:30 p.m. a 3:30 p.m.</v>
      </c>
    </row>
    <row r="223" spans="1:53" x14ac:dyDescent="0.15">
      <c r="A223" t="s">
        <v>1437</v>
      </c>
      <c r="B223" t="s">
        <v>1438</v>
      </c>
      <c r="C223" t="s">
        <v>55</v>
      </c>
      <c r="D223">
        <v>1010960642</v>
      </c>
      <c r="E223" t="s">
        <v>76</v>
      </c>
      <c r="F223">
        <v>22</v>
      </c>
      <c r="G223" t="b">
        <v>1</v>
      </c>
      <c r="H223" t="s">
        <v>57</v>
      </c>
      <c r="I223" t="s">
        <v>57</v>
      </c>
      <c r="J223" t="s">
        <v>242</v>
      </c>
      <c r="L223" t="s">
        <v>132</v>
      </c>
      <c r="M223" t="s">
        <v>1439</v>
      </c>
      <c r="N223" t="b">
        <v>0</v>
      </c>
      <c r="O223" t="b">
        <v>0</v>
      </c>
      <c r="P223" t="s">
        <v>61</v>
      </c>
      <c r="Q223" t="s">
        <v>60</v>
      </c>
      <c r="R223" t="s">
        <v>108</v>
      </c>
      <c r="W223" t="s">
        <v>113</v>
      </c>
      <c r="AB223" t="b">
        <v>0</v>
      </c>
      <c r="AC223" t="b">
        <v>0</v>
      </c>
      <c r="AE223" t="b">
        <v>0</v>
      </c>
      <c r="AG223" t="b">
        <v>0</v>
      </c>
      <c r="AI223" t="b">
        <v>0</v>
      </c>
      <c r="AK223" t="s">
        <v>202</v>
      </c>
      <c r="AL223" t="s">
        <v>66</v>
      </c>
      <c r="AM223" s="3">
        <v>46272</v>
      </c>
      <c r="AN223" s="4">
        <v>0.66754629629629625</v>
      </c>
      <c r="AO223">
        <v>0</v>
      </c>
      <c r="AP223" t="s">
        <v>1440</v>
      </c>
      <c r="AQ223" t="s">
        <v>69</v>
      </c>
      <c r="AR223">
        <v>85.6</v>
      </c>
      <c r="AS223" t="s">
        <v>70</v>
      </c>
      <c r="AT223" t="s">
        <v>878</v>
      </c>
      <c r="AU223" t="s">
        <v>221</v>
      </c>
      <c r="AV223" t="s">
        <v>73</v>
      </c>
      <c r="AW223" t="str">
        <f t="shared" si="6"/>
        <v>Comunicación Social - Periodismo</v>
      </c>
      <c r="AX223" t="str">
        <f t="shared" si="7"/>
        <v/>
      </c>
      <c r="AY223" t="str">
        <f>IFERROR(INDEX(Vacantes!$C:$C,MATCH(AT223,Vacantes!$A:$A,0)),"")</f>
        <v>127</v>
      </c>
      <c r="AZ223" t="str">
        <f>IFERROR(INDEX(Vacantes!$D:$D,MATCH(AT223,Vacantes!$A:$A,0)),"")</f>
        <v>16 de octubre de 2026</v>
      </c>
      <c r="BA223" t="str">
        <f>IFERROR(INDEX(Vacantes!$E:$E,MATCH(AT223,Vacantes!$A:$A,0)),"")</f>
        <v>1:30 p.m. a 3:30 p.m.</v>
      </c>
    </row>
    <row r="224" spans="1:53" x14ac:dyDescent="0.15">
      <c r="A224" t="s">
        <v>1441</v>
      </c>
      <c r="B224" t="s">
        <v>1442</v>
      </c>
      <c r="C224" t="s">
        <v>55</v>
      </c>
      <c r="D224">
        <v>1032876485</v>
      </c>
      <c r="E224" t="s">
        <v>76</v>
      </c>
      <c r="F224">
        <v>21</v>
      </c>
      <c r="G224" t="b">
        <v>1</v>
      </c>
      <c r="H224" t="s">
        <v>88</v>
      </c>
      <c r="I224" t="s">
        <v>57</v>
      </c>
      <c r="J224" t="s">
        <v>78</v>
      </c>
      <c r="L224" t="s">
        <v>107</v>
      </c>
      <c r="N224" t="b">
        <v>0</v>
      </c>
      <c r="O224" t="b">
        <v>0</v>
      </c>
      <c r="P224" t="s">
        <v>61</v>
      </c>
      <c r="Q224" t="s">
        <v>61</v>
      </c>
      <c r="R224" t="s">
        <v>108</v>
      </c>
      <c r="W224" t="s">
        <v>109</v>
      </c>
      <c r="AA224" t="s">
        <v>110</v>
      </c>
      <c r="AB224" t="b">
        <v>0</v>
      </c>
      <c r="AC224" t="b">
        <v>0</v>
      </c>
      <c r="AE224" t="b">
        <v>0</v>
      </c>
      <c r="AG224" t="b">
        <v>0</v>
      </c>
      <c r="AI224" t="b">
        <v>0</v>
      </c>
      <c r="AK224" t="s">
        <v>153</v>
      </c>
      <c r="AL224" t="s">
        <v>66</v>
      </c>
      <c r="AM224" s="3">
        <v>46261</v>
      </c>
      <c r="AN224" s="4">
        <v>0.59660879629629626</v>
      </c>
      <c r="AO224">
        <v>3115706314</v>
      </c>
      <c r="AP224" t="s">
        <v>1443</v>
      </c>
      <c r="AQ224" t="s">
        <v>69</v>
      </c>
      <c r="AR224">
        <v>92.2</v>
      </c>
      <c r="AS224" t="s">
        <v>85</v>
      </c>
      <c r="AT224" t="s">
        <v>904</v>
      </c>
      <c r="AU224" t="s">
        <v>221</v>
      </c>
      <c r="AV224" t="s">
        <v>73</v>
      </c>
      <c r="AW224" t="str">
        <f t="shared" si="6"/>
        <v>Administración de Empresas</v>
      </c>
      <c r="AX224" t="str">
        <f t="shared" si="7"/>
        <v>3115706314</v>
      </c>
      <c r="AY224" t="str">
        <f>IFERROR(INDEX(Vacantes!$C:$C,MATCH(AT224,Vacantes!$A:$A,0)),"")</f>
        <v>127</v>
      </c>
      <c r="AZ224" t="str">
        <f>IFERROR(INDEX(Vacantes!$D:$D,MATCH(AT224,Vacantes!$A:$A,0)),"")</f>
        <v>16 de octubre de 2026</v>
      </c>
      <c r="BA224" t="str">
        <f>IFERROR(INDEX(Vacantes!$E:$E,MATCH(AT224,Vacantes!$A:$A,0)),"")</f>
        <v>1:30 p.m. a 3:30 p.m.</v>
      </c>
    </row>
    <row r="225" spans="1:53" x14ac:dyDescent="0.15">
      <c r="A225" t="s">
        <v>1846</v>
      </c>
      <c r="B225" t="s">
        <v>1847</v>
      </c>
      <c r="C225" t="s">
        <v>55</v>
      </c>
      <c r="D225">
        <v>1001204257</v>
      </c>
      <c r="E225" t="s">
        <v>76</v>
      </c>
      <c r="F225">
        <v>23</v>
      </c>
      <c r="G225" t="b">
        <v>1</v>
      </c>
      <c r="H225" t="s">
        <v>88</v>
      </c>
      <c r="I225" t="s">
        <v>57</v>
      </c>
      <c r="J225" t="s">
        <v>150</v>
      </c>
      <c r="L225" t="s">
        <v>107</v>
      </c>
      <c r="N225" t="b">
        <v>1</v>
      </c>
      <c r="O225" t="b">
        <v>0</v>
      </c>
      <c r="P225" t="s">
        <v>60</v>
      </c>
      <c r="Q225" t="s">
        <v>60</v>
      </c>
      <c r="R225" t="s">
        <v>108</v>
      </c>
      <c r="W225" t="s">
        <v>109</v>
      </c>
      <c r="AA225" t="s">
        <v>110</v>
      </c>
      <c r="AB225" t="b">
        <v>0</v>
      </c>
      <c r="AC225" t="b">
        <v>0</v>
      </c>
      <c r="AE225" t="b">
        <v>0</v>
      </c>
      <c r="AG225" t="b">
        <v>0</v>
      </c>
      <c r="AI225" t="b">
        <v>0</v>
      </c>
      <c r="AK225" t="s">
        <v>65</v>
      </c>
      <c r="AL225" t="s">
        <v>66</v>
      </c>
      <c r="AM225" s="3">
        <v>46261</v>
      </c>
      <c r="AN225" s="4">
        <v>0.89310185185185187</v>
      </c>
      <c r="AO225">
        <v>3107511782</v>
      </c>
      <c r="AP225" t="s">
        <v>1848</v>
      </c>
      <c r="AQ225" t="s">
        <v>69</v>
      </c>
      <c r="AR225">
        <v>87.4</v>
      </c>
      <c r="AS225" t="s">
        <v>70</v>
      </c>
      <c r="AT225" t="s">
        <v>210</v>
      </c>
      <c r="AV225" t="s">
        <v>73</v>
      </c>
      <c r="AW225" t="str">
        <f t="shared" si="6"/>
        <v>Administración de Empresas</v>
      </c>
      <c r="AX225" t="str">
        <f t="shared" si="7"/>
        <v>3107511782</v>
      </c>
      <c r="AY225" t="str">
        <f>IFERROR(INDEX(Vacantes!$C:$C,MATCH(AT225,Vacantes!$A:$A,0)),"")</f>
        <v>127</v>
      </c>
      <c r="AZ225" t="str">
        <f>IFERROR(INDEX(Vacantes!$D:$D,MATCH(AT225,Vacantes!$A:$A,0)),"")</f>
        <v>16 de octubre de 2026</v>
      </c>
      <c r="BA225" t="str">
        <f>IFERROR(INDEX(Vacantes!$E:$E,MATCH(AT225,Vacantes!$A:$A,0)),"")</f>
        <v>1:30 p.m. a 3:30 p.m.</v>
      </c>
    </row>
    <row r="226" spans="1:53" x14ac:dyDescent="0.15">
      <c r="A226" t="s">
        <v>1891</v>
      </c>
      <c r="B226" t="s">
        <v>1892</v>
      </c>
      <c r="C226" t="s">
        <v>55</v>
      </c>
      <c r="D226">
        <v>1097490304</v>
      </c>
      <c r="E226" t="s">
        <v>76</v>
      </c>
      <c r="F226">
        <v>21</v>
      </c>
      <c r="G226" t="b">
        <v>1</v>
      </c>
      <c r="I226" t="s">
        <v>57</v>
      </c>
      <c r="J226" t="s">
        <v>201</v>
      </c>
      <c r="L226" t="s">
        <v>521</v>
      </c>
      <c r="N226" t="b">
        <v>1</v>
      </c>
      <c r="O226" t="b">
        <v>0</v>
      </c>
      <c r="P226" t="s">
        <v>60</v>
      </c>
      <c r="Q226" t="s">
        <v>144</v>
      </c>
      <c r="R226" t="s">
        <v>108</v>
      </c>
      <c r="W226" t="s">
        <v>113</v>
      </c>
      <c r="AB226" t="b">
        <v>0</v>
      </c>
      <c r="AC226" t="b">
        <v>0</v>
      </c>
      <c r="AE226" t="b">
        <v>0</v>
      </c>
      <c r="AG226" t="b">
        <v>0</v>
      </c>
      <c r="AI226" t="b">
        <v>0</v>
      </c>
      <c r="AK226" t="s">
        <v>94</v>
      </c>
      <c r="AL226" t="s">
        <v>66</v>
      </c>
      <c r="AM226" s="3">
        <v>46277</v>
      </c>
      <c r="AN226" s="4">
        <v>0.48694444444444451</v>
      </c>
      <c r="AO226">
        <v>3178025848</v>
      </c>
      <c r="AP226" t="s">
        <v>1893</v>
      </c>
      <c r="AQ226" t="s">
        <v>69</v>
      </c>
      <c r="AR226">
        <v>92.7</v>
      </c>
      <c r="AS226" t="s">
        <v>70</v>
      </c>
      <c r="AT226" t="s">
        <v>210</v>
      </c>
      <c r="AV226" t="s">
        <v>73</v>
      </c>
      <c r="AW226" t="str">
        <f t="shared" si="6"/>
        <v>Comunicación social</v>
      </c>
      <c r="AX226" t="str">
        <f t="shared" si="7"/>
        <v>3178025848</v>
      </c>
      <c r="AY226" t="str">
        <f>IFERROR(INDEX(Vacantes!$C:$C,MATCH(AT226,Vacantes!$A:$A,0)),"")</f>
        <v>127</v>
      </c>
      <c r="AZ226" t="str">
        <f>IFERROR(INDEX(Vacantes!$D:$D,MATCH(AT226,Vacantes!$A:$A,0)),"")</f>
        <v>16 de octubre de 2026</v>
      </c>
      <c r="BA226" t="str">
        <f>IFERROR(INDEX(Vacantes!$E:$E,MATCH(AT226,Vacantes!$A:$A,0)),"")</f>
        <v>1:30 p.m. a 3:30 p.m.</v>
      </c>
    </row>
    <row r="227" spans="1:53" x14ac:dyDescent="0.15">
      <c r="A227" t="s">
        <v>1894</v>
      </c>
      <c r="B227" t="s">
        <v>1895</v>
      </c>
      <c r="C227" t="s">
        <v>55</v>
      </c>
      <c r="D227">
        <v>1083572887</v>
      </c>
      <c r="E227" t="s">
        <v>76</v>
      </c>
      <c r="F227">
        <v>19</v>
      </c>
      <c r="G227" t="b">
        <v>1</v>
      </c>
      <c r="I227" t="s">
        <v>57</v>
      </c>
      <c r="J227" t="s">
        <v>1003</v>
      </c>
      <c r="L227" t="s">
        <v>134</v>
      </c>
      <c r="N227" t="b">
        <v>0</v>
      </c>
      <c r="O227" t="b">
        <v>0</v>
      </c>
      <c r="P227" t="s">
        <v>60</v>
      </c>
      <c r="Q227" t="s">
        <v>61</v>
      </c>
      <c r="R227" t="s">
        <v>80</v>
      </c>
      <c r="W227" t="s">
        <v>108</v>
      </c>
      <c r="Y227" t="s">
        <v>82</v>
      </c>
      <c r="AB227" t="b">
        <v>0</v>
      </c>
      <c r="AC227" t="b">
        <v>0</v>
      </c>
      <c r="AE227" t="b">
        <v>0</v>
      </c>
      <c r="AG227" t="b">
        <v>0</v>
      </c>
      <c r="AI227" t="b">
        <v>0</v>
      </c>
      <c r="AK227" t="s">
        <v>65</v>
      </c>
      <c r="AL227" t="s">
        <v>66</v>
      </c>
      <c r="AM227" s="3">
        <v>46277</v>
      </c>
      <c r="AN227" s="4">
        <v>0.47927083333333331</v>
      </c>
      <c r="AO227" t="s">
        <v>1896</v>
      </c>
      <c r="AP227" t="s">
        <v>1897</v>
      </c>
      <c r="AQ227" t="s">
        <v>69</v>
      </c>
      <c r="AR227">
        <v>90.7</v>
      </c>
      <c r="AS227" t="s">
        <v>70</v>
      </c>
      <c r="AT227" t="s">
        <v>878</v>
      </c>
      <c r="AV227" t="s">
        <v>73</v>
      </c>
      <c r="AW227" t="str">
        <f t="shared" si="6"/>
        <v>Negocios Internacionales</v>
      </c>
      <c r="AX227" t="str">
        <f t="shared" si="7"/>
        <v>322 5830965</v>
      </c>
      <c r="AY227" t="str">
        <f>IFERROR(INDEX(Vacantes!$C:$C,MATCH(AT227,Vacantes!$A:$A,0)),"")</f>
        <v>127</v>
      </c>
      <c r="AZ227" t="str">
        <f>IFERROR(INDEX(Vacantes!$D:$D,MATCH(AT227,Vacantes!$A:$A,0)),"")</f>
        <v>16 de octubre de 2026</v>
      </c>
      <c r="BA227" t="str">
        <f>IFERROR(INDEX(Vacantes!$E:$E,MATCH(AT227,Vacantes!$A:$A,0)),"")</f>
        <v>1:30 p.m. a 3:30 p.m.</v>
      </c>
    </row>
    <row r="228" spans="1:53" x14ac:dyDescent="0.15">
      <c r="A228" t="s">
        <v>1898</v>
      </c>
      <c r="B228" t="s">
        <v>1899</v>
      </c>
      <c r="C228" t="s">
        <v>55</v>
      </c>
      <c r="D228">
        <v>1012339343</v>
      </c>
      <c r="E228" t="s">
        <v>76</v>
      </c>
      <c r="F228">
        <v>20</v>
      </c>
      <c r="G228" t="b">
        <v>1</v>
      </c>
      <c r="H228" t="s">
        <v>57</v>
      </c>
      <c r="I228" t="s">
        <v>57</v>
      </c>
      <c r="J228" t="s">
        <v>242</v>
      </c>
      <c r="L228" t="s">
        <v>521</v>
      </c>
      <c r="N228" t="b">
        <v>0</v>
      </c>
      <c r="O228" t="b">
        <v>0</v>
      </c>
      <c r="P228" t="s">
        <v>60</v>
      </c>
      <c r="Q228" t="s">
        <v>60</v>
      </c>
      <c r="R228" t="s">
        <v>108</v>
      </c>
      <c r="W228" t="s">
        <v>113</v>
      </c>
      <c r="AB228" t="b">
        <v>0</v>
      </c>
      <c r="AC228" t="b">
        <v>0</v>
      </c>
      <c r="AE228" t="b">
        <v>0</v>
      </c>
      <c r="AG228" t="b">
        <v>0</v>
      </c>
      <c r="AI228" t="b">
        <v>0</v>
      </c>
      <c r="AK228" t="s">
        <v>94</v>
      </c>
      <c r="AL228" t="s">
        <v>66</v>
      </c>
      <c r="AM228" s="3">
        <v>46269</v>
      </c>
      <c r="AN228" s="4">
        <v>0.24942129629629631</v>
      </c>
      <c r="AO228">
        <v>3246764783</v>
      </c>
      <c r="AP228" t="s">
        <v>1900</v>
      </c>
      <c r="AQ228" t="s">
        <v>69</v>
      </c>
      <c r="AR228">
        <v>90.5</v>
      </c>
      <c r="AS228" t="s">
        <v>70</v>
      </c>
      <c r="AT228" t="s">
        <v>878</v>
      </c>
      <c r="AU228" t="s">
        <v>221</v>
      </c>
      <c r="AV228" t="s">
        <v>73</v>
      </c>
      <c r="AW228" t="str">
        <f t="shared" si="6"/>
        <v>Comunicación social</v>
      </c>
      <c r="AX228" t="str">
        <f t="shared" si="7"/>
        <v>3246764783</v>
      </c>
      <c r="AY228" t="str">
        <f>IFERROR(INDEX(Vacantes!$C:$C,MATCH(AT228,Vacantes!$A:$A,0)),"")</f>
        <v>127</v>
      </c>
      <c r="AZ228" t="str">
        <f>IFERROR(INDEX(Vacantes!$D:$D,MATCH(AT228,Vacantes!$A:$A,0)),"")</f>
        <v>16 de octubre de 2026</v>
      </c>
      <c r="BA228" t="str">
        <f>IFERROR(INDEX(Vacantes!$E:$E,MATCH(AT228,Vacantes!$A:$A,0)),"")</f>
        <v>1:30 p.m. a 3:30 p.m.</v>
      </c>
    </row>
    <row r="229" spans="1:53" x14ac:dyDescent="0.15">
      <c r="A229" t="s">
        <v>1901</v>
      </c>
      <c r="B229" t="s">
        <v>1902</v>
      </c>
      <c r="C229" t="s">
        <v>55</v>
      </c>
      <c r="D229">
        <v>1011320051</v>
      </c>
      <c r="E229" t="s">
        <v>76</v>
      </c>
      <c r="F229">
        <v>22</v>
      </c>
      <c r="G229" t="b">
        <v>1</v>
      </c>
      <c r="I229" t="s">
        <v>57</v>
      </c>
      <c r="J229" t="s">
        <v>187</v>
      </c>
      <c r="L229" t="s">
        <v>117</v>
      </c>
      <c r="N229" t="b">
        <v>0</v>
      </c>
      <c r="O229" t="b">
        <v>0</v>
      </c>
      <c r="P229" t="s">
        <v>61</v>
      </c>
      <c r="Q229" t="s">
        <v>61</v>
      </c>
      <c r="R229" t="s">
        <v>108</v>
      </c>
      <c r="W229" t="s">
        <v>109</v>
      </c>
      <c r="AA229" t="s">
        <v>110</v>
      </c>
      <c r="AB229" t="b">
        <v>0</v>
      </c>
      <c r="AC229" t="b">
        <v>0</v>
      </c>
      <c r="AE229" t="b">
        <v>0</v>
      </c>
      <c r="AG229" t="b">
        <v>0</v>
      </c>
      <c r="AI229" t="b">
        <v>0</v>
      </c>
      <c r="AK229" t="s">
        <v>65</v>
      </c>
      <c r="AL229" t="s">
        <v>66</v>
      </c>
      <c r="AM229" s="3">
        <v>46257</v>
      </c>
      <c r="AN229" s="4">
        <v>0.84318287037037032</v>
      </c>
      <c r="AO229" t="s">
        <v>1903</v>
      </c>
      <c r="AP229" t="s">
        <v>1904</v>
      </c>
      <c r="AQ229" t="s">
        <v>69</v>
      </c>
      <c r="AR229">
        <v>90.3</v>
      </c>
      <c r="AS229" t="s">
        <v>70</v>
      </c>
      <c r="AT229" t="s">
        <v>904</v>
      </c>
      <c r="AV229" t="s">
        <v>73</v>
      </c>
      <c r="AW229" t="str">
        <f t="shared" si="6"/>
        <v>Marketing / Mercadeo</v>
      </c>
      <c r="AX229" t="str">
        <f t="shared" si="7"/>
        <v>311 2694927</v>
      </c>
      <c r="AY229" t="str">
        <f>IFERROR(INDEX(Vacantes!$C:$C,MATCH(AT229,Vacantes!$A:$A,0)),"")</f>
        <v>127</v>
      </c>
      <c r="AZ229" t="str">
        <f>IFERROR(INDEX(Vacantes!$D:$D,MATCH(AT229,Vacantes!$A:$A,0)),"")</f>
        <v>16 de octubre de 2026</v>
      </c>
      <c r="BA229" t="str">
        <f>IFERROR(INDEX(Vacantes!$E:$E,MATCH(AT229,Vacantes!$A:$A,0)),"")</f>
        <v>1:30 p.m. a 3:30 p.m.</v>
      </c>
    </row>
    <row r="230" spans="1:53" x14ac:dyDescent="0.15">
      <c r="A230" t="s">
        <v>1905</v>
      </c>
      <c r="B230" t="s">
        <v>1906</v>
      </c>
      <c r="C230" t="s">
        <v>55</v>
      </c>
      <c r="D230">
        <v>1014860276</v>
      </c>
      <c r="E230" t="s">
        <v>76</v>
      </c>
      <c r="F230">
        <v>20</v>
      </c>
      <c r="G230" t="b">
        <v>1</v>
      </c>
      <c r="I230" t="s">
        <v>57</v>
      </c>
      <c r="J230" t="s">
        <v>78</v>
      </c>
      <c r="L230" t="s">
        <v>107</v>
      </c>
      <c r="N230" t="b">
        <v>0</v>
      </c>
      <c r="O230" t="b">
        <v>0</v>
      </c>
      <c r="P230" t="s">
        <v>61</v>
      </c>
      <c r="Q230" t="s">
        <v>61</v>
      </c>
      <c r="R230" t="s">
        <v>108</v>
      </c>
      <c r="W230" t="s">
        <v>109</v>
      </c>
      <c r="AA230" t="s">
        <v>110</v>
      </c>
      <c r="AB230" t="b">
        <v>0</v>
      </c>
      <c r="AC230" t="b">
        <v>0</v>
      </c>
      <c r="AE230" t="b">
        <v>0</v>
      </c>
      <c r="AG230" t="b">
        <v>0</v>
      </c>
      <c r="AI230" t="b">
        <v>0</v>
      </c>
      <c r="AK230" t="s">
        <v>202</v>
      </c>
      <c r="AL230" t="s">
        <v>66</v>
      </c>
      <c r="AM230" s="3">
        <v>46256</v>
      </c>
      <c r="AN230" s="4">
        <v>0.42510416666666673</v>
      </c>
      <c r="AO230">
        <v>3102646772</v>
      </c>
      <c r="AP230" t="s">
        <v>1907</v>
      </c>
      <c r="AQ230" t="s">
        <v>69</v>
      </c>
      <c r="AR230">
        <v>88.8</v>
      </c>
      <c r="AS230" t="s">
        <v>70</v>
      </c>
      <c r="AT230" t="s">
        <v>904</v>
      </c>
      <c r="AU230" t="s">
        <v>221</v>
      </c>
      <c r="AV230" t="s">
        <v>73</v>
      </c>
      <c r="AW230" t="str">
        <f t="shared" si="6"/>
        <v>Administración de Empresas</v>
      </c>
      <c r="AX230" t="str">
        <f t="shared" si="7"/>
        <v>3102646772</v>
      </c>
      <c r="AY230" t="str">
        <f>IFERROR(INDEX(Vacantes!$C:$C,MATCH(AT230,Vacantes!$A:$A,0)),"")</f>
        <v>127</v>
      </c>
      <c r="AZ230" t="str">
        <f>IFERROR(INDEX(Vacantes!$D:$D,MATCH(AT230,Vacantes!$A:$A,0)),"")</f>
        <v>16 de octubre de 2026</v>
      </c>
      <c r="BA230" t="str">
        <f>IFERROR(INDEX(Vacantes!$E:$E,MATCH(AT230,Vacantes!$A:$A,0)),"")</f>
        <v>1:30 p.m. a 3:30 p.m.</v>
      </c>
    </row>
    <row r="231" spans="1:53" x14ac:dyDescent="0.15">
      <c r="A231" t="s">
        <v>1375</v>
      </c>
      <c r="B231" t="s">
        <v>1376</v>
      </c>
      <c r="C231" t="s">
        <v>55</v>
      </c>
      <c r="D231">
        <v>1006734815</v>
      </c>
      <c r="E231" t="s">
        <v>56</v>
      </c>
      <c r="F231">
        <v>23</v>
      </c>
      <c r="G231" t="b">
        <v>1</v>
      </c>
      <c r="I231" t="s">
        <v>538</v>
      </c>
      <c r="J231" t="s">
        <v>234</v>
      </c>
      <c r="L231" t="s">
        <v>143</v>
      </c>
      <c r="N231" t="b">
        <v>1</v>
      </c>
      <c r="O231" t="b">
        <v>0</v>
      </c>
      <c r="P231" t="s">
        <v>60</v>
      </c>
      <c r="Q231" t="s">
        <v>60</v>
      </c>
      <c r="R231" t="s">
        <v>125</v>
      </c>
      <c r="W231" t="s">
        <v>125</v>
      </c>
      <c r="X231" t="s">
        <v>145</v>
      </c>
      <c r="AB231" t="b">
        <v>0</v>
      </c>
      <c r="AC231" t="b">
        <v>0</v>
      </c>
      <c r="AE231" t="b">
        <v>0</v>
      </c>
      <c r="AG231" t="b">
        <v>0</v>
      </c>
      <c r="AI231" t="b">
        <v>0</v>
      </c>
      <c r="AK231" t="s">
        <v>94</v>
      </c>
      <c r="AL231" t="s">
        <v>66</v>
      </c>
      <c r="AM231" s="3">
        <v>46255</v>
      </c>
      <c r="AN231" s="4">
        <v>0.41465277777777781</v>
      </c>
      <c r="AO231">
        <v>3112388229</v>
      </c>
      <c r="AP231" t="s">
        <v>1377</v>
      </c>
      <c r="AQ231" t="s">
        <v>69</v>
      </c>
      <c r="AR231">
        <v>94</v>
      </c>
      <c r="AS231" t="s">
        <v>70</v>
      </c>
      <c r="AT231" t="s">
        <v>542</v>
      </c>
      <c r="AU231" t="s">
        <v>72</v>
      </c>
      <c r="AV231" t="s">
        <v>73</v>
      </c>
      <c r="AW231" t="str">
        <f t="shared" si="6"/>
        <v>Ingeniería Industrial</v>
      </c>
      <c r="AX231" t="str">
        <f t="shared" si="7"/>
        <v>3112388229</v>
      </c>
      <c r="AY231" t="str">
        <f>IFERROR(INDEX(Vacantes!$C:$C,MATCH(AT231,Vacantes!$A:$A,0)),"")</f>
        <v>Cervecería de Boyacá</v>
      </c>
      <c r="AZ231" t="str">
        <f>IFERROR(INDEX(Vacantes!$D:$D,MATCH(AT231,Vacantes!$A:$A,0)),"")</f>
        <v>20 de octubre de 2026</v>
      </c>
      <c r="BA231" t="str">
        <f>IFERROR(INDEX(Vacantes!$E:$E,MATCH(AT231,Vacantes!$A:$A,0)),"")</f>
        <v>7:30 a.m. a 12:00 p.m.</v>
      </c>
    </row>
    <row r="232" spans="1:53" x14ac:dyDescent="0.15">
      <c r="A232" t="s">
        <v>536</v>
      </c>
      <c r="B232" t="s">
        <v>537</v>
      </c>
      <c r="C232" t="s">
        <v>55</v>
      </c>
      <c r="D232">
        <v>1002455397</v>
      </c>
      <c r="E232" t="s">
        <v>76</v>
      </c>
      <c r="F232">
        <v>23</v>
      </c>
      <c r="G232" t="b">
        <v>1</v>
      </c>
      <c r="H232" t="s">
        <v>194</v>
      </c>
      <c r="I232" t="s">
        <v>538</v>
      </c>
      <c r="J232" t="s">
        <v>539</v>
      </c>
      <c r="L232" t="s">
        <v>305</v>
      </c>
      <c r="N232" t="b">
        <v>0</v>
      </c>
      <c r="O232" t="b">
        <v>0</v>
      </c>
      <c r="P232" t="s">
        <v>144</v>
      </c>
      <c r="Q232" t="s">
        <v>60</v>
      </c>
      <c r="R232" t="s">
        <v>125</v>
      </c>
      <c r="W232" t="s">
        <v>125</v>
      </c>
      <c r="X232" t="s">
        <v>145</v>
      </c>
      <c r="AB232" t="b">
        <v>0</v>
      </c>
      <c r="AC232" t="b">
        <v>0</v>
      </c>
      <c r="AE232" t="b">
        <v>0</v>
      </c>
      <c r="AG232" t="b">
        <v>0</v>
      </c>
      <c r="AI232" t="b">
        <v>0</v>
      </c>
      <c r="AK232" t="s">
        <v>94</v>
      </c>
      <c r="AL232" t="s">
        <v>66</v>
      </c>
      <c r="AM232" s="3">
        <v>46264</v>
      </c>
      <c r="AN232" s="4">
        <v>0.43061342592592589</v>
      </c>
      <c r="AO232" t="s">
        <v>540</v>
      </c>
      <c r="AP232" t="s">
        <v>541</v>
      </c>
      <c r="AQ232" t="s">
        <v>69</v>
      </c>
      <c r="AR232">
        <v>80.8</v>
      </c>
      <c r="AS232" t="s">
        <v>70</v>
      </c>
      <c r="AT232" t="s">
        <v>542</v>
      </c>
      <c r="AU232" t="s">
        <v>221</v>
      </c>
      <c r="AV232" t="s">
        <v>73</v>
      </c>
      <c r="AW232" t="str">
        <f t="shared" si="6"/>
        <v>Ingeniería Química</v>
      </c>
      <c r="AX232" t="str">
        <f t="shared" si="7"/>
        <v>320 8367712</v>
      </c>
      <c r="AY232" t="str">
        <f>IFERROR(INDEX(Vacantes!$C:$C,MATCH(AT232,Vacantes!$A:$A,0)),"")</f>
        <v>Cervecería de Boyacá</v>
      </c>
      <c r="AZ232" t="str">
        <f>IFERROR(INDEX(Vacantes!$D:$D,MATCH(AT232,Vacantes!$A:$A,0)),"")</f>
        <v>20 de octubre de 2026</v>
      </c>
      <c r="BA232" t="str">
        <f>IFERROR(INDEX(Vacantes!$E:$E,MATCH(AT232,Vacantes!$A:$A,0)),"")</f>
        <v>7:30 a.m. a 12:00 p.m.</v>
      </c>
    </row>
    <row r="233" spans="1:53" x14ac:dyDescent="0.15">
      <c r="A233" t="s">
        <v>543</v>
      </c>
      <c r="B233" t="s">
        <v>544</v>
      </c>
      <c r="C233" t="s">
        <v>55</v>
      </c>
      <c r="D233">
        <v>1118533053</v>
      </c>
      <c r="E233" t="s">
        <v>76</v>
      </c>
      <c r="F233">
        <v>21</v>
      </c>
      <c r="G233" t="b">
        <v>1</v>
      </c>
      <c r="I233" t="s">
        <v>538</v>
      </c>
      <c r="J233" t="s">
        <v>539</v>
      </c>
      <c r="L233" t="s">
        <v>305</v>
      </c>
      <c r="N233" t="b">
        <v>0</v>
      </c>
      <c r="O233" t="b">
        <v>0</v>
      </c>
      <c r="P233" t="s">
        <v>144</v>
      </c>
      <c r="Q233" t="s">
        <v>60</v>
      </c>
      <c r="R233" t="s">
        <v>125</v>
      </c>
      <c r="W233" t="s">
        <v>109</v>
      </c>
      <c r="AA233" t="s">
        <v>176</v>
      </c>
      <c r="AB233" t="b">
        <v>0</v>
      </c>
      <c r="AC233" t="b">
        <v>0</v>
      </c>
      <c r="AE233" t="b">
        <v>0</v>
      </c>
      <c r="AG233" t="b">
        <v>0</v>
      </c>
      <c r="AI233" t="b">
        <v>0</v>
      </c>
      <c r="AK233" t="s">
        <v>65</v>
      </c>
      <c r="AL233" t="s">
        <v>66</v>
      </c>
      <c r="AM233" s="3">
        <v>46278</v>
      </c>
      <c r="AN233" s="4">
        <v>0.43336805555555558</v>
      </c>
      <c r="AO233">
        <v>3154190320</v>
      </c>
      <c r="AP233" t="s">
        <v>545</v>
      </c>
      <c r="AQ233" t="s">
        <v>69</v>
      </c>
      <c r="AR233">
        <v>79.599999999999994</v>
      </c>
      <c r="AS233" t="s">
        <v>70</v>
      </c>
      <c r="AT233" t="s">
        <v>542</v>
      </c>
      <c r="AU233" t="s">
        <v>221</v>
      </c>
      <c r="AV233" t="s">
        <v>73</v>
      </c>
      <c r="AW233" t="str">
        <f t="shared" si="6"/>
        <v>Ingeniería Química</v>
      </c>
      <c r="AX233" t="str">
        <f t="shared" si="7"/>
        <v>3154190320</v>
      </c>
      <c r="AY233" t="str">
        <f>IFERROR(INDEX(Vacantes!$C:$C,MATCH(AT233,Vacantes!$A:$A,0)),"")</f>
        <v>Cervecería de Boyacá</v>
      </c>
      <c r="AZ233" t="str">
        <f>IFERROR(INDEX(Vacantes!$D:$D,MATCH(AT233,Vacantes!$A:$A,0)),"")</f>
        <v>20 de octubre de 2026</v>
      </c>
      <c r="BA233" t="str">
        <f>IFERROR(INDEX(Vacantes!$E:$E,MATCH(AT233,Vacantes!$A:$A,0)),"")</f>
        <v>7:30 a.m. a 12:00 p.m.</v>
      </c>
    </row>
    <row r="234" spans="1:53" x14ac:dyDescent="0.15">
      <c r="A234" t="s">
        <v>546</v>
      </c>
      <c r="B234" t="s">
        <v>547</v>
      </c>
      <c r="C234" t="s">
        <v>55</v>
      </c>
      <c r="D234">
        <v>1053442581</v>
      </c>
      <c r="E234" t="s">
        <v>76</v>
      </c>
      <c r="F234">
        <v>21</v>
      </c>
      <c r="G234" t="b">
        <v>1</v>
      </c>
      <c r="I234" t="s">
        <v>538</v>
      </c>
      <c r="J234" t="s">
        <v>132</v>
      </c>
      <c r="K234" t="s">
        <v>548</v>
      </c>
      <c r="L234" t="s">
        <v>143</v>
      </c>
      <c r="N234" t="b">
        <v>1</v>
      </c>
      <c r="O234" t="b">
        <v>0</v>
      </c>
      <c r="P234" t="s">
        <v>144</v>
      </c>
      <c r="Q234" t="s">
        <v>60</v>
      </c>
      <c r="R234" t="s">
        <v>135</v>
      </c>
      <c r="W234" t="s">
        <v>125</v>
      </c>
      <c r="X234" t="s">
        <v>145</v>
      </c>
      <c r="AB234" t="b">
        <v>0</v>
      </c>
      <c r="AC234" t="b">
        <v>0</v>
      </c>
      <c r="AE234" t="b">
        <v>0</v>
      </c>
      <c r="AG234" t="b">
        <v>0</v>
      </c>
      <c r="AI234" t="b">
        <v>0</v>
      </c>
      <c r="AK234" t="s">
        <v>94</v>
      </c>
      <c r="AL234" t="s">
        <v>66</v>
      </c>
      <c r="AM234" s="3">
        <v>46256</v>
      </c>
      <c r="AN234" s="4">
        <v>0.53620370370370374</v>
      </c>
      <c r="AO234" t="s">
        <v>549</v>
      </c>
      <c r="AP234" t="s">
        <v>550</v>
      </c>
      <c r="AQ234" t="s">
        <v>69</v>
      </c>
      <c r="AR234">
        <v>92.9</v>
      </c>
      <c r="AS234" t="s">
        <v>70</v>
      </c>
      <c r="AT234" t="s">
        <v>542</v>
      </c>
      <c r="AU234" t="s">
        <v>221</v>
      </c>
      <c r="AV234" t="s">
        <v>73</v>
      </c>
      <c r="AW234" t="str">
        <f t="shared" si="6"/>
        <v>Ingeniería Industrial</v>
      </c>
      <c r="AX234" t="str">
        <f t="shared" si="7"/>
        <v>321 7866399</v>
      </c>
      <c r="AY234" t="str">
        <f>IFERROR(INDEX(Vacantes!$C:$C,MATCH(AT234,Vacantes!$A:$A,0)),"")</f>
        <v>Cervecería de Boyacá</v>
      </c>
      <c r="AZ234" t="str">
        <f>IFERROR(INDEX(Vacantes!$D:$D,MATCH(AT234,Vacantes!$A:$A,0)),"")</f>
        <v>20 de octubre de 2026</v>
      </c>
      <c r="BA234" t="str">
        <f>IFERROR(INDEX(Vacantes!$E:$E,MATCH(AT234,Vacantes!$A:$A,0)),"")</f>
        <v>7:30 a.m. a 12:00 p.m.</v>
      </c>
    </row>
    <row r="235" spans="1:53" x14ac:dyDescent="0.15">
      <c r="A235" t="s">
        <v>551</v>
      </c>
      <c r="B235" t="s">
        <v>552</v>
      </c>
      <c r="C235" t="s">
        <v>55</v>
      </c>
      <c r="D235">
        <v>1052381342</v>
      </c>
      <c r="E235" t="s">
        <v>76</v>
      </c>
      <c r="F235">
        <v>21</v>
      </c>
      <c r="G235" t="b">
        <v>1</v>
      </c>
      <c r="H235" t="s">
        <v>553</v>
      </c>
      <c r="I235" t="s">
        <v>538</v>
      </c>
      <c r="J235" t="s">
        <v>554</v>
      </c>
      <c r="L235" t="s">
        <v>143</v>
      </c>
      <c r="N235" t="b">
        <v>0</v>
      </c>
      <c r="O235" t="b">
        <v>0</v>
      </c>
      <c r="P235" t="s">
        <v>60</v>
      </c>
      <c r="Q235" t="s">
        <v>60</v>
      </c>
      <c r="R235" t="s">
        <v>125</v>
      </c>
      <c r="W235" t="s">
        <v>135</v>
      </c>
      <c r="AB235" t="b">
        <v>0</v>
      </c>
      <c r="AC235" t="b">
        <v>1</v>
      </c>
      <c r="AE235" t="b">
        <v>0</v>
      </c>
      <c r="AG235" t="b">
        <v>0</v>
      </c>
      <c r="AH235" t="s">
        <v>555</v>
      </c>
      <c r="AI235" t="b">
        <v>0</v>
      </c>
      <c r="AK235" t="s">
        <v>94</v>
      </c>
      <c r="AL235" t="s">
        <v>66</v>
      </c>
      <c r="AM235" s="3">
        <v>46277</v>
      </c>
      <c r="AN235" s="4">
        <v>0.63405092592592593</v>
      </c>
      <c r="AO235" t="s">
        <v>556</v>
      </c>
      <c r="AP235" t="s">
        <v>557</v>
      </c>
      <c r="AQ235" t="s">
        <v>69</v>
      </c>
      <c r="AR235">
        <v>79.5</v>
      </c>
      <c r="AS235" t="s">
        <v>70</v>
      </c>
      <c r="AT235" t="s">
        <v>542</v>
      </c>
      <c r="AU235" t="s">
        <v>221</v>
      </c>
      <c r="AV235" t="s">
        <v>73</v>
      </c>
      <c r="AW235" t="str">
        <f t="shared" si="6"/>
        <v>Ingeniería Industrial</v>
      </c>
      <c r="AX235" t="str">
        <f t="shared" si="7"/>
        <v>311 8242698</v>
      </c>
      <c r="AY235" t="str">
        <f>IFERROR(INDEX(Vacantes!$C:$C,MATCH(AT235,Vacantes!$A:$A,0)),"")</f>
        <v>Cervecería de Boyacá</v>
      </c>
      <c r="AZ235" t="str">
        <f>IFERROR(INDEX(Vacantes!$D:$D,MATCH(AT235,Vacantes!$A:$A,0)),"")</f>
        <v>20 de octubre de 2026</v>
      </c>
      <c r="BA235" t="str">
        <f>IFERROR(INDEX(Vacantes!$E:$E,MATCH(AT235,Vacantes!$A:$A,0)),"")</f>
        <v>7:30 a.m. a 12:00 p.m.</v>
      </c>
    </row>
    <row r="236" spans="1:53" x14ac:dyDescent="0.15">
      <c r="A236" t="s">
        <v>1372</v>
      </c>
      <c r="B236" t="s">
        <v>1373</v>
      </c>
      <c r="C236" t="s">
        <v>55</v>
      </c>
      <c r="D236">
        <v>1056798003</v>
      </c>
      <c r="E236" t="s">
        <v>56</v>
      </c>
      <c r="F236">
        <v>22</v>
      </c>
      <c r="G236" t="b">
        <v>1</v>
      </c>
      <c r="I236" t="s">
        <v>538</v>
      </c>
      <c r="J236" t="s">
        <v>554</v>
      </c>
      <c r="L236" t="s">
        <v>143</v>
      </c>
      <c r="N236" t="b">
        <v>0</v>
      </c>
      <c r="O236" t="b">
        <v>0</v>
      </c>
      <c r="P236" t="s">
        <v>60</v>
      </c>
      <c r="Q236" t="s">
        <v>61</v>
      </c>
      <c r="R236" t="s">
        <v>125</v>
      </c>
      <c r="W236" t="s">
        <v>135</v>
      </c>
      <c r="AB236" t="b">
        <v>0</v>
      </c>
      <c r="AC236" t="b">
        <v>0</v>
      </c>
      <c r="AE236" t="b">
        <v>0</v>
      </c>
      <c r="AG236" t="b">
        <v>0</v>
      </c>
      <c r="AI236" t="b">
        <v>0</v>
      </c>
      <c r="AK236" t="s">
        <v>94</v>
      </c>
      <c r="AL236" t="s">
        <v>66</v>
      </c>
      <c r="AM236" s="3">
        <v>46277</v>
      </c>
      <c r="AN236" s="4">
        <v>0.95652777777777775</v>
      </c>
      <c r="AO236">
        <v>3186987976</v>
      </c>
      <c r="AP236" t="s">
        <v>1374</v>
      </c>
      <c r="AQ236" t="s">
        <v>69</v>
      </c>
      <c r="AR236">
        <v>74.599999999999994</v>
      </c>
      <c r="AS236" t="s">
        <v>70</v>
      </c>
      <c r="AT236" t="s">
        <v>542</v>
      </c>
      <c r="AU236" t="s">
        <v>221</v>
      </c>
      <c r="AV236" t="s">
        <v>73</v>
      </c>
      <c r="AW236" t="str">
        <f t="shared" si="6"/>
        <v>Ingeniería Industrial</v>
      </c>
      <c r="AX236" t="str">
        <f t="shared" si="7"/>
        <v>3186987976</v>
      </c>
      <c r="AY236" t="str">
        <f>IFERROR(INDEX(Vacantes!$C:$C,MATCH(AT236,Vacantes!$A:$A,0)),"")</f>
        <v>Cervecería de Boyacá</v>
      </c>
      <c r="AZ236" t="str">
        <f>IFERROR(INDEX(Vacantes!$D:$D,MATCH(AT236,Vacantes!$A:$A,0)),"")</f>
        <v>20 de octubre de 2026</v>
      </c>
      <c r="BA236" t="str">
        <f>IFERROR(INDEX(Vacantes!$E:$E,MATCH(AT236,Vacantes!$A:$A,0)),"")</f>
        <v>7:30 a.m. a 12:00 p.m.</v>
      </c>
    </row>
    <row r="237" spans="1:53" x14ac:dyDescent="0.15">
      <c r="A237" t="s">
        <v>1728</v>
      </c>
      <c r="B237" t="s">
        <v>1729</v>
      </c>
      <c r="C237" t="s">
        <v>55</v>
      </c>
      <c r="D237">
        <v>1006554579</v>
      </c>
      <c r="E237" t="s">
        <v>56</v>
      </c>
      <c r="F237">
        <v>24</v>
      </c>
      <c r="G237" t="b">
        <v>1</v>
      </c>
      <c r="H237" t="s">
        <v>1730</v>
      </c>
      <c r="I237" t="s">
        <v>538</v>
      </c>
      <c r="J237" t="s">
        <v>554</v>
      </c>
      <c r="L237" t="s">
        <v>143</v>
      </c>
      <c r="N237" t="b">
        <v>0</v>
      </c>
      <c r="O237" t="b">
        <v>0</v>
      </c>
      <c r="P237" t="s">
        <v>60</v>
      </c>
      <c r="Q237" t="s">
        <v>61</v>
      </c>
      <c r="R237" t="s">
        <v>125</v>
      </c>
      <c r="W237" t="s">
        <v>135</v>
      </c>
      <c r="AB237" t="b">
        <v>0</v>
      </c>
      <c r="AC237" t="b">
        <v>0</v>
      </c>
      <c r="AE237" t="b">
        <v>0</v>
      </c>
      <c r="AG237" t="b">
        <v>0</v>
      </c>
      <c r="AI237" t="b">
        <v>0</v>
      </c>
      <c r="AK237" t="s">
        <v>153</v>
      </c>
      <c r="AL237" t="s">
        <v>66</v>
      </c>
      <c r="AM237" s="3">
        <v>46264</v>
      </c>
      <c r="AN237" s="4">
        <v>0.87505787037037042</v>
      </c>
      <c r="AO237">
        <v>3205909541</v>
      </c>
      <c r="AP237" t="s">
        <v>1731</v>
      </c>
      <c r="AQ237" t="s">
        <v>69</v>
      </c>
      <c r="AR237">
        <v>76.900000000000006</v>
      </c>
      <c r="AS237" t="s">
        <v>70</v>
      </c>
      <c r="AT237" t="s">
        <v>542</v>
      </c>
      <c r="AU237" t="s">
        <v>221</v>
      </c>
      <c r="AV237" t="s">
        <v>73</v>
      </c>
      <c r="AW237" t="str">
        <f t="shared" si="6"/>
        <v>Ingeniería Industrial</v>
      </c>
      <c r="AX237" t="str">
        <f t="shared" si="7"/>
        <v>3205909541</v>
      </c>
      <c r="AY237" t="str">
        <f>IFERROR(INDEX(Vacantes!$C:$C,MATCH(AT237,Vacantes!$A:$A,0)),"")</f>
        <v>Cervecería de Boyacá</v>
      </c>
      <c r="AZ237" t="str">
        <f>IFERROR(INDEX(Vacantes!$D:$D,MATCH(AT237,Vacantes!$A:$A,0)),"")</f>
        <v>20 de octubre de 2026</v>
      </c>
      <c r="BA237" t="str">
        <f>IFERROR(INDEX(Vacantes!$E:$E,MATCH(AT237,Vacantes!$A:$A,0)),"")</f>
        <v>7:30 a.m. a 12:00 p.m.</v>
      </c>
    </row>
    <row r="238" spans="1:53" x14ac:dyDescent="0.15">
      <c r="A238" t="s">
        <v>1732</v>
      </c>
      <c r="B238" t="s">
        <v>1733</v>
      </c>
      <c r="C238" t="s">
        <v>55</v>
      </c>
      <c r="D238">
        <v>1057570417</v>
      </c>
      <c r="E238" t="s">
        <v>56</v>
      </c>
      <c r="F238">
        <v>22</v>
      </c>
      <c r="G238" t="b">
        <v>1</v>
      </c>
      <c r="H238" t="s">
        <v>946</v>
      </c>
      <c r="I238" t="s">
        <v>538</v>
      </c>
      <c r="J238" t="s">
        <v>554</v>
      </c>
      <c r="L238" t="s">
        <v>640</v>
      </c>
      <c r="N238" t="b">
        <v>0</v>
      </c>
      <c r="O238" t="b">
        <v>0</v>
      </c>
      <c r="P238" t="s">
        <v>60</v>
      </c>
      <c r="Q238" t="s">
        <v>60</v>
      </c>
      <c r="R238" t="s">
        <v>125</v>
      </c>
      <c r="W238" t="s">
        <v>135</v>
      </c>
      <c r="AB238" t="b">
        <v>0</v>
      </c>
      <c r="AC238" t="b">
        <v>0</v>
      </c>
      <c r="AE238" t="b">
        <v>1</v>
      </c>
      <c r="AG238" t="b">
        <v>0</v>
      </c>
      <c r="AI238" t="b">
        <v>0</v>
      </c>
      <c r="AJ238" t="s">
        <v>1734</v>
      </c>
      <c r="AK238" t="s">
        <v>248</v>
      </c>
      <c r="AL238" t="s">
        <v>66</v>
      </c>
      <c r="AM238" s="3">
        <v>46267</v>
      </c>
      <c r="AN238" s="4">
        <v>0.61185185185185187</v>
      </c>
      <c r="AO238">
        <v>3202806780</v>
      </c>
      <c r="AP238" t="s">
        <v>1735</v>
      </c>
      <c r="AQ238" t="s">
        <v>69</v>
      </c>
      <c r="AR238">
        <v>95.4</v>
      </c>
      <c r="AS238" t="s">
        <v>70</v>
      </c>
      <c r="AT238" t="s">
        <v>542</v>
      </c>
      <c r="AU238" t="s">
        <v>221</v>
      </c>
      <c r="AV238" t="s">
        <v>73</v>
      </c>
      <c r="AW238" t="str">
        <f t="shared" si="6"/>
        <v>Ingeniería Electrónica</v>
      </c>
      <c r="AX238" t="str">
        <f t="shared" si="7"/>
        <v>3202806780</v>
      </c>
      <c r="AY238" t="str">
        <f>IFERROR(INDEX(Vacantes!$C:$C,MATCH(AT238,Vacantes!$A:$A,0)),"")</f>
        <v>Cervecería de Boyacá</v>
      </c>
      <c r="AZ238" t="str">
        <f>IFERROR(INDEX(Vacantes!$D:$D,MATCH(AT238,Vacantes!$A:$A,0)),"")</f>
        <v>20 de octubre de 2026</v>
      </c>
      <c r="BA238" t="str">
        <f>IFERROR(INDEX(Vacantes!$E:$E,MATCH(AT238,Vacantes!$A:$A,0)),"")</f>
        <v>7:30 a.m. a 12:00 p.m.</v>
      </c>
    </row>
    <row r="239" spans="1:53" x14ac:dyDescent="0.15">
      <c r="A239" t="s">
        <v>2500</v>
      </c>
      <c r="B239" t="s">
        <v>2501</v>
      </c>
      <c r="C239" t="s">
        <v>55</v>
      </c>
      <c r="D239">
        <v>1050090351</v>
      </c>
      <c r="E239" t="s">
        <v>76</v>
      </c>
      <c r="F239">
        <v>22</v>
      </c>
      <c r="G239" t="b">
        <v>1</v>
      </c>
      <c r="H239" t="s">
        <v>902</v>
      </c>
      <c r="I239" t="s">
        <v>57</v>
      </c>
      <c r="J239" t="s">
        <v>495</v>
      </c>
      <c r="L239" t="s">
        <v>356</v>
      </c>
      <c r="N239" t="b">
        <v>0</v>
      </c>
      <c r="O239" t="b">
        <v>0</v>
      </c>
      <c r="P239" t="s">
        <v>144</v>
      </c>
      <c r="Q239" t="s">
        <v>60</v>
      </c>
      <c r="R239" t="s">
        <v>125</v>
      </c>
      <c r="W239" t="s">
        <v>62</v>
      </c>
      <c r="AB239" t="b">
        <v>0</v>
      </c>
      <c r="AC239" t="b">
        <v>0</v>
      </c>
      <c r="AE239" t="b">
        <v>0</v>
      </c>
      <c r="AG239" t="b">
        <v>0</v>
      </c>
      <c r="AI239" t="b">
        <v>0</v>
      </c>
      <c r="AK239" t="s">
        <v>153</v>
      </c>
      <c r="AL239" t="s">
        <v>66</v>
      </c>
      <c r="AM239" s="3">
        <v>46269</v>
      </c>
      <c r="AN239" s="4">
        <v>0.67434027777777783</v>
      </c>
      <c r="AO239" t="s">
        <v>2502</v>
      </c>
      <c r="AP239" t="s">
        <v>2503</v>
      </c>
      <c r="AQ239" t="s">
        <v>2504</v>
      </c>
      <c r="AR239">
        <v>87.1</v>
      </c>
      <c r="AT239" t="s">
        <v>542</v>
      </c>
      <c r="AU239" t="s">
        <v>221</v>
      </c>
      <c r="AV239" t="s">
        <v>2505</v>
      </c>
      <c r="AW239" t="str">
        <f t="shared" si="6"/>
        <v>Ingeniería Ambiental</v>
      </c>
      <c r="AX239" t="str">
        <f t="shared" si="7"/>
        <v>310 8803925</v>
      </c>
      <c r="AY239" t="str">
        <f>IFERROR(INDEX(Vacantes!$C:$C,MATCH(AT239,Vacantes!$A:$A,0)),"")</f>
        <v>Cervecería de Boyacá</v>
      </c>
      <c r="AZ239" t="str">
        <f>IFERROR(INDEX(Vacantes!$D:$D,MATCH(AT239,Vacantes!$A:$A,0)),"")</f>
        <v>20 de octubre de 2026</v>
      </c>
      <c r="BA239" t="str">
        <f>IFERROR(INDEX(Vacantes!$E:$E,MATCH(AT239,Vacantes!$A:$A,0)),"")</f>
        <v>7:30 a.m. a 12:00 p.m.</v>
      </c>
    </row>
    <row r="240" spans="1:53" x14ac:dyDescent="0.15">
      <c r="A240" t="s">
        <v>2506</v>
      </c>
      <c r="B240" t="s">
        <v>2507</v>
      </c>
      <c r="C240" t="s">
        <v>55</v>
      </c>
      <c r="G240" t="b">
        <v>1</v>
      </c>
      <c r="J240" t="s">
        <v>449</v>
      </c>
      <c r="L240" t="s">
        <v>356</v>
      </c>
      <c r="P240" t="s">
        <v>60</v>
      </c>
      <c r="AL240" t="s">
        <v>66</v>
      </c>
      <c r="AM240">
        <v>46309</v>
      </c>
      <c r="AO240" t="s">
        <v>2508</v>
      </c>
      <c r="AT240" t="s">
        <v>542</v>
      </c>
      <c r="AU240" t="s">
        <v>221</v>
      </c>
      <c r="AV240" t="s">
        <v>2509</v>
      </c>
      <c r="AW240" t="str">
        <f t="shared" si="6"/>
        <v>Ingeniería Ambiental</v>
      </c>
      <c r="AX240" t="str">
        <f t="shared" si="7"/>
        <v>313 4266421</v>
      </c>
      <c r="AY240" t="str">
        <f>IFERROR(INDEX(Vacantes!$C:$C,MATCH(AT240,Vacantes!$A:$A,0)),"")</f>
        <v>Cervecería de Boyacá</v>
      </c>
      <c r="AZ240" t="str">
        <f>IFERROR(INDEX(Vacantes!$D:$D,MATCH(AT240,Vacantes!$A:$A,0)),"")</f>
        <v>20 de octubre de 2026</v>
      </c>
      <c r="BA240" t="str">
        <f>IFERROR(INDEX(Vacantes!$E:$E,MATCH(AT240,Vacantes!$A:$A,0)),"")</f>
        <v>7:30 a.m. a 12:00 p.m.</v>
      </c>
    </row>
    <row r="241" spans="1:53" x14ac:dyDescent="0.15">
      <c r="A241" t="s">
        <v>1721</v>
      </c>
      <c r="B241" t="s">
        <v>1722</v>
      </c>
      <c r="C241" t="s">
        <v>55</v>
      </c>
      <c r="D241">
        <v>1004217384</v>
      </c>
      <c r="E241" t="s">
        <v>56</v>
      </c>
      <c r="F241">
        <v>23</v>
      </c>
      <c r="G241" t="b">
        <v>1</v>
      </c>
      <c r="H241" t="s">
        <v>1723</v>
      </c>
      <c r="I241" t="s">
        <v>538</v>
      </c>
      <c r="J241" t="s">
        <v>1724</v>
      </c>
      <c r="L241" t="s">
        <v>1725</v>
      </c>
      <c r="N241" t="b">
        <v>0</v>
      </c>
      <c r="O241" t="b">
        <v>0</v>
      </c>
      <c r="P241" t="s">
        <v>144</v>
      </c>
      <c r="Q241" t="s">
        <v>60</v>
      </c>
      <c r="R241" t="s">
        <v>135</v>
      </c>
      <c r="W241" t="s">
        <v>125</v>
      </c>
      <c r="X241" t="s">
        <v>315</v>
      </c>
      <c r="AB241" t="b">
        <v>0</v>
      </c>
      <c r="AC241" t="b">
        <v>0</v>
      </c>
      <c r="AE241" t="b">
        <v>0</v>
      </c>
      <c r="AG241" t="b">
        <v>0</v>
      </c>
      <c r="AI241" t="b">
        <v>0</v>
      </c>
      <c r="AK241" t="s">
        <v>153</v>
      </c>
      <c r="AL241" t="s">
        <v>66</v>
      </c>
      <c r="AM241" s="3">
        <v>46260</v>
      </c>
      <c r="AN241" s="4">
        <v>0.2278240740740741</v>
      </c>
      <c r="AO241" t="s">
        <v>1726</v>
      </c>
      <c r="AP241" t="s">
        <v>1727</v>
      </c>
      <c r="AQ241" t="s">
        <v>69</v>
      </c>
      <c r="AR241">
        <v>92.1</v>
      </c>
      <c r="AS241" t="s">
        <v>70</v>
      </c>
      <c r="AT241" t="s">
        <v>542</v>
      </c>
      <c r="AV241" t="s">
        <v>73</v>
      </c>
      <c r="AW241" t="str">
        <f t="shared" si="6"/>
        <v>Ingeniería Agroindustrial</v>
      </c>
      <c r="AX241" t="str">
        <f t="shared" si="7"/>
        <v>312 7102118</v>
      </c>
      <c r="AY241" t="str">
        <f>IFERROR(INDEX(Vacantes!$C:$C,MATCH(AT241,Vacantes!$A:$A,0)),"")</f>
        <v>Cervecería de Boyacá</v>
      </c>
      <c r="AZ241" t="str">
        <f>IFERROR(INDEX(Vacantes!$D:$D,MATCH(AT241,Vacantes!$A:$A,0)),"")</f>
        <v>20 de octubre de 2026</v>
      </c>
      <c r="BA241" t="str">
        <f>IFERROR(INDEX(Vacantes!$E:$E,MATCH(AT241,Vacantes!$A:$A,0)),"")</f>
        <v>7:30 a.m. a 12:00 p.m.</v>
      </c>
    </row>
    <row r="242" spans="1:53" x14ac:dyDescent="0.15">
      <c r="A242" t="s">
        <v>1468</v>
      </c>
      <c r="B242" t="s">
        <v>1469</v>
      </c>
      <c r="C242" t="s">
        <v>55</v>
      </c>
      <c r="D242">
        <v>1057214413</v>
      </c>
      <c r="F242">
        <v>20</v>
      </c>
      <c r="G242" t="b">
        <v>1</v>
      </c>
      <c r="H242" t="s">
        <v>922</v>
      </c>
      <c r="J242" t="s">
        <v>132</v>
      </c>
      <c r="K242" t="s">
        <v>449</v>
      </c>
      <c r="L242" t="s">
        <v>521</v>
      </c>
      <c r="AL242" t="s">
        <v>66</v>
      </c>
      <c r="AO242" t="s">
        <v>1470</v>
      </c>
      <c r="AP242" t="s">
        <v>1471</v>
      </c>
      <c r="AT242" t="s">
        <v>1107</v>
      </c>
      <c r="AU242" t="s">
        <v>72</v>
      </c>
      <c r="AV242" t="s">
        <v>184</v>
      </c>
      <c r="AW242" t="str">
        <f t="shared" si="6"/>
        <v>Comunicación social</v>
      </c>
      <c r="AX242" t="str">
        <f t="shared" si="7"/>
        <v>313 4401989</v>
      </c>
      <c r="AY242" t="str">
        <f>IFERROR(INDEX(Vacantes!$C:$C,MATCH(AT242,Vacantes!$A:$A,0)),"")</f>
        <v>Cervecería de Boyacá</v>
      </c>
      <c r="AZ242" t="str">
        <f>IFERROR(INDEX(Vacantes!$D:$D,MATCH(AT242,Vacantes!$A:$A,0)),"")</f>
        <v>20 de octubre de 2026</v>
      </c>
      <c r="BA242" t="str">
        <f>IFERROR(INDEX(Vacantes!$E:$E,MATCH(AT242,Vacantes!$A:$A,0)),"")</f>
        <v>7:30 a.m. a 12:00 p.m.</v>
      </c>
    </row>
    <row r="243" spans="1:53" x14ac:dyDescent="0.15">
      <c r="A243" t="s">
        <v>2015</v>
      </c>
      <c r="B243" t="s">
        <v>2016</v>
      </c>
      <c r="C243" t="s">
        <v>55</v>
      </c>
      <c r="D243">
        <v>1002697466</v>
      </c>
      <c r="E243" t="s">
        <v>56</v>
      </c>
      <c r="F243">
        <v>24</v>
      </c>
      <c r="G243" t="b">
        <v>1</v>
      </c>
      <c r="I243" t="s">
        <v>538</v>
      </c>
      <c r="J243" t="s">
        <v>554</v>
      </c>
      <c r="L243" t="s">
        <v>143</v>
      </c>
      <c r="N243" t="b">
        <v>0</v>
      </c>
      <c r="O243" t="b">
        <v>0</v>
      </c>
      <c r="P243" t="s">
        <v>144</v>
      </c>
      <c r="Q243" t="s">
        <v>60</v>
      </c>
      <c r="R243" t="s">
        <v>64</v>
      </c>
      <c r="W243" t="s">
        <v>125</v>
      </c>
      <c r="X243" t="s">
        <v>315</v>
      </c>
      <c r="Z243" t="s">
        <v>151</v>
      </c>
      <c r="AB243" t="b">
        <v>0</v>
      </c>
      <c r="AC243" t="b">
        <v>0</v>
      </c>
      <c r="AE243" t="b">
        <v>0</v>
      </c>
      <c r="AG243" t="b">
        <v>0</v>
      </c>
      <c r="AI243" t="b">
        <v>0</v>
      </c>
      <c r="AK243" t="s">
        <v>94</v>
      </c>
      <c r="AL243" t="s">
        <v>66</v>
      </c>
      <c r="AM243" s="3">
        <v>46277</v>
      </c>
      <c r="AN243" s="4">
        <v>0.84572916666666664</v>
      </c>
      <c r="AO243" t="s">
        <v>2017</v>
      </c>
      <c r="AP243" t="s">
        <v>2018</v>
      </c>
      <c r="AQ243" t="s">
        <v>69</v>
      </c>
      <c r="AR243">
        <v>75.3</v>
      </c>
      <c r="AS243" t="s">
        <v>70</v>
      </c>
      <c r="AT243" t="s">
        <v>1107</v>
      </c>
      <c r="AU243" t="s">
        <v>72</v>
      </c>
      <c r="AV243" t="s">
        <v>184</v>
      </c>
      <c r="AW243" t="str">
        <f t="shared" si="6"/>
        <v>Ingeniería Industrial</v>
      </c>
      <c r="AX243" t="str">
        <f t="shared" si="7"/>
        <v>321 2038347</v>
      </c>
      <c r="AY243" t="str">
        <f>IFERROR(INDEX(Vacantes!$C:$C,MATCH(AT243,Vacantes!$A:$A,0)),"")</f>
        <v>Cervecería de Boyacá</v>
      </c>
      <c r="AZ243" t="str">
        <f>IFERROR(INDEX(Vacantes!$D:$D,MATCH(AT243,Vacantes!$A:$A,0)),"")</f>
        <v>20 de octubre de 2026</v>
      </c>
      <c r="BA243" t="str">
        <f>IFERROR(INDEX(Vacantes!$E:$E,MATCH(AT243,Vacantes!$A:$A,0)),"")</f>
        <v>7:30 a.m. a 12:00 p.m.</v>
      </c>
    </row>
    <row r="244" spans="1:53" x14ac:dyDescent="0.15">
      <c r="A244" t="s">
        <v>2019</v>
      </c>
      <c r="B244" t="s">
        <v>2020</v>
      </c>
      <c r="C244" t="s">
        <v>55</v>
      </c>
      <c r="D244">
        <v>1057978536</v>
      </c>
      <c r="E244" t="s">
        <v>76</v>
      </c>
      <c r="F244">
        <v>21</v>
      </c>
      <c r="G244" t="b">
        <v>1</v>
      </c>
      <c r="H244" t="s">
        <v>902</v>
      </c>
      <c r="I244" t="s">
        <v>57</v>
      </c>
      <c r="J244" t="s">
        <v>132</v>
      </c>
      <c r="K244" t="s">
        <v>449</v>
      </c>
      <c r="L244" t="s">
        <v>521</v>
      </c>
      <c r="N244" t="b">
        <v>0</v>
      </c>
      <c r="O244" t="b">
        <v>0</v>
      </c>
      <c r="P244" t="s">
        <v>60</v>
      </c>
      <c r="Q244" t="s">
        <v>144</v>
      </c>
      <c r="R244" t="s">
        <v>113</v>
      </c>
      <c r="W244" t="s">
        <v>108</v>
      </c>
      <c r="AB244" t="b">
        <v>0</v>
      </c>
      <c r="AC244" t="b">
        <v>0</v>
      </c>
      <c r="AE244" t="b">
        <v>0</v>
      </c>
      <c r="AG244" t="b">
        <v>0</v>
      </c>
      <c r="AI244" t="b">
        <v>0</v>
      </c>
      <c r="AK244" t="s">
        <v>94</v>
      </c>
      <c r="AL244" t="s">
        <v>66</v>
      </c>
      <c r="AM244" s="3">
        <v>46267</v>
      </c>
      <c r="AN244" s="4">
        <v>0.77230324074074075</v>
      </c>
      <c r="AO244">
        <v>3125891400</v>
      </c>
      <c r="AP244" t="s">
        <v>2021</v>
      </c>
      <c r="AQ244" t="s">
        <v>69</v>
      </c>
      <c r="AR244">
        <v>84.4</v>
      </c>
      <c r="AS244" t="s">
        <v>70</v>
      </c>
      <c r="AT244" t="s">
        <v>1107</v>
      </c>
      <c r="AU244" t="s">
        <v>72</v>
      </c>
      <c r="AV244" t="s">
        <v>73</v>
      </c>
      <c r="AW244" t="str">
        <f t="shared" si="6"/>
        <v>Comunicación social</v>
      </c>
      <c r="AX244" t="str">
        <f t="shared" si="7"/>
        <v>3125891400</v>
      </c>
      <c r="AY244" t="str">
        <f>IFERROR(INDEX(Vacantes!$C:$C,MATCH(AT244,Vacantes!$A:$A,0)),"")</f>
        <v>Cervecería de Boyacá</v>
      </c>
      <c r="AZ244" t="str">
        <f>IFERROR(INDEX(Vacantes!$D:$D,MATCH(AT244,Vacantes!$A:$A,0)),"")</f>
        <v>20 de octubre de 2026</v>
      </c>
      <c r="BA244" t="str">
        <f>IFERROR(INDEX(Vacantes!$E:$E,MATCH(AT244,Vacantes!$A:$A,0)),"")</f>
        <v>7:30 a.m. a 12:00 p.m.</v>
      </c>
    </row>
    <row r="245" spans="1:53" x14ac:dyDescent="0.15">
      <c r="A245" t="s">
        <v>2022</v>
      </c>
      <c r="B245" t="s">
        <v>2023</v>
      </c>
      <c r="G245" t="b">
        <v>1</v>
      </c>
      <c r="H245" t="s">
        <v>922</v>
      </c>
      <c r="J245" t="s">
        <v>132</v>
      </c>
      <c r="K245" t="s">
        <v>449</v>
      </c>
      <c r="L245" t="s">
        <v>521</v>
      </c>
      <c r="AL245" t="s">
        <v>66</v>
      </c>
      <c r="AO245" t="s">
        <v>2024</v>
      </c>
      <c r="AP245" t="s">
        <v>2025</v>
      </c>
      <c r="AT245" t="s">
        <v>1107</v>
      </c>
      <c r="AU245" t="s">
        <v>72</v>
      </c>
      <c r="AV245" t="s">
        <v>184</v>
      </c>
      <c r="AW245" t="str">
        <f t="shared" si="6"/>
        <v>Comunicación social</v>
      </c>
      <c r="AX245" t="str">
        <f t="shared" si="7"/>
        <v>320 3456294</v>
      </c>
      <c r="AY245" t="str">
        <f>IFERROR(INDEX(Vacantes!$C:$C,MATCH(AT245,Vacantes!$A:$A,0)),"")</f>
        <v>Cervecería de Boyacá</v>
      </c>
      <c r="AZ245" t="str">
        <f>IFERROR(INDEX(Vacantes!$D:$D,MATCH(AT245,Vacantes!$A:$A,0)),"")</f>
        <v>20 de octubre de 2026</v>
      </c>
      <c r="BA245" t="str">
        <f>IFERROR(INDEX(Vacantes!$E:$E,MATCH(AT245,Vacantes!$A:$A,0)),"")</f>
        <v>7:30 a.m. a 12:00 p.m.</v>
      </c>
    </row>
    <row r="246" spans="1:53" x14ac:dyDescent="0.15">
      <c r="A246" t="s">
        <v>2026</v>
      </c>
      <c r="B246" t="s">
        <v>2027</v>
      </c>
      <c r="G246" t="b">
        <v>1</v>
      </c>
      <c r="H246" t="s">
        <v>922</v>
      </c>
      <c r="J246" t="s">
        <v>132</v>
      </c>
      <c r="K246" t="s">
        <v>449</v>
      </c>
      <c r="L246" t="s">
        <v>521</v>
      </c>
      <c r="AL246" t="s">
        <v>66</v>
      </c>
      <c r="AO246" t="s">
        <v>2028</v>
      </c>
      <c r="AP246" t="s">
        <v>1951</v>
      </c>
      <c r="AT246" t="s">
        <v>1107</v>
      </c>
      <c r="AU246" t="s">
        <v>72</v>
      </c>
      <c r="AV246" t="s">
        <v>184</v>
      </c>
      <c r="AW246" t="str">
        <f t="shared" si="6"/>
        <v>Comunicación social</v>
      </c>
      <c r="AX246" t="str">
        <f t="shared" si="7"/>
        <v>314 2225915</v>
      </c>
      <c r="AY246" t="str">
        <f>IFERROR(INDEX(Vacantes!$C:$C,MATCH(AT246,Vacantes!$A:$A,0)),"")</f>
        <v>Cervecería de Boyacá</v>
      </c>
      <c r="AZ246" t="str">
        <f>IFERROR(INDEX(Vacantes!$D:$D,MATCH(AT246,Vacantes!$A:$A,0)),"")</f>
        <v>20 de octubre de 2026</v>
      </c>
      <c r="BA246" t="str">
        <f>IFERROR(INDEX(Vacantes!$E:$E,MATCH(AT246,Vacantes!$A:$A,0)),"")</f>
        <v>7:30 a.m. a 12:00 p.m.</v>
      </c>
    </row>
    <row r="247" spans="1:53" x14ac:dyDescent="0.15">
      <c r="A247" t="s">
        <v>1102</v>
      </c>
      <c r="B247" t="s">
        <v>1103</v>
      </c>
      <c r="C247" t="s">
        <v>55</v>
      </c>
      <c r="D247">
        <v>1002559370</v>
      </c>
      <c r="E247" t="s">
        <v>56</v>
      </c>
      <c r="F247">
        <v>22</v>
      </c>
      <c r="G247" t="b">
        <v>1</v>
      </c>
      <c r="I247" t="s">
        <v>538</v>
      </c>
      <c r="J247" t="s">
        <v>123</v>
      </c>
      <c r="L247" t="s">
        <v>1104</v>
      </c>
      <c r="N247" t="b">
        <v>1</v>
      </c>
      <c r="O247" t="b">
        <v>0</v>
      </c>
      <c r="P247" t="s">
        <v>144</v>
      </c>
      <c r="Q247" t="s">
        <v>60</v>
      </c>
      <c r="R247" t="s">
        <v>125</v>
      </c>
      <c r="U247" t="s">
        <v>93</v>
      </c>
      <c r="W247" t="s">
        <v>64</v>
      </c>
      <c r="AB247" t="b">
        <v>0</v>
      </c>
      <c r="AC247" t="b">
        <v>0</v>
      </c>
      <c r="AE247" t="b">
        <v>0</v>
      </c>
      <c r="AG247" t="b">
        <v>0</v>
      </c>
      <c r="AI247" t="b">
        <v>0</v>
      </c>
      <c r="AK247" t="s">
        <v>94</v>
      </c>
      <c r="AL247" t="s">
        <v>66</v>
      </c>
      <c r="AM247" s="3">
        <v>46256</v>
      </c>
      <c r="AN247" s="4">
        <v>0.65561342592592597</v>
      </c>
      <c r="AO247" t="s">
        <v>1105</v>
      </c>
      <c r="AP247" t="s">
        <v>1106</v>
      </c>
      <c r="AQ247" t="s">
        <v>69</v>
      </c>
      <c r="AR247">
        <v>81.400000000000006</v>
      </c>
      <c r="AS247" t="s">
        <v>70</v>
      </c>
      <c r="AT247" t="s">
        <v>1107</v>
      </c>
      <c r="AU247" t="s">
        <v>221</v>
      </c>
      <c r="AV247" t="s">
        <v>73</v>
      </c>
      <c r="AW247" t="str">
        <f t="shared" si="6"/>
        <v>Seguridad y Salud en el Trabajo</v>
      </c>
      <c r="AX247" t="str">
        <f t="shared" si="7"/>
        <v>312 3264153</v>
      </c>
      <c r="AY247" t="str">
        <f>IFERROR(INDEX(Vacantes!$C:$C,MATCH(AT247,Vacantes!$A:$A,0)),"")</f>
        <v>Cervecería de Boyacá</v>
      </c>
      <c r="AZ247" t="str">
        <f>IFERROR(INDEX(Vacantes!$D:$D,MATCH(AT247,Vacantes!$A:$A,0)),"")</f>
        <v>20 de octubre de 2026</v>
      </c>
      <c r="BA247" t="str">
        <f>IFERROR(INDEX(Vacantes!$E:$E,MATCH(AT247,Vacantes!$A:$A,0)),"")</f>
        <v>7:30 a.m. a 12:00 p.m.</v>
      </c>
    </row>
    <row r="248" spans="1:53" x14ac:dyDescent="0.15">
      <c r="A248" t="s">
        <v>1108</v>
      </c>
      <c r="B248" t="s">
        <v>1109</v>
      </c>
      <c r="C248" t="s">
        <v>55</v>
      </c>
      <c r="D248">
        <v>1002459278</v>
      </c>
      <c r="E248" t="s">
        <v>76</v>
      </c>
      <c r="F248">
        <v>24</v>
      </c>
      <c r="G248" t="b">
        <v>1</v>
      </c>
      <c r="H248" t="s">
        <v>553</v>
      </c>
      <c r="I248" t="s">
        <v>538</v>
      </c>
      <c r="J248" t="s">
        <v>554</v>
      </c>
      <c r="L248" t="s">
        <v>132</v>
      </c>
      <c r="M248" t="s">
        <v>1110</v>
      </c>
      <c r="N248" t="b">
        <v>0</v>
      </c>
      <c r="O248" t="b">
        <v>0</v>
      </c>
      <c r="P248" t="s">
        <v>61</v>
      </c>
      <c r="Q248" t="s">
        <v>60</v>
      </c>
      <c r="R248" t="s">
        <v>108</v>
      </c>
      <c r="W248" t="s">
        <v>125</v>
      </c>
      <c r="X248" t="s">
        <v>306</v>
      </c>
      <c r="AB248" t="b">
        <v>0</v>
      </c>
      <c r="AC248" t="b">
        <v>0</v>
      </c>
      <c r="AE248" t="b">
        <v>0</v>
      </c>
      <c r="AG248" t="b">
        <v>0</v>
      </c>
      <c r="AI248" t="b">
        <v>0</v>
      </c>
      <c r="AK248" t="s">
        <v>202</v>
      </c>
      <c r="AL248" t="s">
        <v>66</v>
      </c>
      <c r="AM248" s="3">
        <v>46265</v>
      </c>
      <c r="AN248" s="4">
        <v>0.5632638888888889</v>
      </c>
      <c r="AO248">
        <v>3105595063</v>
      </c>
      <c r="AP248" t="s">
        <v>1111</v>
      </c>
      <c r="AQ248" t="s">
        <v>69</v>
      </c>
      <c r="AR248">
        <v>89.3</v>
      </c>
      <c r="AS248" t="s">
        <v>70</v>
      </c>
      <c r="AT248" t="s">
        <v>1107</v>
      </c>
      <c r="AU248" s="12" t="s">
        <v>221</v>
      </c>
      <c r="AV248" t="s">
        <v>73</v>
      </c>
      <c r="AW248" t="str">
        <f t="shared" si="6"/>
        <v>DISEÑO INDUSTRIAL</v>
      </c>
      <c r="AX248" t="str">
        <f t="shared" si="7"/>
        <v>3105595063</v>
      </c>
      <c r="AY248" t="str">
        <f>IFERROR(INDEX(Vacantes!$C:$C,MATCH(AT248,Vacantes!$A:$A,0)),"")</f>
        <v>Cervecería de Boyacá</v>
      </c>
      <c r="AZ248" t="str">
        <f>IFERROR(INDEX(Vacantes!$D:$D,MATCH(AT248,Vacantes!$A:$A,0)),"")</f>
        <v>20 de octubre de 2026</v>
      </c>
      <c r="BA248" t="str">
        <f>IFERROR(INDEX(Vacantes!$E:$E,MATCH(AT248,Vacantes!$A:$A,0)),"")</f>
        <v>7:30 a.m. a 12:00 p.m.</v>
      </c>
    </row>
    <row r="249" spans="1:53" x14ac:dyDescent="0.15">
      <c r="A249" t="s">
        <v>2007</v>
      </c>
      <c r="B249" t="s">
        <v>2008</v>
      </c>
      <c r="C249" t="s">
        <v>55</v>
      </c>
      <c r="D249">
        <v>1002760401</v>
      </c>
      <c r="E249" t="s">
        <v>56</v>
      </c>
      <c r="F249">
        <v>24</v>
      </c>
      <c r="G249" t="b">
        <v>1</v>
      </c>
      <c r="H249" t="s">
        <v>922</v>
      </c>
      <c r="I249" t="s">
        <v>538</v>
      </c>
      <c r="J249" t="s">
        <v>495</v>
      </c>
      <c r="L249" t="s">
        <v>243</v>
      </c>
      <c r="N249" t="b">
        <v>0</v>
      </c>
      <c r="O249" t="b">
        <v>0</v>
      </c>
      <c r="P249" t="s">
        <v>61</v>
      </c>
      <c r="Q249" t="s">
        <v>61</v>
      </c>
      <c r="R249" t="s">
        <v>244</v>
      </c>
      <c r="U249" t="s">
        <v>63</v>
      </c>
      <c r="W249" t="s">
        <v>64</v>
      </c>
      <c r="AB249" t="b">
        <v>0</v>
      </c>
      <c r="AC249" t="b">
        <v>0</v>
      </c>
      <c r="AE249" t="b">
        <v>0</v>
      </c>
      <c r="AG249" t="b">
        <v>0</v>
      </c>
      <c r="AI249" t="b">
        <v>0</v>
      </c>
      <c r="AK249" t="s">
        <v>65</v>
      </c>
      <c r="AL249" t="s">
        <v>66</v>
      </c>
      <c r="AM249" s="3">
        <v>46269</v>
      </c>
      <c r="AN249" s="4">
        <v>0.2494791666666667</v>
      </c>
      <c r="AO249" t="s">
        <v>2009</v>
      </c>
      <c r="AP249" t="s">
        <v>2010</v>
      </c>
      <c r="AQ249" t="s">
        <v>69</v>
      </c>
      <c r="AR249">
        <v>80.8</v>
      </c>
      <c r="AS249" t="s">
        <v>70</v>
      </c>
      <c r="AT249" t="s">
        <v>1107</v>
      </c>
      <c r="AV249" t="s">
        <v>73</v>
      </c>
      <c r="AW249" t="str">
        <f t="shared" si="6"/>
        <v>Derecho</v>
      </c>
      <c r="AX249" t="str">
        <f t="shared" si="7"/>
        <v>317 8009224</v>
      </c>
      <c r="AY249" t="str">
        <f>IFERROR(INDEX(Vacantes!$C:$C,MATCH(AT249,Vacantes!$A:$A,0)),"")</f>
        <v>Cervecería de Boyacá</v>
      </c>
      <c r="AZ249" t="str">
        <f>IFERROR(INDEX(Vacantes!$D:$D,MATCH(AT249,Vacantes!$A:$A,0)),"")</f>
        <v>20 de octubre de 2026</v>
      </c>
      <c r="BA249" t="str">
        <f>IFERROR(INDEX(Vacantes!$E:$E,MATCH(AT249,Vacantes!$A:$A,0)),"")</f>
        <v>7:30 a.m. a 12:00 p.m.</v>
      </c>
    </row>
    <row r="250" spans="1:53" x14ac:dyDescent="0.15">
      <c r="A250" t="s">
        <v>2011</v>
      </c>
      <c r="B250" t="s">
        <v>2012</v>
      </c>
      <c r="C250" t="s">
        <v>55</v>
      </c>
      <c r="D250">
        <v>1051316053</v>
      </c>
      <c r="E250" t="s">
        <v>76</v>
      </c>
      <c r="F250">
        <v>22</v>
      </c>
      <c r="G250" t="b">
        <v>1</v>
      </c>
      <c r="H250" t="s">
        <v>902</v>
      </c>
      <c r="I250" t="s">
        <v>538</v>
      </c>
      <c r="J250" t="s">
        <v>495</v>
      </c>
      <c r="L250" t="s">
        <v>107</v>
      </c>
      <c r="N250" t="b">
        <v>1</v>
      </c>
      <c r="O250" t="b">
        <v>0</v>
      </c>
      <c r="P250" t="s">
        <v>60</v>
      </c>
      <c r="Q250" t="s">
        <v>60</v>
      </c>
      <c r="R250" t="s">
        <v>135</v>
      </c>
      <c r="W250" t="s">
        <v>108</v>
      </c>
      <c r="AB250" t="b">
        <v>0</v>
      </c>
      <c r="AC250" t="b">
        <v>1</v>
      </c>
      <c r="AE250" t="b">
        <v>0</v>
      </c>
      <c r="AG250" t="b">
        <v>0</v>
      </c>
      <c r="AH250" t="s">
        <v>2013</v>
      </c>
      <c r="AI250" t="b">
        <v>0</v>
      </c>
      <c r="AK250" t="s">
        <v>94</v>
      </c>
      <c r="AL250" t="s">
        <v>66</v>
      </c>
      <c r="AM250" s="3">
        <v>46277</v>
      </c>
      <c r="AN250" s="4">
        <v>0.63337962962962968</v>
      </c>
      <c r="AO250" t="s">
        <v>2014</v>
      </c>
      <c r="AP250" t="s">
        <v>1951</v>
      </c>
      <c r="AQ250" t="s">
        <v>69</v>
      </c>
      <c r="AR250">
        <v>75.8</v>
      </c>
      <c r="AS250" t="s">
        <v>70</v>
      </c>
      <c r="AT250" t="s">
        <v>1107</v>
      </c>
      <c r="AV250" t="s">
        <v>73</v>
      </c>
      <c r="AW250" t="str">
        <f t="shared" si="6"/>
        <v>Administración de Empresas</v>
      </c>
      <c r="AX250" t="str">
        <f t="shared" si="7"/>
        <v>322 5436103</v>
      </c>
      <c r="AY250" t="str">
        <f>IFERROR(INDEX(Vacantes!$C:$C,MATCH(AT250,Vacantes!$A:$A,0)),"")</f>
        <v>Cervecería de Boyacá</v>
      </c>
      <c r="AZ250" t="str">
        <f>IFERROR(INDEX(Vacantes!$D:$D,MATCH(AT250,Vacantes!$A:$A,0)),"")</f>
        <v>20 de octubre de 2026</v>
      </c>
      <c r="BA250" t="str">
        <f>IFERROR(INDEX(Vacantes!$E:$E,MATCH(AT250,Vacantes!$A:$A,0)),"")</f>
        <v>7:30 a.m. a 12:00 p.m.</v>
      </c>
    </row>
    <row r="251" spans="1:53" x14ac:dyDescent="0.15">
      <c r="A251" t="s">
        <v>211</v>
      </c>
      <c r="B251" t="s">
        <v>212</v>
      </c>
      <c r="C251" t="s">
        <v>55</v>
      </c>
      <c r="D251">
        <v>1005185477</v>
      </c>
      <c r="E251" t="s">
        <v>76</v>
      </c>
      <c r="F251">
        <v>23</v>
      </c>
      <c r="G251" t="b">
        <v>1</v>
      </c>
      <c r="I251" t="s">
        <v>213</v>
      </c>
      <c r="L251" t="s">
        <v>214</v>
      </c>
      <c r="N251" t="b">
        <v>0</v>
      </c>
      <c r="O251" t="b">
        <v>0</v>
      </c>
      <c r="P251" t="s">
        <v>61</v>
      </c>
      <c r="Q251" t="s">
        <v>144</v>
      </c>
      <c r="R251" t="s">
        <v>64</v>
      </c>
      <c r="W251" t="s">
        <v>113</v>
      </c>
      <c r="Z251" t="s">
        <v>151</v>
      </c>
      <c r="AB251" t="b">
        <v>0</v>
      </c>
      <c r="AC251" t="b">
        <v>0</v>
      </c>
      <c r="AE251" t="b">
        <v>0</v>
      </c>
      <c r="AG251" t="b">
        <v>0</v>
      </c>
      <c r="AI251" t="b">
        <v>0</v>
      </c>
      <c r="AK251" t="s">
        <v>94</v>
      </c>
      <c r="AL251" t="s">
        <v>66</v>
      </c>
      <c r="AM251" s="3">
        <v>46277</v>
      </c>
      <c r="AN251" s="4">
        <v>0.54864583333333339</v>
      </c>
      <c r="AO251">
        <v>3123884907</v>
      </c>
      <c r="AP251" t="s">
        <v>215</v>
      </c>
      <c r="AQ251" t="s">
        <v>69</v>
      </c>
      <c r="AR251">
        <v>75.099999999999994</v>
      </c>
      <c r="AS251" t="s">
        <v>70</v>
      </c>
      <c r="AT251" t="s">
        <v>216</v>
      </c>
      <c r="AU251" t="s">
        <v>72</v>
      </c>
      <c r="AV251" t="s">
        <v>184</v>
      </c>
      <c r="AW251" t="str">
        <f t="shared" si="6"/>
        <v>Trabajo Social</v>
      </c>
      <c r="AX251" t="str">
        <f t="shared" si="7"/>
        <v>3123884907</v>
      </c>
      <c r="AY251" t="str">
        <f>IFERROR(INDEX(Vacantes!$C:$C,MATCH(AT251,Vacantes!$A:$A,0)),"")</f>
        <v>Cervecería de Bucaramanga</v>
      </c>
      <c r="AZ251" t="str">
        <f>IFERROR(INDEX(Vacantes!$D:$D,MATCH(AT251,Vacantes!$A:$A,0)),"")</f>
        <v>21 de octubre de 2026</v>
      </c>
      <c r="BA251" t="str">
        <f>IFERROR(INDEX(Vacantes!$E:$E,MATCH(AT251,Vacantes!$A:$A,0)),"")</f>
        <v>7:30 a.m. a 12:00 p.m.</v>
      </c>
    </row>
    <row r="252" spans="1:53" x14ac:dyDescent="0.15">
      <c r="A252" t="s">
        <v>376</v>
      </c>
      <c r="B252" t="s">
        <v>377</v>
      </c>
      <c r="C252" t="s">
        <v>55</v>
      </c>
      <c r="D252">
        <v>1126965198</v>
      </c>
      <c r="E252" t="s">
        <v>76</v>
      </c>
      <c r="F252">
        <v>20</v>
      </c>
      <c r="G252" t="b">
        <v>1</v>
      </c>
      <c r="H252" t="s">
        <v>378</v>
      </c>
      <c r="I252" t="s">
        <v>160</v>
      </c>
      <c r="J252" t="s">
        <v>379</v>
      </c>
      <c r="L252" t="s">
        <v>143</v>
      </c>
      <c r="N252" t="b">
        <v>1</v>
      </c>
      <c r="O252" t="b">
        <v>0</v>
      </c>
      <c r="P252" t="s">
        <v>61</v>
      </c>
      <c r="Q252" t="s">
        <v>60</v>
      </c>
      <c r="R252" t="s">
        <v>135</v>
      </c>
      <c r="W252" t="s">
        <v>125</v>
      </c>
      <c r="X252" t="s">
        <v>315</v>
      </c>
      <c r="AB252" t="b">
        <v>0</v>
      </c>
      <c r="AC252" t="b">
        <v>0</v>
      </c>
      <c r="AE252" t="b">
        <v>0</v>
      </c>
      <c r="AG252" t="b">
        <v>0</v>
      </c>
      <c r="AI252" t="b">
        <v>0</v>
      </c>
      <c r="AK252" t="s">
        <v>202</v>
      </c>
      <c r="AL252" t="s">
        <v>66</v>
      </c>
      <c r="AM252" s="3">
        <v>46276</v>
      </c>
      <c r="AN252" s="4">
        <v>0.68530092592592595</v>
      </c>
      <c r="AO252" t="s">
        <v>380</v>
      </c>
      <c r="AP252" t="s">
        <v>381</v>
      </c>
      <c r="AQ252" t="s">
        <v>69</v>
      </c>
      <c r="AR252">
        <v>82.9</v>
      </c>
      <c r="AS252" t="s">
        <v>70</v>
      </c>
      <c r="AT252" t="s">
        <v>382</v>
      </c>
      <c r="AU252" t="s">
        <v>221</v>
      </c>
      <c r="AV252" t="s">
        <v>73</v>
      </c>
      <c r="AW252" t="str">
        <f t="shared" si="6"/>
        <v>Ingeniería Industrial</v>
      </c>
      <c r="AX252" t="str">
        <f t="shared" si="7"/>
        <v>305 3309565</v>
      </c>
      <c r="AY252" t="str">
        <f>IFERROR(INDEX(Vacantes!$C:$C,MATCH(AT252,Vacantes!$A:$A,0)),"")</f>
        <v>Cervecería del Valle</v>
      </c>
      <c r="AZ252" t="str">
        <f>IFERROR(INDEX(Vacantes!$D:$D,MATCH(AT252,Vacantes!$A:$A,0)),"")</f>
        <v>21 de octubre de 2026</v>
      </c>
      <c r="BA252" t="str">
        <f>IFERROR(INDEX(Vacantes!$E:$E,MATCH(AT252,Vacantes!$A:$A,0)),"")</f>
        <v>7:30 a.m. a 11:30 a.m.</v>
      </c>
    </row>
    <row r="253" spans="1:53" x14ac:dyDescent="0.15">
      <c r="A253" t="s">
        <v>383</v>
      </c>
      <c r="B253" t="s">
        <v>384</v>
      </c>
      <c r="C253" t="s">
        <v>55</v>
      </c>
      <c r="D253">
        <v>1081053547</v>
      </c>
      <c r="E253" t="s">
        <v>76</v>
      </c>
      <c r="F253">
        <v>21</v>
      </c>
      <c r="G253" t="b">
        <v>1</v>
      </c>
      <c r="H253" t="s">
        <v>159</v>
      </c>
      <c r="I253" t="s">
        <v>160</v>
      </c>
      <c r="J253" t="s">
        <v>132</v>
      </c>
      <c r="K253" t="s">
        <v>385</v>
      </c>
      <c r="L253" t="s">
        <v>132</v>
      </c>
      <c r="M253" t="s">
        <v>386</v>
      </c>
      <c r="N253" t="b">
        <v>0</v>
      </c>
      <c r="O253" t="b">
        <v>0</v>
      </c>
      <c r="P253" t="s">
        <v>60</v>
      </c>
      <c r="Q253" t="s">
        <v>60</v>
      </c>
      <c r="R253" t="s">
        <v>125</v>
      </c>
      <c r="W253" t="s">
        <v>125</v>
      </c>
      <c r="X253" t="s">
        <v>387</v>
      </c>
      <c r="AB253" t="b">
        <v>0</v>
      </c>
      <c r="AC253" t="b">
        <v>0</v>
      </c>
      <c r="AE253" t="b">
        <v>0</v>
      </c>
      <c r="AG253" t="b">
        <v>0</v>
      </c>
      <c r="AI253" t="b">
        <v>0</v>
      </c>
      <c r="AK253" t="s">
        <v>65</v>
      </c>
      <c r="AL253" t="s">
        <v>66</v>
      </c>
      <c r="AM253" s="3">
        <v>46274</v>
      </c>
      <c r="AN253" s="4">
        <v>0.95421296296296299</v>
      </c>
      <c r="AO253" t="s">
        <v>388</v>
      </c>
      <c r="AP253" t="s">
        <v>389</v>
      </c>
      <c r="AQ253" t="s">
        <v>69</v>
      </c>
      <c r="AR253">
        <v>91.2</v>
      </c>
      <c r="AS253" t="s">
        <v>70</v>
      </c>
      <c r="AT253" t="s">
        <v>382</v>
      </c>
      <c r="AV253" t="s">
        <v>73</v>
      </c>
      <c r="AW253" t="str">
        <f t="shared" si="6"/>
        <v>Ingeniería Bioquímica</v>
      </c>
      <c r="AX253" t="str">
        <f t="shared" si="7"/>
        <v>321 8059557</v>
      </c>
      <c r="AY253" t="str">
        <f>IFERROR(INDEX(Vacantes!$C:$C,MATCH(AT253,Vacantes!$A:$A,0)),"")</f>
        <v>Cervecería del Valle</v>
      </c>
      <c r="AZ253" t="str">
        <f>IFERROR(INDEX(Vacantes!$D:$D,MATCH(AT253,Vacantes!$A:$A,0)),"")</f>
        <v>21 de octubre de 2026</v>
      </c>
      <c r="BA253" t="str">
        <f>IFERROR(INDEX(Vacantes!$E:$E,MATCH(AT253,Vacantes!$A:$A,0)),"")</f>
        <v>7:30 a.m. a 11:30 a.m.</v>
      </c>
    </row>
    <row r="254" spans="1:53" x14ac:dyDescent="0.15">
      <c r="A254" t="s">
        <v>390</v>
      </c>
      <c r="B254" t="s">
        <v>391</v>
      </c>
      <c r="C254" t="s">
        <v>55</v>
      </c>
      <c r="D254">
        <v>1109559936</v>
      </c>
      <c r="E254" t="s">
        <v>76</v>
      </c>
      <c r="F254">
        <v>22</v>
      </c>
      <c r="G254" t="b">
        <v>1</v>
      </c>
      <c r="H254" t="s">
        <v>159</v>
      </c>
      <c r="I254" t="s">
        <v>160</v>
      </c>
      <c r="J254" t="s">
        <v>132</v>
      </c>
      <c r="K254" t="s">
        <v>392</v>
      </c>
      <c r="L254" t="s">
        <v>393</v>
      </c>
      <c r="N254" t="b">
        <v>0</v>
      </c>
      <c r="O254" t="b">
        <v>0</v>
      </c>
      <c r="P254" t="s">
        <v>60</v>
      </c>
      <c r="Q254" t="s">
        <v>60</v>
      </c>
      <c r="R254" t="s">
        <v>125</v>
      </c>
      <c r="W254" t="s">
        <v>135</v>
      </c>
      <c r="AB254" t="b">
        <v>0</v>
      </c>
      <c r="AC254" t="b">
        <v>0</v>
      </c>
      <c r="AE254" t="b">
        <v>0</v>
      </c>
      <c r="AG254" t="b">
        <v>0</v>
      </c>
      <c r="AI254" t="b">
        <v>0</v>
      </c>
      <c r="AK254" t="s">
        <v>94</v>
      </c>
      <c r="AL254" t="s">
        <v>66</v>
      </c>
      <c r="AM254" s="3">
        <v>46278</v>
      </c>
      <c r="AN254" s="4">
        <v>0.49818287037037029</v>
      </c>
      <c r="AO254">
        <v>3152004140</v>
      </c>
      <c r="AP254" t="s">
        <v>394</v>
      </c>
      <c r="AQ254" t="s">
        <v>69</v>
      </c>
      <c r="AR254">
        <v>96.8</v>
      </c>
      <c r="AS254" t="s">
        <v>70</v>
      </c>
      <c r="AT254" t="s">
        <v>382</v>
      </c>
      <c r="AV254" t="s">
        <v>73</v>
      </c>
      <c r="AW254" t="str">
        <f t="shared" si="6"/>
        <v>Microbiología</v>
      </c>
      <c r="AX254" t="str">
        <f t="shared" si="7"/>
        <v>3152004140</v>
      </c>
      <c r="AY254" t="str">
        <f>IFERROR(INDEX(Vacantes!$C:$C,MATCH(AT254,Vacantes!$A:$A,0)),"")</f>
        <v>Cervecería del Valle</v>
      </c>
      <c r="AZ254" t="str">
        <f>IFERROR(INDEX(Vacantes!$D:$D,MATCH(AT254,Vacantes!$A:$A,0)),"")</f>
        <v>21 de octubre de 2026</v>
      </c>
      <c r="BA254" t="str">
        <f>IFERROR(INDEX(Vacantes!$E:$E,MATCH(AT254,Vacantes!$A:$A,0)),"")</f>
        <v>7:30 a.m. a 11:30 a.m.</v>
      </c>
    </row>
    <row r="255" spans="1:53" x14ac:dyDescent="0.15">
      <c r="A255" t="s">
        <v>395</v>
      </c>
      <c r="B255" t="s">
        <v>396</v>
      </c>
      <c r="C255" t="s">
        <v>55</v>
      </c>
      <c r="D255">
        <v>1108558815</v>
      </c>
      <c r="E255" t="s">
        <v>76</v>
      </c>
      <c r="F255">
        <v>22</v>
      </c>
      <c r="G255" t="b">
        <v>1</v>
      </c>
      <c r="H255" t="s">
        <v>397</v>
      </c>
      <c r="I255" t="s">
        <v>160</v>
      </c>
      <c r="J255" t="s">
        <v>132</v>
      </c>
      <c r="K255" t="s">
        <v>392</v>
      </c>
      <c r="L255" t="s">
        <v>305</v>
      </c>
      <c r="N255" t="b">
        <v>1</v>
      </c>
      <c r="O255" t="b">
        <v>0</v>
      </c>
      <c r="P255" t="s">
        <v>60</v>
      </c>
      <c r="Q255" t="s">
        <v>60</v>
      </c>
      <c r="R255" t="s">
        <v>125</v>
      </c>
      <c r="W255" t="s">
        <v>125</v>
      </c>
      <c r="X255" t="s">
        <v>145</v>
      </c>
      <c r="AB255" t="b">
        <v>0</v>
      </c>
      <c r="AC255" t="b">
        <v>0</v>
      </c>
      <c r="AE255" t="b">
        <v>0</v>
      </c>
      <c r="AG255" t="b">
        <v>0</v>
      </c>
      <c r="AI255" t="b">
        <v>0</v>
      </c>
      <c r="AK255" t="s">
        <v>94</v>
      </c>
      <c r="AL255" t="s">
        <v>66</v>
      </c>
      <c r="AM255" s="3">
        <v>46265</v>
      </c>
      <c r="AN255" s="4">
        <v>0.68626157407407407</v>
      </c>
      <c r="AO255">
        <v>3157699360</v>
      </c>
      <c r="AP255" t="s">
        <v>398</v>
      </c>
      <c r="AQ255" t="s">
        <v>69</v>
      </c>
      <c r="AR255">
        <v>77.900000000000006</v>
      </c>
      <c r="AS255" t="s">
        <v>70</v>
      </c>
      <c r="AT255" t="s">
        <v>382</v>
      </c>
      <c r="AU255" t="s">
        <v>221</v>
      </c>
      <c r="AV255" t="s">
        <v>73</v>
      </c>
      <c r="AW255" t="str">
        <f t="shared" si="6"/>
        <v>Ingeniería Química</v>
      </c>
      <c r="AX255" t="str">
        <f t="shared" si="7"/>
        <v>3157699360</v>
      </c>
      <c r="AY255" t="str">
        <f>IFERROR(INDEX(Vacantes!$C:$C,MATCH(AT255,Vacantes!$A:$A,0)),"")</f>
        <v>Cervecería del Valle</v>
      </c>
      <c r="AZ255" t="str">
        <f>IFERROR(INDEX(Vacantes!$D:$D,MATCH(AT255,Vacantes!$A:$A,0)),"")</f>
        <v>21 de octubre de 2026</v>
      </c>
      <c r="BA255" t="str">
        <f>IFERROR(INDEX(Vacantes!$E:$E,MATCH(AT255,Vacantes!$A:$A,0)),"")</f>
        <v>7:30 a.m. a 11:30 a.m.</v>
      </c>
    </row>
    <row r="256" spans="1:53" x14ac:dyDescent="0.15">
      <c r="A256" t="s">
        <v>399</v>
      </c>
      <c r="B256" t="s">
        <v>400</v>
      </c>
      <c r="C256" t="s">
        <v>55</v>
      </c>
      <c r="D256">
        <v>1193249727</v>
      </c>
      <c r="E256" t="s">
        <v>56</v>
      </c>
      <c r="F256">
        <v>25</v>
      </c>
      <c r="G256" t="b">
        <v>1</v>
      </c>
      <c r="H256" t="s">
        <v>397</v>
      </c>
      <c r="I256" t="s">
        <v>160</v>
      </c>
      <c r="J256" t="s">
        <v>401</v>
      </c>
      <c r="L256" t="s">
        <v>305</v>
      </c>
      <c r="N256" t="b">
        <v>0</v>
      </c>
      <c r="O256" t="b">
        <v>0</v>
      </c>
      <c r="P256" t="s">
        <v>60</v>
      </c>
      <c r="Q256" t="s">
        <v>144</v>
      </c>
      <c r="R256" t="s">
        <v>125</v>
      </c>
      <c r="W256" t="s">
        <v>109</v>
      </c>
      <c r="AA256" t="s">
        <v>176</v>
      </c>
      <c r="AB256" t="b">
        <v>0</v>
      </c>
      <c r="AC256" t="b">
        <v>0</v>
      </c>
      <c r="AE256" t="b">
        <v>0</v>
      </c>
      <c r="AG256" t="b">
        <v>1</v>
      </c>
      <c r="AI256" t="b">
        <v>0</v>
      </c>
      <c r="AK256" t="s">
        <v>202</v>
      </c>
      <c r="AL256" t="s">
        <v>66</v>
      </c>
      <c r="AM256" s="3">
        <v>46277</v>
      </c>
      <c r="AN256" s="4">
        <v>0.51741898148148147</v>
      </c>
      <c r="AO256" t="s">
        <v>402</v>
      </c>
      <c r="AP256" t="s">
        <v>403</v>
      </c>
      <c r="AQ256" t="s">
        <v>69</v>
      </c>
      <c r="AR256">
        <v>88.2</v>
      </c>
      <c r="AS256" t="s">
        <v>70</v>
      </c>
      <c r="AT256" t="s">
        <v>382</v>
      </c>
      <c r="AU256" t="s">
        <v>221</v>
      </c>
      <c r="AV256" t="s">
        <v>184</v>
      </c>
      <c r="AW256" t="str">
        <f t="shared" si="6"/>
        <v>Ingeniería Química</v>
      </c>
      <c r="AX256" t="str">
        <f t="shared" si="7"/>
        <v>310 4297075</v>
      </c>
      <c r="AY256" t="str">
        <f>IFERROR(INDEX(Vacantes!$C:$C,MATCH(AT256,Vacantes!$A:$A,0)),"")</f>
        <v>Cervecería del Valle</v>
      </c>
      <c r="AZ256" t="str">
        <f>IFERROR(INDEX(Vacantes!$D:$D,MATCH(AT256,Vacantes!$A:$A,0)),"")</f>
        <v>21 de octubre de 2026</v>
      </c>
      <c r="BA256" t="str">
        <f>IFERROR(INDEX(Vacantes!$E:$E,MATCH(AT256,Vacantes!$A:$A,0)),"")</f>
        <v>7:30 a.m. a 11:30 a.m.</v>
      </c>
    </row>
    <row r="257" spans="1:53" x14ac:dyDescent="0.15">
      <c r="A257" t="s">
        <v>577</v>
      </c>
      <c r="B257" t="s">
        <v>578</v>
      </c>
      <c r="C257" t="s">
        <v>55</v>
      </c>
      <c r="D257">
        <v>1110362238</v>
      </c>
      <c r="E257" t="s">
        <v>76</v>
      </c>
      <c r="F257">
        <v>22</v>
      </c>
      <c r="G257" t="b">
        <v>1</v>
      </c>
      <c r="H257" t="s">
        <v>159</v>
      </c>
      <c r="I257" t="s">
        <v>160</v>
      </c>
      <c r="J257" t="s">
        <v>401</v>
      </c>
      <c r="L257" t="s">
        <v>339</v>
      </c>
      <c r="N257" t="b">
        <v>0</v>
      </c>
      <c r="O257" t="b">
        <v>0</v>
      </c>
      <c r="P257" t="s">
        <v>60</v>
      </c>
      <c r="Q257" t="s">
        <v>60</v>
      </c>
      <c r="R257" t="s">
        <v>125</v>
      </c>
      <c r="W257" t="s">
        <v>125</v>
      </c>
      <c r="X257" t="s">
        <v>387</v>
      </c>
      <c r="AB257" t="b">
        <v>0</v>
      </c>
      <c r="AC257" t="b">
        <v>0</v>
      </c>
      <c r="AE257" t="b">
        <v>0</v>
      </c>
      <c r="AG257" t="b">
        <v>0</v>
      </c>
      <c r="AI257" t="b">
        <v>0</v>
      </c>
      <c r="AK257" t="s">
        <v>153</v>
      </c>
      <c r="AL257" t="s">
        <v>66</v>
      </c>
      <c r="AM257" s="3">
        <v>46278</v>
      </c>
      <c r="AN257" s="4">
        <v>0.74383101851851852</v>
      </c>
      <c r="AO257">
        <v>3337125760</v>
      </c>
      <c r="AP257" t="s">
        <v>579</v>
      </c>
      <c r="AQ257" t="s">
        <v>69</v>
      </c>
      <c r="AR257">
        <v>77.099999999999994</v>
      </c>
      <c r="AS257" t="s">
        <v>70</v>
      </c>
      <c r="AT257" t="s">
        <v>580</v>
      </c>
      <c r="AU257" t="s">
        <v>221</v>
      </c>
      <c r="AV257" t="s">
        <v>73</v>
      </c>
      <c r="AW257" t="str">
        <f t="shared" si="6"/>
        <v>Química</v>
      </c>
      <c r="AX257" t="str">
        <f t="shared" si="7"/>
        <v>3337125760</v>
      </c>
      <c r="AY257" t="str">
        <f>IFERROR(INDEX(Vacantes!$C:$C,MATCH(AT257,Vacantes!$A:$A,0)),"")</f>
        <v>Cervecería del Valle</v>
      </c>
      <c r="AZ257" t="str">
        <f>IFERROR(INDEX(Vacantes!$D:$D,MATCH(AT257,Vacantes!$A:$A,0)),"")</f>
        <v>21 de octubre de 2026</v>
      </c>
      <c r="BA257" t="str">
        <f>IFERROR(INDEX(Vacantes!$E:$E,MATCH(AT257,Vacantes!$A:$A,0)),"")</f>
        <v>7:30 a.m. a 11:30 a.m.</v>
      </c>
    </row>
    <row r="258" spans="1:53" x14ac:dyDescent="0.15">
      <c r="A258" t="s">
        <v>581</v>
      </c>
      <c r="B258" t="s">
        <v>582</v>
      </c>
      <c r="C258" t="s">
        <v>55</v>
      </c>
      <c r="D258">
        <v>1062275043</v>
      </c>
      <c r="E258" t="s">
        <v>76</v>
      </c>
      <c r="F258">
        <v>22</v>
      </c>
      <c r="G258" t="b">
        <v>1</v>
      </c>
      <c r="H258" t="s">
        <v>583</v>
      </c>
      <c r="I258" t="s">
        <v>160</v>
      </c>
      <c r="J258" t="s">
        <v>401</v>
      </c>
      <c r="L258" t="s">
        <v>299</v>
      </c>
      <c r="N258" t="b">
        <v>0</v>
      </c>
      <c r="O258" t="b">
        <v>0</v>
      </c>
      <c r="P258" t="s">
        <v>144</v>
      </c>
      <c r="Q258" t="s">
        <v>60</v>
      </c>
      <c r="R258" t="s">
        <v>125</v>
      </c>
      <c r="W258" t="s">
        <v>125</v>
      </c>
      <c r="X258" t="s">
        <v>306</v>
      </c>
      <c r="AB258" t="b">
        <v>0</v>
      </c>
      <c r="AC258" t="b">
        <v>0</v>
      </c>
      <c r="AE258" t="b">
        <v>0</v>
      </c>
      <c r="AG258" t="b">
        <v>0</v>
      </c>
      <c r="AI258" t="b">
        <v>0</v>
      </c>
      <c r="AK258" t="s">
        <v>153</v>
      </c>
      <c r="AL258" t="s">
        <v>66</v>
      </c>
      <c r="AM258" s="3">
        <v>46270</v>
      </c>
      <c r="AN258" s="4">
        <v>0.3618865740740741</v>
      </c>
      <c r="AO258" t="s">
        <v>584</v>
      </c>
      <c r="AP258" t="s">
        <v>585</v>
      </c>
      <c r="AQ258" t="s">
        <v>69</v>
      </c>
      <c r="AR258">
        <v>80.7</v>
      </c>
      <c r="AS258" t="s">
        <v>70</v>
      </c>
      <c r="AT258" t="s">
        <v>580</v>
      </c>
      <c r="AU258" t="s">
        <v>221</v>
      </c>
      <c r="AV258" t="s">
        <v>73</v>
      </c>
      <c r="AW258" t="str">
        <f t="shared" ref="AW258:AW321" si="8">IF(L258="Otra",IF(M258="","Otra",M258&amp;""),L258&amp;"")</f>
        <v>Ingeniería de Alimentos</v>
      </c>
      <c r="AX258" t="str">
        <f t="shared" ref="AX258:AX321" si="9">IF(OR(AO258="",AO258=0),"",TRIM(AO258))</f>
        <v>310 4233492</v>
      </c>
      <c r="AY258" t="str">
        <f>IFERROR(INDEX(Vacantes!$C:$C,MATCH(AT258,Vacantes!$A:$A,0)),"")</f>
        <v>Cervecería del Valle</v>
      </c>
      <c r="AZ258" t="str">
        <f>IFERROR(INDEX(Vacantes!$D:$D,MATCH(AT258,Vacantes!$A:$A,0)),"")</f>
        <v>21 de octubre de 2026</v>
      </c>
      <c r="BA258" t="str">
        <f>IFERROR(INDEX(Vacantes!$E:$E,MATCH(AT258,Vacantes!$A:$A,0)),"")</f>
        <v>7:30 a.m. a 11:30 a.m.</v>
      </c>
    </row>
    <row r="259" spans="1:53" x14ac:dyDescent="0.15">
      <c r="A259" t="s">
        <v>586</v>
      </c>
      <c r="B259" t="s">
        <v>587</v>
      </c>
      <c r="C259" t="s">
        <v>55</v>
      </c>
      <c r="D259">
        <v>1005935212</v>
      </c>
      <c r="E259" t="s">
        <v>76</v>
      </c>
      <c r="F259">
        <v>24</v>
      </c>
      <c r="G259" t="b">
        <v>1</v>
      </c>
      <c r="H259" t="s">
        <v>159</v>
      </c>
      <c r="I259" t="s">
        <v>160</v>
      </c>
      <c r="J259" t="s">
        <v>401</v>
      </c>
      <c r="L259" t="s">
        <v>339</v>
      </c>
      <c r="N259" t="b">
        <v>0</v>
      </c>
      <c r="O259" t="b">
        <v>0</v>
      </c>
      <c r="P259" t="s">
        <v>60</v>
      </c>
      <c r="Q259" t="s">
        <v>144</v>
      </c>
      <c r="R259" t="s">
        <v>125</v>
      </c>
      <c r="W259" t="s">
        <v>125</v>
      </c>
      <c r="X259" t="s">
        <v>332</v>
      </c>
      <c r="AB259" t="b">
        <v>0</v>
      </c>
      <c r="AC259" t="b">
        <v>0</v>
      </c>
      <c r="AE259" t="b">
        <v>0</v>
      </c>
      <c r="AG259" t="b">
        <v>0</v>
      </c>
      <c r="AI259" t="b">
        <v>0</v>
      </c>
      <c r="AK259" t="s">
        <v>202</v>
      </c>
      <c r="AL259" t="s">
        <v>66</v>
      </c>
      <c r="AM259" s="3">
        <v>46277</v>
      </c>
      <c r="AN259" s="4">
        <v>0.55009259259259258</v>
      </c>
      <c r="AO259" t="s">
        <v>588</v>
      </c>
      <c r="AP259" t="s">
        <v>589</v>
      </c>
      <c r="AQ259" t="s">
        <v>69</v>
      </c>
      <c r="AR259">
        <v>70.3</v>
      </c>
      <c r="AS259" t="s">
        <v>70</v>
      </c>
      <c r="AT259" t="s">
        <v>580</v>
      </c>
      <c r="AU259" t="s">
        <v>221</v>
      </c>
      <c r="AV259" t="s">
        <v>73</v>
      </c>
      <c r="AW259" t="str">
        <f t="shared" si="8"/>
        <v>Química</v>
      </c>
      <c r="AX259" t="str">
        <f t="shared" si="9"/>
        <v>318 8018223</v>
      </c>
      <c r="AY259" t="str">
        <f>IFERROR(INDEX(Vacantes!$C:$C,MATCH(AT259,Vacantes!$A:$A,0)),"")</f>
        <v>Cervecería del Valle</v>
      </c>
      <c r="AZ259" t="str">
        <f>IFERROR(INDEX(Vacantes!$D:$D,MATCH(AT259,Vacantes!$A:$A,0)),"")</f>
        <v>21 de octubre de 2026</v>
      </c>
      <c r="BA259" t="str">
        <f>IFERROR(INDEX(Vacantes!$E:$E,MATCH(AT259,Vacantes!$A:$A,0)),"")</f>
        <v>7:30 a.m. a 11:30 a.m.</v>
      </c>
    </row>
    <row r="260" spans="1:53" x14ac:dyDescent="0.15">
      <c r="A260" t="s">
        <v>590</v>
      </c>
      <c r="B260" t="s">
        <v>591</v>
      </c>
      <c r="C260" t="s">
        <v>55</v>
      </c>
      <c r="D260">
        <v>1105363099</v>
      </c>
      <c r="E260" t="s">
        <v>76</v>
      </c>
      <c r="F260">
        <v>21</v>
      </c>
      <c r="G260" t="b">
        <v>1</v>
      </c>
      <c r="I260" t="s">
        <v>160</v>
      </c>
      <c r="J260" t="s">
        <v>132</v>
      </c>
      <c r="K260" t="s">
        <v>392</v>
      </c>
      <c r="L260" t="s">
        <v>305</v>
      </c>
      <c r="N260" t="b">
        <v>1</v>
      </c>
      <c r="O260" t="b">
        <v>0</v>
      </c>
      <c r="P260" t="s">
        <v>60</v>
      </c>
      <c r="Q260" t="s">
        <v>61</v>
      </c>
      <c r="R260" t="s">
        <v>125</v>
      </c>
      <c r="W260" t="s">
        <v>125</v>
      </c>
      <c r="X260" t="s">
        <v>306</v>
      </c>
      <c r="AB260" t="b">
        <v>0</v>
      </c>
      <c r="AC260" t="b">
        <v>1</v>
      </c>
      <c r="AE260" t="b">
        <v>0</v>
      </c>
      <c r="AG260" t="b">
        <v>0</v>
      </c>
      <c r="AH260" t="s">
        <v>592</v>
      </c>
      <c r="AI260" t="b">
        <v>0</v>
      </c>
      <c r="AK260" t="s">
        <v>65</v>
      </c>
      <c r="AL260" t="s">
        <v>66</v>
      </c>
      <c r="AM260" s="3">
        <v>46277</v>
      </c>
      <c r="AN260" s="4">
        <v>0.49034722222222221</v>
      </c>
      <c r="AO260" t="s">
        <v>593</v>
      </c>
      <c r="AP260" t="s">
        <v>594</v>
      </c>
      <c r="AQ260" t="s">
        <v>69</v>
      </c>
      <c r="AR260">
        <v>98.5</v>
      </c>
      <c r="AS260" t="s">
        <v>70</v>
      </c>
      <c r="AT260" t="s">
        <v>580</v>
      </c>
      <c r="AU260" t="s">
        <v>221</v>
      </c>
      <c r="AV260" t="s">
        <v>73</v>
      </c>
      <c r="AW260" t="str">
        <f t="shared" si="8"/>
        <v>Ingeniería Química</v>
      </c>
      <c r="AX260" t="str">
        <f t="shared" si="9"/>
        <v>321 2048843</v>
      </c>
      <c r="AY260" t="str">
        <f>IFERROR(INDEX(Vacantes!$C:$C,MATCH(AT260,Vacantes!$A:$A,0)),"")</f>
        <v>Cervecería del Valle</v>
      </c>
      <c r="AZ260" t="str">
        <f>IFERROR(INDEX(Vacantes!$D:$D,MATCH(AT260,Vacantes!$A:$A,0)),"")</f>
        <v>21 de octubre de 2026</v>
      </c>
      <c r="BA260" t="str">
        <f>IFERROR(INDEX(Vacantes!$E:$E,MATCH(AT260,Vacantes!$A:$A,0)),"")</f>
        <v>7:30 a.m. a 11:30 a.m.</v>
      </c>
    </row>
    <row r="261" spans="1:53" x14ac:dyDescent="0.15">
      <c r="A261" t="s">
        <v>595</v>
      </c>
      <c r="B261" t="s">
        <v>596</v>
      </c>
      <c r="C261" t="s">
        <v>55</v>
      </c>
      <c r="D261">
        <v>1105368091</v>
      </c>
      <c r="E261" t="s">
        <v>56</v>
      </c>
      <c r="F261">
        <v>20</v>
      </c>
      <c r="G261" t="b">
        <v>1</v>
      </c>
      <c r="I261" t="s">
        <v>160</v>
      </c>
      <c r="J261" t="s">
        <v>401</v>
      </c>
      <c r="L261" t="s">
        <v>132</v>
      </c>
      <c r="M261" t="s">
        <v>597</v>
      </c>
      <c r="N261" t="b">
        <v>1</v>
      </c>
      <c r="O261" t="b">
        <v>0</v>
      </c>
      <c r="P261" t="s">
        <v>144</v>
      </c>
      <c r="Q261" t="s">
        <v>144</v>
      </c>
      <c r="R261" t="s">
        <v>125</v>
      </c>
      <c r="W261" t="s">
        <v>125</v>
      </c>
      <c r="X261" t="s">
        <v>300</v>
      </c>
      <c r="AB261" t="b">
        <v>0</v>
      </c>
      <c r="AC261" t="b">
        <v>0</v>
      </c>
      <c r="AE261" t="b">
        <v>0</v>
      </c>
      <c r="AG261" t="b">
        <v>0</v>
      </c>
      <c r="AI261" t="b">
        <v>0</v>
      </c>
      <c r="AK261" t="s">
        <v>94</v>
      </c>
      <c r="AL261" t="s">
        <v>66</v>
      </c>
      <c r="AM261" s="3">
        <v>46278</v>
      </c>
      <c r="AN261" s="4">
        <v>0.30212962962962958</v>
      </c>
      <c r="AO261" t="s">
        <v>598</v>
      </c>
      <c r="AP261" t="s">
        <v>599</v>
      </c>
      <c r="AQ261" t="s">
        <v>69</v>
      </c>
      <c r="AR261">
        <v>89.2</v>
      </c>
      <c r="AS261" t="s">
        <v>70</v>
      </c>
      <c r="AT261" t="s">
        <v>580</v>
      </c>
      <c r="AU261" t="s">
        <v>221</v>
      </c>
      <c r="AV261" t="s">
        <v>73</v>
      </c>
      <c r="AW261" t="str">
        <f t="shared" si="8"/>
        <v>Tecnología en electrónica industrial</v>
      </c>
      <c r="AX261" t="str">
        <f t="shared" si="9"/>
        <v>320 7618708</v>
      </c>
      <c r="AY261" t="str">
        <f>IFERROR(INDEX(Vacantes!$C:$C,MATCH(AT261,Vacantes!$A:$A,0)),"")</f>
        <v>Cervecería del Valle</v>
      </c>
      <c r="AZ261" t="str">
        <f>IFERROR(INDEX(Vacantes!$D:$D,MATCH(AT261,Vacantes!$A:$A,0)),"")</f>
        <v>21 de octubre de 2026</v>
      </c>
      <c r="BA261" t="str">
        <f>IFERROR(INDEX(Vacantes!$E:$E,MATCH(AT261,Vacantes!$A:$A,0)),"")</f>
        <v>7:30 a.m. a 11:30 a.m.</v>
      </c>
    </row>
    <row r="262" spans="1:53" x14ac:dyDescent="0.15">
      <c r="A262" t="s">
        <v>600</v>
      </c>
      <c r="B262" t="s">
        <v>601</v>
      </c>
      <c r="C262" t="s">
        <v>55</v>
      </c>
      <c r="D262">
        <v>1037776478</v>
      </c>
      <c r="E262" t="s">
        <v>76</v>
      </c>
      <c r="F262">
        <v>22</v>
      </c>
      <c r="G262" t="b">
        <v>1</v>
      </c>
      <c r="H262" t="s">
        <v>207</v>
      </c>
      <c r="I262" t="s">
        <v>160</v>
      </c>
      <c r="J262" t="s">
        <v>234</v>
      </c>
      <c r="L262" t="s">
        <v>132</v>
      </c>
      <c r="M262" t="s">
        <v>602</v>
      </c>
      <c r="N262" t="b">
        <v>0</v>
      </c>
      <c r="O262" t="b">
        <v>0</v>
      </c>
      <c r="P262" t="s">
        <v>60</v>
      </c>
      <c r="Q262" t="s">
        <v>144</v>
      </c>
      <c r="R262" t="s">
        <v>125</v>
      </c>
      <c r="W262" t="s">
        <v>62</v>
      </c>
      <c r="AB262" t="b">
        <v>0</v>
      </c>
      <c r="AC262" t="b">
        <v>0</v>
      </c>
      <c r="AE262" t="b">
        <v>0</v>
      </c>
      <c r="AG262" t="b">
        <v>0</v>
      </c>
      <c r="AI262" t="b">
        <v>0</v>
      </c>
      <c r="AK262" t="s">
        <v>65</v>
      </c>
      <c r="AL262" t="s">
        <v>66</v>
      </c>
      <c r="AM262" s="3">
        <v>46267</v>
      </c>
      <c r="AN262" s="4">
        <v>0.84593750000000001</v>
      </c>
      <c r="AO262" t="s">
        <v>603</v>
      </c>
      <c r="AP262" t="s">
        <v>604</v>
      </c>
      <c r="AQ262" t="s">
        <v>69</v>
      </c>
      <c r="AR262">
        <v>90.1</v>
      </c>
      <c r="AS262" t="s">
        <v>85</v>
      </c>
      <c r="AT262" t="s">
        <v>580</v>
      </c>
      <c r="AU262" t="s">
        <v>221</v>
      </c>
      <c r="AV262" t="s">
        <v>184</v>
      </c>
      <c r="AW262" t="str">
        <f t="shared" si="8"/>
        <v>Ingeniería Biológica</v>
      </c>
      <c r="AX262" t="str">
        <f t="shared" si="9"/>
        <v>300 4788939</v>
      </c>
      <c r="AY262" t="str">
        <f>IFERROR(INDEX(Vacantes!$C:$C,MATCH(AT262,Vacantes!$A:$A,0)),"")</f>
        <v>Cervecería del Valle</v>
      </c>
      <c r="AZ262" t="str">
        <f>IFERROR(INDEX(Vacantes!$D:$D,MATCH(AT262,Vacantes!$A:$A,0)),"")</f>
        <v>21 de octubre de 2026</v>
      </c>
      <c r="BA262" t="str">
        <f>IFERROR(INDEX(Vacantes!$E:$E,MATCH(AT262,Vacantes!$A:$A,0)),"")</f>
        <v>7:30 a.m. a 11:30 a.m.</v>
      </c>
    </row>
    <row r="263" spans="1:53" x14ac:dyDescent="0.15">
      <c r="A263" t="s">
        <v>647</v>
      </c>
      <c r="B263" t="s">
        <v>648</v>
      </c>
      <c r="C263" t="s">
        <v>55</v>
      </c>
      <c r="D263">
        <v>1193069331</v>
      </c>
      <c r="E263" t="s">
        <v>56</v>
      </c>
      <c r="F263">
        <v>22</v>
      </c>
      <c r="G263" t="b">
        <v>1</v>
      </c>
      <c r="H263" t="s">
        <v>397</v>
      </c>
      <c r="I263" t="s">
        <v>160</v>
      </c>
      <c r="J263" t="s">
        <v>132</v>
      </c>
      <c r="K263" t="s">
        <v>385</v>
      </c>
      <c r="L263" t="s">
        <v>132</v>
      </c>
      <c r="M263" t="s">
        <v>386</v>
      </c>
      <c r="N263" t="b">
        <v>0</v>
      </c>
      <c r="O263" t="b">
        <v>0</v>
      </c>
      <c r="P263" t="s">
        <v>61</v>
      </c>
      <c r="Q263" t="s">
        <v>60</v>
      </c>
      <c r="R263" t="s">
        <v>125</v>
      </c>
      <c r="W263" t="s">
        <v>125</v>
      </c>
      <c r="X263" t="s">
        <v>315</v>
      </c>
      <c r="AB263" t="b">
        <v>0</v>
      </c>
      <c r="AC263" t="b">
        <v>0</v>
      </c>
      <c r="AE263" t="b">
        <v>0</v>
      </c>
      <c r="AG263" t="b">
        <v>0</v>
      </c>
      <c r="AI263" t="b">
        <v>0</v>
      </c>
      <c r="AK263" t="s">
        <v>248</v>
      </c>
      <c r="AL263" t="s">
        <v>66</v>
      </c>
      <c r="AM263" s="3">
        <v>46278</v>
      </c>
      <c r="AN263" s="4">
        <v>0.51556712962962958</v>
      </c>
      <c r="AO263" t="s">
        <v>649</v>
      </c>
      <c r="AP263" t="s">
        <v>650</v>
      </c>
      <c r="AQ263" t="s">
        <v>69</v>
      </c>
      <c r="AR263">
        <v>92.6</v>
      </c>
      <c r="AS263" t="s">
        <v>70</v>
      </c>
      <c r="AT263" t="s">
        <v>651</v>
      </c>
      <c r="AU263" t="s">
        <v>221</v>
      </c>
      <c r="AV263" t="s">
        <v>73</v>
      </c>
      <c r="AW263" t="str">
        <f t="shared" si="8"/>
        <v>Ingeniería Bioquímica</v>
      </c>
      <c r="AX263" t="str">
        <f t="shared" si="9"/>
        <v>304 6145800</v>
      </c>
      <c r="AY263" t="str">
        <f>IFERROR(INDEX(Vacantes!$C:$C,MATCH(AT263,Vacantes!$A:$A,0)),"")</f>
        <v>Cervecería del Valle</v>
      </c>
      <c r="AZ263" t="str">
        <f>IFERROR(INDEX(Vacantes!$D:$D,MATCH(AT263,Vacantes!$A:$A,0)),"")</f>
        <v>21 de octubre de 2026</v>
      </c>
      <c r="BA263" t="str">
        <f>IFERROR(INDEX(Vacantes!$E:$E,MATCH(AT263,Vacantes!$A:$A,0)),"")</f>
        <v>7:30 a.m. a 11:30 a.m.</v>
      </c>
    </row>
    <row r="264" spans="1:53" x14ac:dyDescent="0.15">
      <c r="A264" t="s">
        <v>652</v>
      </c>
      <c r="B264" t="s">
        <v>653</v>
      </c>
      <c r="C264" t="s">
        <v>55</v>
      </c>
      <c r="D264">
        <v>1107835167</v>
      </c>
      <c r="E264" t="s">
        <v>56</v>
      </c>
      <c r="F264">
        <v>22</v>
      </c>
      <c r="G264" t="b">
        <v>1</v>
      </c>
      <c r="I264" t="s">
        <v>160</v>
      </c>
      <c r="J264" t="s">
        <v>132</v>
      </c>
      <c r="K264" t="s">
        <v>654</v>
      </c>
      <c r="L264" t="s">
        <v>132</v>
      </c>
      <c r="M264" t="s">
        <v>386</v>
      </c>
      <c r="N264" t="b">
        <v>0</v>
      </c>
      <c r="O264" t="b">
        <v>0</v>
      </c>
      <c r="P264" t="s">
        <v>61</v>
      </c>
      <c r="Q264" t="s">
        <v>144</v>
      </c>
      <c r="R264" t="s">
        <v>125</v>
      </c>
      <c r="W264" t="s">
        <v>125</v>
      </c>
      <c r="X264" t="s">
        <v>315</v>
      </c>
      <c r="AB264" t="b">
        <v>0</v>
      </c>
      <c r="AC264" t="b">
        <v>0</v>
      </c>
      <c r="AE264" t="b">
        <v>0</v>
      </c>
      <c r="AG264" t="b">
        <v>0</v>
      </c>
      <c r="AI264" t="b">
        <v>0</v>
      </c>
      <c r="AK264" t="s">
        <v>94</v>
      </c>
      <c r="AL264" t="s">
        <v>66</v>
      </c>
      <c r="AM264" s="3">
        <v>46278</v>
      </c>
      <c r="AN264" s="4">
        <v>0.45070601851851849</v>
      </c>
      <c r="AO264" t="s">
        <v>655</v>
      </c>
      <c r="AP264" t="s">
        <v>656</v>
      </c>
      <c r="AQ264" t="s">
        <v>69</v>
      </c>
      <c r="AR264">
        <v>76.8</v>
      </c>
      <c r="AS264" t="s">
        <v>70</v>
      </c>
      <c r="AT264" t="s">
        <v>382</v>
      </c>
      <c r="AU264" t="s">
        <v>221</v>
      </c>
      <c r="AV264" t="s">
        <v>73</v>
      </c>
      <c r="AW264" t="str">
        <f t="shared" si="8"/>
        <v>Ingeniería Bioquímica</v>
      </c>
      <c r="AX264" t="str">
        <f t="shared" si="9"/>
        <v>315 8084417</v>
      </c>
      <c r="AY264" t="str">
        <f>IFERROR(INDEX(Vacantes!$C:$C,MATCH(AT264,Vacantes!$A:$A,0)),"")</f>
        <v>Cervecería del Valle</v>
      </c>
      <c r="AZ264" t="str">
        <f>IFERROR(INDEX(Vacantes!$D:$D,MATCH(AT264,Vacantes!$A:$A,0)),"")</f>
        <v>21 de octubre de 2026</v>
      </c>
      <c r="BA264" t="str">
        <f>IFERROR(INDEX(Vacantes!$E:$E,MATCH(AT264,Vacantes!$A:$A,0)),"")</f>
        <v>7:30 a.m. a 11:30 a.m.</v>
      </c>
    </row>
    <row r="265" spans="1:53" x14ac:dyDescent="0.15">
      <c r="A265" t="s">
        <v>657</v>
      </c>
      <c r="B265" t="s">
        <v>658</v>
      </c>
      <c r="C265" t="s">
        <v>55</v>
      </c>
      <c r="D265">
        <v>1087119111</v>
      </c>
      <c r="E265" t="s">
        <v>56</v>
      </c>
      <c r="F265">
        <v>20</v>
      </c>
      <c r="G265" t="b">
        <v>1</v>
      </c>
      <c r="H265" t="s">
        <v>659</v>
      </c>
      <c r="I265" t="s">
        <v>160</v>
      </c>
      <c r="J265" t="s">
        <v>401</v>
      </c>
      <c r="L265" t="s">
        <v>143</v>
      </c>
      <c r="N265" t="b">
        <v>0</v>
      </c>
      <c r="O265" t="b">
        <v>0</v>
      </c>
      <c r="P265" t="s">
        <v>144</v>
      </c>
      <c r="Q265" t="s">
        <v>60</v>
      </c>
      <c r="R265" t="s">
        <v>125</v>
      </c>
      <c r="W265" t="s">
        <v>125</v>
      </c>
      <c r="X265" t="s">
        <v>332</v>
      </c>
      <c r="AB265" t="b">
        <v>0</v>
      </c>
      <c r="AC265" t="b">
        <v>0</v>
      </c>
      <c r="AE265" t="b">
        <v>0</v>
      </c>
      <c r="AG265" t="b">
        <v>0</v>
      </c>
      <c r="AI265" t="b">
        <v>0</v>
      </c>
      <c r="AK265" t="s">
        <v>153</v>
      </c>
      <c r="AL265" t="s">
        <v>66</v>
      </c>
      <c r="AM265" s="3">
        <v>46278</v>
      </c>
      <c r="AN265" s="4">
        <v>0.51407407407407413</v>
      </c>
      <c r="AO265">
        <v>3147398003</v>
      </c>
      <c r="AP265" t="s">
        <v>656</v>
      </c>
      <c r="AQ265" t="s">
        <v>69</v>
      </c>
      <c r="AR265">
        <v>88.7</v>
      </c>
      <c r="AS265" t="s">
        <v>70</v>
      </c>
      <c r="AT265" t="s">
        <v>651</v>
      </c>
      <c r="AU265" t="s">
        <v>221</v>
      </c>
      <c r="AV265" t="s">
        <v>73</v>
      </c>
      <c r="AW265" t="str">
        <f t="shared" si="8"/>
        <v>Ingeniería Industrial</v>
      </c>
      <c r="AX265" t="str">
        <f t="shared" si="9"/>
        <v>3147398003</v>
      </c>
      <c r="AY265" t="str">
        <f>IFERROR(INDEX(Vacantes!$C:$C,MATCH(AT265,Vacantes!$A:$A,0)),"")</f>
        <v>Cervecería del Valle</v>
      </c>
      <c r="AZ265" t="str">
        <f>IFERROR(INDEX(Vacantes!$D:$D,MATCH(AT265,Vacantes!$A:$A,0)),"")</f>
        <v>21 de octubre de 2026</v>
      </c>
      <c r="BA265" t="str">
        <f>IFERROR(INDEX(Vacantes!$E:$E,MATCH(AT265,Vacantes!$A:$A,0)),"")</f>
        <v>7:30 a.m. a 11:30 a.m.</v>
      </c>
    </row>
    <row r="266" spans="1:53" x14ac:dyDescent="0.15">
      <c r="A266" t="s">
        <v>660</v>
      </c>
      <c r="B266" t="s">
        <v>661</v>
      </c>
      <c r="C266" t="s">
        <v>55</v>
      </c>
      <c r="D266">
        <v>1061684721</v>
      </c>
      <c r="E266" t="s">
        <v>76</v>
      </c>
      <c r="F266">
        <v>22</v>
      </c>
      <c r="G266" t="b">
        <v>1</v>
      </c>
      <c r="H266" t="s">
        <v>662</v>
      </c>
      <c r="I266" t="s">
        <v>160</v>
      </c>
      <c r="J266" t="s">
        <v>413</v>
      </c>
      <c r="L266" t="s">
        <v>663</v>
      </c>
      <c r="N266" t="b">
        <v>0</v>
      </c>
      <c r="O266" t="b">
        <v>0</v>
      </c>
      <c r="P266" t="s">
        <v>144</v>
      </c>
      <c r="Q266" t="s">
        <v>61</v>
      </c>
      <c r="R266" t="s">
        <v>125</v>
      </c>
      <c r="W266" t="s">
        <v>125</v>
      </c>
      <c r="X266" t="s">
        <v>332</v>
      </c>
      <c r="AB266" t="b">
        <v>0</v>
      </c>
      <c r="AC266" t="b">
        <v>0</v>
      </c>
      <c r="AE266" t="b">
        <v>0</v>
      </c>
      <c r="AG266" t="b">
        <v>0</v>
      </c>
      <c r="AI266" t="b">
        <v>0</v>
      </c>
      <c r="AK266" t="s">
        <v>65</v>
      </c>
      <c r="AL266" t="s">
        <v>66</v>
      </c>
      <c r="AM266" s="3">
        <v>46268</v>
      </c>
      <c r="AN266" s="4">
        <v>0.40909722222222222</v>
      </c>
      <c r="AO266">
        <v>3023393981</v>
      </c>
      <c r="AP266" t="s">
        <v>664</v>
      </c>
      <c r="AQ266" t="s">
        <v>69</v>
      </c>
      <c r="AR266">
        <v>84.3</v>
      </c>
      <c r="AS266" t="s">
        <v>70</v>
      </c>
      <c r="AT266" t="s">
        <v>651</v>
      </c>
      <c r="AV266" t="s">
        <v>73</v>
      </c>
      <c r="AW266" t="str">
        <f t="shared" si="8"/>
        <v>Ingeniería de Producción</v>
      </c>
      <c r="AX266" t="str">
        <f t="shared" si="9"/>
        <v>3023393981</v>
      </c>
      <c r="AY266" t="str">
        <f>IFERROR(INDEX(Vacantes!$C:$C,MATCH(AT266,Vacantes!$A:$A,0)),"")</f>
        <v>Cervecería del Valle</v>
      </c>
      <c r="AZ266" t="str">
        <f>IFERROR(INDEX(Vacantes!$D:$D,MATCH(AT266,Vacantes!$A:$A,0)),"")</f>
        <v>21 de octubre de 2026</v>
      </c>
      <c r="BA266" t="str">
        <f>IFERROR(INDEX(Vacantes!$E:$E,MATCH(AT266,Vacantes!$A:$A,0)),"")</f>
        <v>7:30 a.m. a 11:30 a.m.</v>
      </c>
    </row>
    <row r="267" spans="1:53" x14ac:dyDescent="0.15">
      <c r="A267" t="s">
        <v>691</v>
      </c>
      <c r="B267" t="s">
        <v>692</v>
      </c>
      <c r="C267" t="s">
        <v>55</v>
      </c>
      <c r="D267">
        <v>1111540386</v>
      </c>
      <c r="E267" t="s">
        <v>56</v>
      </c>
      <c r="F267">
        <v>21</v>
      </c>
      <c r="G267" t="b">
        <v>1</v>
      </c>
      <c r="H267" t="s">
        <v>693</v>
      </c>
      <c r="I267" t="s">
        <v>160</v>
      </c>
      <c r="J267" t="s">
        <v>401</v>
      </c>
      <c r="L267" t="s">
        <v>143</v>
      </c>
      <c r="N267" t="b">
        <v>0</v>
      </c>
      <c r="O267" t="b">
        <v>0</v>
      </c>
      <c r="P267" t="s">
        <v>60</v>
      </c>
      <c r="Q267" t="s">
        <v>60</v>
      </c>
      <c r="R267" t="s">
        <v>125</v>
      </c>
      <c r="W267" t="s">
        <v>125</v>
      </c>
      <c r="X267" t="s">
        <v>145</v>
      </c>
      <c r="AB267" t="b">
        <v>0</v>
      </c>
      <c r="AC267" t="b">
        <v>0</v>
      </c>
      <c r="AE267" t="b">
        <v>0</v>
      </c>
      <c r="AG267" t="b">
        <v>0</v>
      </c>
      <c r="AI267" t="b">
        <v>0</v>
      </c>
      <c r="AK267" t="s">
        <v>202</v>
      </c>
      <c r="AL267" t="s">
        <v>66</v>
      </c>
      <c r="AM267" s="3">
        <v>46277</v>
      </c>
      <c r="AN267" s="4">
        <v>0.50423611111111111</v>
      </c>
      <c r="AO267">
        <v>3202099480</v>
      </c>
      <c r="AP267" t="s">
        <v>694</v>
      </c>
      <c r="AQ267" t="s">
        <v>69</v>
      </c>
      <c r="AR267">
        <v>90.5</v>
      </c>
      <c r="AS267" t="s">
        <v>70</v>
      </c>
      <c r="AT267" t="s">
        <v>695</v>
      </c>
      <c r="AV267" t="s">
        <v>73</v>
      </c>
      <c r="AW267" t="str">
        <f t="shared" si="8"/>
        <v>Ingeniería Industrial</v>
      </c>
      <c r="AX267" t="str">
        <f t="shared" si="9"/>
        <v>3202099480</v>
      </c>
      <c r="AY267" t="str">
        <f>IFERROR(INDEX(Vacantes!$C:$C,MATCH(AT267,Vacantes!$A:$A,0)),"")</f>
        <v>Cervecería del Valle</v>
      </c>
      <c r="AZ267" t="str">
        <f>IFERROR(INDEX(Vacantes!$D:$D,MATCH(AT267,Vacantes!$A:$A,0)),"")</f>
        <v>21 de octubre de 2026</v>
      </c>
      <c r="BA267" t="str">
        <f>IFERROR(INDEX(Vacantes!$E:$E,MATCH(AT267,Vacantes!$A:$A,0)),"")</f>
        <v>7:30 a.m. a 11:30 a.m.</v>
      </c>
    </row>
    <row r="268" spans="1:53" x14ac:dyDescent="0.15">
      <c r="A268" t="s">
        <v>696</v>
      </c>
      <c r="B268" t="s">
        <v>697</v>
      </c>
      <c r="C268" t="s">
        <v>55</v>
      </c>
      <c r="D268">
        <v>1107844181</v>
      </c>
      <c r="E268" t="s">
        <v>76</v>
      </c>
      <c r="F268">
        <v>20</v>
      </c>
      <c r="G268" t="b">
        <v>1</v>
      </c>
      <c r="H268" t="s">
        <v>397</v>
      </c>
      <c r="I268" t="s">
        <v>160</v>
      </c>
      <c r="J268" t="s">
        <v>132</v>
      </c>
      <c r="K268" t="s">
        <v>698</v>
      </c>
      <c r="L268" t="s">
        <v>143</v>
      </c>
      <c r="N268" t="b">
        <v>1</v>
      </c>
      <c r="O268" t="b">
        <v>0</v>
      </c>
      <c r="P268" t="s">
        <v>144</v>
      </c>
      <c r="Q268" t="s">
        <v>60</v>
      </c>
      <c r="R268" t="s">
        <v>125</v>
      </c>
      <c r="W268" t="s">
        <v>125</v>
      </c>
      <c r="X268" t="s">
        <v>145</v>
      </c>
      <c r="AB268" t="b">
        <v>0</v>
      </c>
      <c r="AC268" t="b">
        <v>0</v>
      </c>
      <c r="AE268" t="b">
        <v>0</v>
      </c>
      <c r="AG268" t="b">
        <v>0</v>
      </c>
      <c r="AI268" t="b">
        <v>0</v>
      </c>
      <c r="AK268" t="s">
        <v>94</v>
      </c>
      <c r="AL268" t="s">
        <v>66</v>
      </c>
      <c r="AM268" s="3">
        <v>46278</v>
      </c>
      <c r="AN268" s="4">
        <v>6.6898148148148151E-2</v>
      </c>
      <c r="AO268" t="s">
        <v>699</v>
      </c>
      <c r="AP268" t="s">
        <v>700</v>
      </c>
      <c r="AQ268" t="s">
        <v>69</v>
      </c>
      <c r="AR268">
        <v>93.2</v>
      </c>
      <c r="AS268" t="s">
        <v>70</v>
      </c>
      <c r="AT268" t="s">
        <v>695</v>
      </c>
      <c r="AU268" t="s">
        <v>221</v>
      </c>
      <c r="AV268" t="s">
        <v>73</v>
      </c>
      <c r="AW268" t="str">
        <f t="shared" si="8"/>
        <v>Ingeniería Industrial</v>
      </c>
      <c r="AX268" t="str">
        <f t="shared" si="9"/>
        <v>312 8724546</v>
      </c>
      <c r="AY268" t="str">
        <f>IFERROR(INDEX(Vacantes!$C:$C,MATCH(AT268,Vacantes!$A:$A,0)),"")</f>
        <v>Cervecería del Valle</v>
      </c>
      <c r="AZ268" t="str">
        <f>IFERROR(INDEX(Vacantes!$D:$D,MATCH(AT268,Vacantes!$A:$A,0)),"")</f>
        <v>21 de octubre de 2026</v>
      </c>
      <c r="BA268" t="str">
        <f>IFERROR(INDEX(Vacantes!$E:$E,MATCH(AT268,Vacantes!$A:$A,0)),"")</f>
        <v>7:30 a.m. a 11:30 a.m.</v>
      </c>
    </row>
    <row r="269" spans="1:53" x14ac:dyDescent="0.15">
      <c r="A269" t="s">
        <v>701</v>
      </c>
      <c r="B269" t="s">
        <v>702</v>
      </c>
      <c r="C269" t="s">
        <v>55</v>
      </c>
      <c r="D269">
        <v>1114541928</v>
      </c>
      <c r="E269" t="s">
        <v>56</v>
      </c>
      <c r="F269">
        <v>20</v>
      </c>
      <c r="G269" t="b">
        <v>1</v>
      </c>
      <c r="H269" t="s">
        <v>703</v>
      </c>
      <c r="I269" t="s">
        <v>160</v>
      </c>
      <c r="J269" t="s">
        <v>132</v>
      </c>
      <c r="K269" t="s">
        <v>704</v>
      </c>
      <c r="L269" t="s">
        <v>705</v>
      </c>
      <c r="N269" t="b">
        <v>1</v>
      </c>
      <c r="O269" t="b">
        <v>0</v>
      </c>
      <c r="P269" t="s">
        <v>60</v>
      </c>
      <c r="Q269" t="s">
        <v>60</v>
      </c>
      <c r="R269" t="s">
        <v>62</v>
      </c>
      <c r="W269" t="s">
        <v>125</v>
      </c>
      <c r="X269" t="s">
        <v>145</v>
      </c>
      <c r="AB269" t="b">
        <v>0</v>
      </c>
      <c r="AC269" t="b">
        <v>0</v>
      </c>
      <c r="AE269" t="b">
        <v>0</v>
      </c>
      <c r="AG269" t="b">
        <v>0</v>
      </c>
      <c r="AI269" t="b">
        <v>0</v>
      </c>
      <c r="AK269" t="s">
        <v>94</v>
      </c>
      <c r="AL269" t="s">
        <v>66</v>
      </c>
      <c r="AM269" s="3">
        <v>46275</v>
      </c>
      <c r="AN269" s="4">
        <v>0.62438657407407405</v>
      </c>
      <c r="AO269">
        <v>3182176352</v>
      </c>
      <c r="AP269" t="s">
        <v>706</v>
      </c>
      <c r="AQ269" t="s">
        <v>69</v>
      </c>
      <c r="AR269">
        <v>74.099999999999994</v>
      </c>
      <c r="AS269" t="s">
        <v>70</v>
      </c>
      <c r="AT269" t="s">
        <v>695</v>
      </c>
      <c r="AU269" t="s">
        <v>221</v>
      </c>
      <c r="AV269" t="s">
        <v>73</v>
      </c>
      <c r="AW269" t="str">
        <f t="shared" si="8"/>
        <v>Ingeniería de Software</v>
      </c>
      <c r="AX269" t="str">
        <f t="shared" si="9"/>
        <v>3182176352</v>
      </c>
      <c r="AY269" t="str">
        <f>IFERROR(INDEX(Vacantes!$C:$C,MATCH(AT269,Vacantes!$A:$A,0)),"")</f>
        <v>Cervecería del Valle</v>
      </c>
      <c r="AZ269" t="str">
        <f>IFERROR(INDEX(Vacantes!$D:$D,MATCH(AT269,Vacantes!$A:$A,0)),"")</f>
        <v>21 de octubre de 2026</v>
      </c>
      <c r="BA269" t="str">
        <f>IFERROR(INDEX(Vacantes!$E:$E,MATCH(AT269,Vacantes!$A:$A,0)),"")</f>
        <v>7:30 a.m. a 11:30 a.m.</v>
      </c>
    </row>
    <row r="270" spans="1:53" x14ac:dyDescent="0.15">
      <c r="A270" t="s">
        <v>707</v>
      </c>
      <c r="B270" t="s">
        <v>708</v>
      </c>
      <c r="C270" t="s">
        <v>55</v>
      </c>
      <c r="D270">
        <v>1121198799</v>
      </c>
      <c r="E270" t="s">
        <v>56</v>
      </c>
      <c r="F270">
        <v>21</v>
      </c>
      <c r="G270" t="b">
        <v>1</v>
      </c>
      <c r="H270" t="s">
        <v>397</v>
      </c>
      <c r="I270" t="s">
        <v>160</v>
      </c>
      <c r="J270" t="s">
        <v>161</v>
      </c>
      <c r="L270" t="s">
        <v>709</v>
      </c>
      <c r="N270" t="b">
        <v>1</v>
      </c>
      <c r="O270" t="b">
        <v>0</v>
      </c>
      <c r="P270" t="s">
        <v>61</v>
      </c>
      <c r="Q270" t="s">
        <v>60</v>
      </c>
      <c r="R270" t="s">
        <v>62</v>
      </c>
      <c r="W270" t="s">
        <v>125</v>
      </c>
      <c r="X270" t="s">
        <v>145</v>
      </c>
      <c r="AB270" t="b">
        <v>0</v>
      </c>
      <c r="AC270" t="b">
        <v>0</v>
      </c>
      <c r="AE270" t="b">
        <v>0</v>
      </c>
      <c r="AG270" t="b">
        <v>0</v>
      </c>
      <c r="AI270" t="b">
        <v>0</v>
      </c>
      <c r="AK270" t="s">
        <v>202</v>
      </c>
      <c r="AL270" t="s">
        <v>66</v>
      </c>
      <c r="AM270" s="3">
        <v>46277</v>
      </c>
      <c r="AN270" s="4">
        <v>0.94365740740740744</v>
      </c>
      <c r="AO270">
        <v>3156628776</v>
      </c>
      <c r="AP270" t="s">
        <v>710</v>
      </c>
      <c r="AQ270" t="s">
        <v>69</v>
      </c>
      <c r="AR270">
        <v>88.4</v>
      </c>
      <c r="AS270" t="s">
        <v>70</v>
      </c>
      <c r="AT270" t="s">
        <v>695</v>
      </c>
      <c r="AU270" t="s">
        <v>221</v>
      </c>
      <c r="AV270" t="s">
        <v>73</v>
      </c>
      <c r="AW270" t="str">
        <f t="shared" si="8"/>
        <v>Ingeniería de Sistemas</v>
      </c>
      <c r="AX270" t="str">
        <f t="shared" si="9"/>
        <v>3156628776</v>
      </c>
      <c r="AY270" t="str">
        <f>IFERROR(INDEX(Vacantes!$C:$C,MATCH(AT270,Vacantes!$A:$A,0)),"")</f>
        <v>Cervecería del Valle</v>
      </c>
      <c r="AZ270" t="str">
        <f>IFERROR(INDEX(Vacantes!$D:$D,MATCH(AT270,Vacantes!$A:$A,0)),"")</f>
        <v>21 de octubre de 2026</v>
      </c>
      <c r="BA270" t="str">
        <f>IFERROR(INDEX(Vacantes!$E:$E,MATCH(AT270,Vacantes!$A:$A,0)),"")</f>
        <v>7:30 a.m. a 11:30 a.m.</v>
      </c>
    </row>
    <row r="271" spans="1:53" x14ac:dyDescent="0.15">
      <c r="A271" t="s">
        <v>711</v>
      </c>
      <c r="B271" t="s">
        <v>712</v>
      </c>
      <c r="C271" t="s">
        <v>55</v>
      </c>
      <c r="D271">
        <v>1112389571</v>
      </c>
      <c r="E271" t="s">
        <v>56</v>
      </c>
      <c r="F271">
        <v>21</v>
      </c>
      <c r="G271" t="b">
        <v>1</v>
      </c>
      <c r="I271" t="s">
        <v>160</v>
      </c>
      <c r="J271" t="s">
        <v>401</v>
      </c>
      <c r="L271" t="s">
        <v>709</v>
      </c>
      <c r="N271" t="b">
        <v>1</v>
      </c>
      <c r="O271" t="b">
        <v>0</v>
      </c>
      <c r="P271" t="s">
        <v>60</v>
      </c>
      <c r="Q271" t="s">
        <v>60</v>
      </c>
      <c r="R271" t="s">
        <v>62</v>
      </c>
      <c r="W271" t="s">
        <v>135</v>
      </c>
      <c r="AB271" t="b">
        <v>0</v>
      </c>
      <c r="AC271" t="b">
        <v>0</v>
      </c>
      <c r="AE271" t="b">
        <v>0</v>
      </c>
      <c r="AG271" t="b">
        <v>0</v>
      </c>
      <c r="AI271" t="b">
        <v>0</v>
      </c>
      <c r="AK271" t="s">
        <v>94</v>
      </c>
      <c r="AL271" t="s">
        <v>66</v>
      </c>
      <c r="AM271" s="3">
        <v>46275</v>
      </c>
      <c r="AN271" s="4">
        <v>0.87741898148148145</v>
      </c>
      <c r="AO271">
        <v>3176161450</v>
      </c>
      <c r="AP271" t="s">
        <v>713</v>
      </c>
      <c r="AQ271" t="s">
        <v>69</v>
      </c>
      <c r="AR271">
        <v>89.1</v>
      </c>
      <c r="AS271" t="s">
        <v>70</v>
      </c>
      <c r="AT271" t="s">
        <v>695</v>
      </c>
      <c r="AU271" t="s">
        <v>221</v>
      </c>
      <c r="AV271" t="s">
        <v>73</v>
      </c>
      <c r="AW271" t="str">
        <f t="shared" si="8"/>
        <v>Ingeniería de Sistemas</v>
      </c>
      <c r="AX271" t="str">
        <f t="shared" si="9"/>
        <v>3176161450</v>
      </c>
      <c r="AY271" t="str">
        <f>IFERROR(INDEX(Vacantes!$C:$C,MATCH(AT271,Vacantes!$A:$A,0)),"")</f>
        <v>Cervecería del Valle</v>
      </c>
      <c r="AZ271" t="str">
        <f>IFERROR(INDEX(Vacantes!$D:$D,MATCH(AT271,Vacantes!$A:$A,0)),"")</f>
        <v>21 de octubre de 2026</v>
      </c>
      <c r="BA271" t="str">
        <f>IFERROR(INDEX(Vacantes!$E:$E,MATCH(AT271,Vacantes!$A:$A,0)),"")</f>
        <v>7:30 a.m. a 11:30 a.m.</v>
      </c>
    </row>
    <row r="272" spans="1:53" x14ac:dyDescent="0.15">
      <c r="A272" t="s">
        <v>1067</v>
      </c>
      <c r="B272" t="s">
        <v>1068</v>
      </c>
      <c r="C272" t="s">
        <v>55</v>
      </c>
      <c r="D272">
        <v>1097094457</v>
      </c>
      <c r="E272" t="s">
        <v>56</v>
      </c>
      <c r="F272">
        <v>21</v>
      </c>
      <c r="G272" t="b">
        <v>1</v>
      </c>
      <c r="I272" t="s">
        <v>213</v>
      </c>
      <c r="J272" t="s">
        <v>539</v>
      </c>
      <c r="L272" t="s">
        <v>612</v>
      </c>
      <c r="N272" t="b">
        <v>0</v>
      </c>
      <c r="O272" t="b">
        <v>0</v>
      </c>
      <c r="P272" t="s">
        <v>60</v>
      </c>
      <c r="Q272" t="s">
        <v>61</v>
      </c>
      <c r="R272" t="s">
        <v>125</v>
      </c>
      <c r="W272" t="s">
        <v>62</v>
      </c>
      <c r="AB272" t="b">
        <v>0</v>
      </c>
      <c r="AC272" t="b">
        <v>0</v>
      </c>
      <c r="AE272" t="b">
        <v>0</v>
      </c>
      <c r="AG272" t="b">
        <v>0</v>
      </c>
      <c r="AI272" t="b">
        <v>0</v>
      </c>
      <c r="AK272" t="s">
        <v>94</v>
      </c>
      <c r="AL272" t="s">
        <v>66</v>
      </c>
      <c r="AM272" s="3">
        <v>46277</v>
      </c>
      <c r="AN272" s="4">
        <v>0.65212962962962961</v>
      </c>
      <c r="AO272" t="s">
        <v>1069</v>
      </c>
      <c r="AP272" t="s">
        <v>1070</v>
      </c>
      <c r="AQ272" t="s">
        <v>69</v>
      </c>
      <c r="AR272">
        <v>76.900000000000006</v>
      </c>
      <c r="AS272" t="s">
        <v>70</v>
      </c>
      <c r="AT272" t="s">
        <v>1071</v>
      </c>
      <c r="AU272" t="s">
        <v>221</v>
      </c>
      <c r="AV272" t="s">
        <v>73</v>
      </c>
      <c r="AW272" t="str">
        <f t="shared" si="8"/>
        <v>Ingeniería Mecánica</v>
      </c>
      <c r="AX272" t="str">
        <f t="shared" si="9"/>
        <v>300 2085133</v>
      </c>
      <c r="AY272" t="str">
        <f>IFERROR(INDEX(Vacantes!$C:$C,MATCH(AT272,Vacantes!$A:$A,0)),"")</f>
        <v>Cervecería de Bucaramanga</v>
      </c>
      <c r="AZ272" t="str">
        <f>IFERROR(INDEX(Vacantes!$D:$D,MATCH(AT272,Vacantes!$A:$A,0)),"")</f>
        <v>21 de octubre de 2026</v>
      </c>
      <c r="BA272" t="str">
        <f>IFERROR(INDEX(Vacantes!$E:$E,MATCH(AT272,Vacantes!$A:$A,0)),"")</f>
        <v>7:30 a.m. a 12:00 p.m.</v>
      </c>
    </row>
    <row r="273" spans="1:53" x14ac:dyDescent="0.15">
      <c r="A273" t="s">
        <v>1072</v>
      </c>
      <c r="B273" t="s">
        <v>1073</v>
      </c>
      <c r="C273" t="s">
        <v>55</v>
      </c>
      <c r="D273">
        <v>1005260233</v>
      </c>
      <c r="E273" t="s">
        <v>76</v>
      </c>
      <c r="F273">
        <v>25</v>
      </c>
      <c r="G273" t="b">
        <v>1</v>
      </c>
      <c r="I273" t="s">
        <v>213</v>
      </c>
      <c r="J273" t="s">
        <v>539</v>
      </c>
      <c r="L273" t="s">
        <v>305</v>
      </c>
      <c r="N273" t="b">
        <v>0</v>
      </c>
      <c r="O273" t="b">
        <v>0</v>
      </c>
      <c r="P273" t="s">
        <v>60</v>
      </c>
      <c r="Q273" t="s">
        <v>60</v>
      </c>
      <c r="R273" t="s">
        <v>125</v>
      </c>
      <c r="W273" t="s">
        <v>125</v>
      </c>
      <c r="X273" t="s">
        <v>332</v>
      </c>
      <c r="AB273" t="b">
        <v>0</v>
      </c>
      <c r="AC273" t="b">
        <v>0</v>
      </c>
      <c r="AE273" t="b">
        <v>0</v>
      </c>
      <c r="AG273" t="b">
        <v>0</v>
      </c>
      <c r="AI273" t="b">
        <v>0</v>
      </c>
      <c r="AK273" t="s">
        <v>94</v>
      </c>
      <c r="AL273" t="s">
        <v>66</v>
      </c>
      <c r="AM273" s="3">
        <v>46255</v>
      </c>
      <c r="AN273" s="4">
        <v>0.41467592592592589</v>
      </c>
      <c r="AO273">
        <v>3156201141</v>
      </c>
      <c r="AP273" t="s">
        <v>1074</v>
      </c>
      <c r="AQ273" t="s">
        <v>69</v>
      </c>
      <c r="AR273">
        <v>97.8</v>
      </c>
      <c r="AS273" t="s">
        <v>70</v>
      </c>
      <c r="AT273" t="s">
        <v>1071</v>
      </c>
      <c r="AU273" t="s">
        <v>221</v>
      </c>
      <c r="AV273" t="s">
        <v>184</v>
      </c>
      <c r="AW273" t="str">
        <f t="shared" si="8"/>
        <v>Ingeniería Química</v>
      </c>
      <c r="AX273" t="str">
        <f t="shared" si="9"/>
        <v>3156201141</v>
      </c>
      <c r="AY273" t="str">
        <f>IFERROR(INDEX(Vacantes!$C:$C,MATCH(AT273,Vacantes!$A:$A,0)),"")</f>
        <v>Cervecería de Bucaramanga</v>
      </c>
      <c r="AZ273" t="str">
        <f>IFERROR(INDEX(Vacantes!$D:$D,MATCH(AT273,Vacantes!$A:$A,0)),"")</f>
        <v>21 de octubre de 2026</v>
      </c>
      <c r="BA273" t="str">
        <f>IFERROR(INDEX(Vacantes!$E:$E,MATCH(AT273,Vacantes!$A:$A,0)),"")</f>
        <v>7:30 a.m. a 12:00 p.m.</v>
      </c>
    </row>
    <row r="274" spans="1:53" x14ac:dyDescent="0.15">
      <c r="A274" t="s">
        <v>1075</v>
      </c>
      <c r="B274" t="s">
        <v>1076</v>
      </c>
      <c r="C274" t="s">
        <v>55</v>
      </c>
      <c r="D274">
        <v>1096800652</v>
      </c>
      <c r="E274" t="s">
        <v>56</v>
      </c>
      <c r="F274">
        <v>21</v>
      </c>
      <c r="G274" t="b">
        <v>1</v>
      </c>
      <c r="H274" t="s">
        <v>1077</v>
      </c>
      <c r="I274" t="s">
        <v>213</v>
      </c>
      <c r="J274" t="s">
        <v>495</v>
      </c>
      <c r="L274" t="s">
        <v>124</v>
      </c>
      <c r="N274" t="b">
        <v>1</v>
      </c>
      <c r="O274" t="b">
        <v>0</v>
      </c>
      <c r="P274" t="s">
        <v>60</v>
      </c>
      <c r="Q274" t="s">
        <v>60</v>
      </c>
      <c r="R274" t="s">
        <v>125</v>
      </c>
      <c r="W274" t="s">
        <v>125</v>
      </c>
      <c r="X274" t="s">
        <v>332</v>
      </c>
      <c r="AB274" t="b">
        <v>0</v>
      </c>
      <c r="AC274" t="b">
        <v>0</v>
      </c>
      <c r="AE274" t="b">
        <v>0</v>
      </c>
      <c r="AG274" t="b">
        <v>0</v>
      </c>
      <c r="AI274" t="b">
        <v>0</v>
      </c>
      <c r="AK274" t="s">
        <v>94</v>
      </c>
      <c r="AL274" t="s">
        <v>66</v>
      </c>
      <c r="AM274" s="3">
        <v>46278</v>
      </c>
      <c r="AN274" s="4">
        <v>0.85701388888888885</v>
      </c>
      <c r="AO274">
        <v>3208719059</v>
      </c>
      <c r="AP274" t="s">
        <v>1078</v>
      </c>
      <c r="AQ274" t="s">
        <v>69</v>
      </c>
      <c r="AR274">
        <v>78</v>
      </c>
      <c r="AS274" t="s">
        <v>70</v>
      </c>
      <c r="AT274" t="s">
        <v>1071</v>
      </c>
      <c r="AU274" t="s">
        <v>221</v>
      </c>
      <c r="AV274" t="s">
        <v>184</v>
      </c>
      <c r="AW274" t="str">
        <f t="shared" si="8"/>
        <v>Ingeniería Mecatrónica</v>
      </c>
      <c r="AX274" t="str">
        <f t="shared" si="9"/>
        <v>3208719059</v>
      </c>
      <c r="AY274" t="str">
        <f>IFERROR(INDEX(Vacantes!$C:$C,MATCH(AT274,Vacantes!$A:$A,0)),"")</f>
        <v>Cervecería de Bucaramanga</v>
      </c>
      <c r="AZ274" t="str">
        <f>IFERROR(INDEX(Vacantes!$D:$D,MATCH(AT274,Vacantes!$A:$A,0)),"")</f>
        <v>21 de octubre de 2026</v>
      </c>
      <c r="BA274" t="str">
        <f>IFERROR(INDEX(Vacantes!$E:$E,MATCH(AT274,Vacantes!$A:$A,0)),"")</f>
        <v>7:30 a.m. a 12:00 p.m.</v>
      </c>
    </row>
    <row r="275" spans="1:53" x14ac:dyDescent="0.15">
      <c r="A275" t="s">
        <v>1079</v>
      </c>
      <c r="B275" t="s">
        <v>1080</v>
      </c>
      <c r="C275" t="s">
        <v>55</v>
      </c>
      <c r="D275">
        <v>1130266716</v>
      </c>
      <c r="E275" t="s">
        <v>56</v>
      </c>
      <c r="F275">
        <v>23</v>
      </c>
      <c r="G275" t="b">
        <v>1</v>
      </c>
      <c r="H275" t="s">
        <v>213</v>
      </c>
      <c r="I275" t="s">
        <v>213</v>
      </c>
      <c r="J275" t="s">
        <v>539</v>
      </c>
      <c r="L275" t="s">
        <v>612</v>
      </c>
      <c r="N275" t="b">
        <v>1</v>
      </c>
      <c r="O275" t="b">
        <v>0</v>
      </c>
      <c r="P275" t="s">
        <v>60</v>
      </c>
      <c r="Q275" t="s">
        <v>61</v>
      </c>
      <c r="R275" t="s">
        <v>125</v>
      </c>
      <c r="W275" t="s">
        <v>125</v>
      </c>
      <c r="X275" t="s">
        <v>145</v>
      </c>
      <c r="AB275" t="b">
        <v>0</v>
      </c>
      <c r="AC275" t="b">
        <v>0</v>
      </c>
      <c r="AE275" t="b">
        <v>0</v>
      </c>
      <c r="AG275" t="b">
        <v>0</v>
      </c>
      <c r="AI275" t="b">
        <v>0</v>
      </c>
      <c r="AK275" t="s">
        <v>94</v>
      </c>
      <c r="AL275" t="s">
        <v>66</v>
      </c>
      <c r="AM275" s="3">
        <v>46278</v>
      </c>
      <c r="AN275" s="4">
        <v>0.42244212962962963</v>
      </c>
      <c r="AO275">
        <v>3009477921</v>
      </c>
      <c r="AP275" t="s">
        <v>1081</v>
      </c>
      <c r="AQ275" t="s">
        <v>69</v>
      </c>
      <c r="AR275">
        <v>93.2</v>
      </c>
      <c r="AS275" t="s">
        <v>70</v>
      </c>
      <c r="AT275" t="s">
        <v>1071</v>
      </c>
      <c r="AU275" t="s">
        <v>221</v>
      </c>
      <c r="AV275" t="s">
        <v>184</v>
      </c>
      <c r="AW275" t="str">
        <f t="shared" si="8"/>
        <v>Ingeniería Mecánica</v>
      </c>
      <c r="AX275" t="str">
        <f t="shared" si="9"/>
        <v>3009477921</v>
      </c>
      <c r="AY275" t="str">
        <f>IFERROR(INDEX(Vacantes!$C:$C,MATCH(AT275,Vacantes!$A:$A,0)),"")</f>
        <v>Cervecería de Bucaramanga</v>
      </c>
      <c r="AZ275" t="str">
        <f>IFERROR(INDEX(Vacantes!$D:$D,MATCH(AT275,Vacantes!$A:$A,0)),"")</f>
        <v>21 de octubre de 2026</v>
      </c>
      <c r="BA275" t="str">
        <f>IFERROR(INDEX(Vacantes!$E:$E,MATCH(AT275,Vacantes!$A:$A,0)),"")</f>
        <v>7:30 a.m. a 12:00 p.m.</v>
      </c>
    </row>
    <row r="276" spans="1:53" x14ac:dyDescent="0.15">
      <c r="A276" t="s">
        <v>1082</v>
      </c>
      <c r="B276" t="s">
        <v>1083</v>
      </c>
      <c r="C276" t="s">
        <v>55</v>
      </c>
      <c r="D276">
        <v>1002528206</v>
      </c>
      <c r="E276" t="s">
        <v>76</v>
      </c>
      <c r="F276">
        <v>23</v>
      </c>
      <c r="G276" t="b">
        <v>1</v>
      </c>
      <c r="H276" t="s">
        <v>213</v>
      </c>
      <c r="I276" t="s">
        <v>213</v>
      </c>
      <c r="J276" t="s">
        <v>539</v>
      </c>
      <c r="L276" t="s">
        <v>305</v>
      </c>
      <c r="N276" t="b">
        <v>0</v>
      </c>
      <c r="O276" t="b">
        <v>0</v>
      </c>
      <c r="P276" t="s">
        <v>60</v>
      </c>
      <c r="Q276" t="s">
        <v>60</v>
      </c>
      <c r="R276" t="s">
        <v>125</v>
      </c>
      <c r="W276" t="s">
        <v>125</v>
      </c>
      <c r="X276" t="s">
        <v>315</v>
      </c>
      <c r="AB276" t="b">
        <v>0</v>
      </c>
      <c r="AC276" t="b">
        <v>0</v>
      </c>
      <c r="AE276" t="b">
        <v>0</v>
      </c>
      <c r="AG276" t="b">
        <v>0</v>
      </c>
      <c r="AI276" t="b">
        <v>0</v>
      </c>
      <c r="AK276" t="s">
        <v>153</v>
      </c>
      <c r="AL276" t="s">
        <v>66</v>
      </c>
      <c r="AM276" s="3">
        <v>46265</v>
      </c>
      <c r="AN276" s="4">
        <v>0.74241898148148144</v>
      </c>
      <c r="AO276">
        <v>3152069944</v>
      </c>
      <c r="AP276" t="s">
        <v>1084</v>
      </c>
      <c r="AQ276" t="s">
        <v>69</v>
      </c>
      <c r="AR276">
        <v>87.6</v>
      </c>
      <c r="AS276" t="s">
        <v>70</v>
      </c>
      <c r="AT276" t="s">
        <v>1071</v>
      </c>
      <c r="AU276" t="s">
        <v>221</v>
      </c>
      <c r="AV276" t="s">
        <v>184</v>
      </c>
      <c r="AW276" t="str">
        <f t="shared" si="8"/>
        <v>Ingeniería Química</v>
      </c>
      <c r="AX276" t="str">
        <f t="shared" si="9"/>
        <v>3152069944</v>
      </c>
      <c r="AY276" t="str">
        <f>IFERROR(INDEX(Vacantes!$C:$C,MATCH(AT276,Vacantes!$A:$A,0)),"")</f>
        <v>Cervecería de Bucaramanga</v>
      </c>
      <c r="AZ276" t="str">
        <f>IFERROR(INDEX(Vacantes!$D:$D,MATCH(AT276,Vacantes!$A:$A,0)),"")</f>
        <v>21 de octubre de 2026</v>
      </c>
      <c r="BA276" t="str">
        <f>IFERROR(INDEX(Vacantes!$E:$E,MATCH(AT276,Vacantes!$A:$A,0)),"")</f>
        <v>7:30 a.m. a 12:00 p.m.</v>
      </c>
    </row>
    <row r="277" spans="1:53" x14ac:dyDescent="0.15">
      <c r="A277" t="s">
        <v>1085</v>
      </c>
      <c r="B277" t="s">
        <v>1086</v>
      </c>
      <c r="C277" t="s">
        <v>55</v>
      </c>
      <c r="D277">
        <v>1098612128</v>
      </c>
      <c r="E277" t="s">
        <v>76</v>
      </c>
      <c r="F277">
        <v>22</v>
      </c>
      <c r="G277" t="b">
        <v>1</v>
      </c>
      <c r="I277" t="s">
        <v>213</v>
      </c>
      <c r="J277" t="s">
        <v>539</v>
      </c>
      <c r="L277" t="s">
        <v>612</v>
      </c>
      <c r="N277" t="b">
        <v>0</v>
      </c>
      <c r="O277" t="b">
        <v>0</v>
      </c>
      <c r="P277" t="s">
        <v>61</v>
      </c>
      <c r="Q277" t="s">
        <v>144</v>
      </c>
      <c r="R277" t="s">
        <v>125</v>
      </c>
      <c r="W277" t="s">
        <v>125</v>
      </c>
      <c r="X277" t="s">
        <v>315</v>
      </c>
      <c r="AB277" t="b">
        <v>0</v>
      </c>
      <c r="AC277" t="b">
        <v>0</v>
      </c>
      <c r="AE277" t="b">
        <v>0</v>
      </c>
      <c r="AG277" t="b">
        <v>0</v>
      </c>
      <c r="AI277" t="b">
        <v>0</v>
      </c>
      <c r="AK277" t="s">
        <v>248</v>
      </c>
      <c r="AL277" t="s">
        <v>66</v>
      </c>
      <c r="AM277" s="3">
        <v>46277</v>
      </c>
      <c r="AN277" s="4">
        <v>0.48826388888888889</v>
      </c>
      <c r="AO277" t="s">
        <v>1087</v>
      </c>
      <c r="AP277" t="s">
        <v>1088</v>
      </c>
      <c r="AQ277" t="s">
        <v>69</v>
      </c>
      <c r="AR277">
        <v>86.7</v>
      </c>
      <c r="AS277" t="s">
        <v>70</v>
      </c>
      <c r="AT277" t="s">
        <v>1071</v>
      </c>
      <c r="AU277" t="s">
        <v>221</v>
      </c>
      <c r="AV277" t="s">
        <v>184</v>
      </c>
      <c r="AW277" t="str">
        <f t="shared" si="8"/>
        <v>Ingeniería Mecánica</v>
      </c>
      <c r="AX277" t="str">
        <f t="shared" si="9"/>
        <v>301 7990303</v>
      </c>
      <c r="AY277" t="str">
        <f>IFERROR(INDEX(Vacantes!$C:$C,MATCH(AT277,Vacantes!$A:$A,0)),"")</f>
        <v>Cervecería de Bucaramanga</v>
      </c>
      <c r="AZ277" t="str">
        <f>IFERROR(INDEX(Vacantes!$D:$D,MATCH(AT277,Vacantes!$A:$A,0)),"")</f>
        <v>21 de octubre de 2026</v>
      </c>
      <c r="BA277" t="str">
        <f>IFERROR(INDEX(Vacantes!$E:$E,MATCH(AT277,Vacantes!$A:$A,0)),"")</f>
        <v>7:30 a.m. a 12:00 p.m.</v>
      </c>
    </row>
    <row r="278" spans="1:53" x14ac:dyDescent="0.15">
      <c r="A278" t="s">
        <v>1089</v>
      </c>
      <c r="B278" t="s">
        <v>1090</v>
      </c>
      <c r="C278" t="s">
        <v>55</v>
      </c>
      <c r="D278">
        <v>1085037242</v>
      </c>
      <c r="E278" t="s">
        <v>56</v>
      </c>
      <c r="F278">
        <v>21</v>
      </c>
      <c r="G278" t="b">
        <v>1</v>
      </c>
      <c r="H278" t="s">
        <v>194</v>
      </c>
      <c r="I278" t="s">
        <v>213</v>
      </c>
      <c r="J278" t="s">
        <v>201</v>
      </c>
      <c r="L278" t="s">
        <v>143</v>
      </c>
      <c r="N278" t="b">
        <v>0</v>
      </c>
      <c r="O278" t="b">
        <v>0</v>
      </c>
      <c r="P278" t="s">
        <v>60</v>
      </c>
      <c r="Q278" t="s">
        <v>60</v>
      </c>
      <c r="R278" t="s">
        <v>125</v>
      </c>
      <c r="W278" t="s">
        <v>89</v>
      </c>
      <c r="AB278" t="b">
        <v>0</v>
      </c>
      <c r="AC278" t="b">
        <v>0</v>
      </c>
      <c r="AE278" t="b">
        <v>0</v>
      </c>
      <c r="AG278" t="b">
        <v>0</v>
      </c>
      <c r="AI278" t="b">
        <v>0</v>
      </c>
      <c r="AK278" t="s">
        <v>153</v>
      </c>
      <c r="AL278" t="s">
        <v>66</v>
      </c>
      <c r="AM278" s="3">
        <v>46264</v>
      </c>
      <c r="AN278" s="4">
        <v>0.43060185185185179</v>
      </c>
      <c r="AO278" t="s">
        <v>1091</v>
      </c>
      <c r="AP278" t="s">
        <v>1092</v>
      </c>
      <c r="AQ278" t="s">
        <v>69</v>
      </c>
      <c r="AR278">
        <v>83.2</v>
      </c>
      <c r="AS278" t="s">
        <v>70</v>
      </c>
      <c r="AT278" t="s">
        <v>1071</v>
      </c>
      <c r="AU278" t="s">
        <v>221</v>
      </c>
      <c r="AV278" t="s">
        <v>184</v>
      </c>
      <c r="AW278" t="str">
        <f t="shared" si="8"/>
        <v>Ingeniería Industrial</v>
      </c>
      <c r="AX278" t="str">
        <f t="shared" si="9"/>
        <v>310 5361024</v>
      </c>
      <c r="AY278" t="str">
        <f>IFERROR(INDEX(Vacantes!$C:$C,MATCH(AT278,Vacantes!$A:$A,0)),"")</f>
        <v>Cervecería de Bucaramanga</v>
      </c>
      <c r="AZ278" t="str">
        <f>IFERROR(INDEX(Vacantes!$D:$D,MATCH(AT278,Vacantes!$A:$A,0)),"")</f>
        <v>21 de octubre de 2026</v>
      </c>
      <c r="BA278" t="str">
        <f>IFERROR(INDEX(Vacantes!$E:$E,MATCH(AT278,Vacantes!$A:$A,0)),"")</f>
        <v>7:30 a.m. a 12:00 p.m.</v>
      </c>
    </row>
    <row r="279" spans="1:53" x14ac:dyDescent="0.15">
      <c r="A279" t="s">
        <v>1112</v>
      </c>
      <c r="B279" t="s">
        <v>1113</v>
      </c>
      <c r="C279" t="s">
        <v>55</v>
      </c>
      <c r="D279">
        <v>1112618688</v>
      </c>
      <c r="E279" t="s">
        <v>56</v>
      </c>
      <c r="F279">
        <v>22</v>
      </c>
      <c r="G279" t="b">
        <v>1</v>
      </c>
      <c r="H279" t="s">
        <v>1114</v>
      </c>
      <c r="I279" t="s">
        <v>160</v>
      </c>
      <c r="J279" t="s">
        <v>401</v>
      </c>
      <c r="L279" t="s">
        <v>143</v>
      </c>
      <c r="N279" t="b">
        <v>1</v>
      </c>
      <c r="O279" t="b">
        <v>0</v>
      </c>
      <c r="P279" t="s">
        <v>60</v>
      </c>
      <c r="Q279" t="s">
        <v>61</v>
      </c>
      <c r="R279" t="s">
        <v>64</v>
      </c>
      <c r="W279" t="s">
        <v>135</v>
      </c>
      <c r="Z279" t="s">
        <v>151</v>
      </c>
      <c r="AB279" t="b">
        <v>0</v>
      </c>
      <c r="AC279" t="b">
        <v>0</v>
      </c>
      <c r="AE279" t="b">
        <v>0</v>
      </c>
      <c r="AG279" t="b">
        <v>0</v>
      </c>
      <c r="AI279" t="b">
        <v>0</v>
      </c>
      <c r="AK279" t="s">
        <v>94</v>
      </c>
      <c r="AL279" t="s">
        <v>66</v>
      </c>
      <c r="AM279" s="3">
        <v>46264</v>
      </c>
      <c r="AN279" s="4">
        <v>0.86814814814814811</v>
      </c>
      <c r="AO279" t="s">
        <v>1115</v>
      </c>
      <c r="AP279" t="s">
        <v>1116</v>
      </c>
      <c r="AQ279" t="s">
        <v>69</v>
      </c>
      <c r="AR279">
        <v>71.900000000000006</v>
      </c>
      <c r="AS279" t="s">
        <v>70</v>
      </c>
      <c r="AT279" t="s">
        <v>1117</v>
      </c>
      <c r="AU279" t="s">
        <v>221</v>
      </c>
      <c r="AV279" t="s">
        <v>184</v>
      </c>
      <c r="AW279" t="str">
        <f t="shared" si="8"/>
        <v>Ingeniería Industrial</v>
      </c>
      <c r="AX279" t="str">
        <f t="shared" si="9"/>
        <v>317 3309191</v>
      </c>
      <c r="AY279" t="str">
        <f>IFERROR(INDEX(Vacantes!$C:$C,MATCH(AT279,Vacantes!$A:$A,0)),"")</f>
        <v>Cervecería del Valle</v>
      </c>
      <c r="AZ279" t="str">
        <f>IFERROR(INDEX(Vacantes!$D:$D,MATCH(AT279,Vacantes!$A:$A,0)),"")</f>
        <v>21 de octubre de 2026</v>
      </c>
      <c r="BA279" t="str">
        <f>IFERROR(INDEX(Vacantes!$E:$E,MATCH(AT279,Vacantes!$A:$A,0)),"")</f>
        <v>7:30 a.m. a 11:30 a.m.</v>
      </c>
    </row>
    <row r="280" spans="1:53" x14ac:dyDescent="0.15">
      <c r="A280" t="s">
        <v>1118</v>
      </c>
      <c r="B280" t="s">
        <v>1119</v>
      </c>
      <c r="C280" t="s">
        <v>55</v>
      </c>
      <c r="D280">
        <v>1112041540</v>
      </c>
      <c r="E280" t="s">
        <v>76</v>
      </c>
      <c r="F280">
        <v>20</v>
      </c>
      <c r="G280" t="b">
        <v>1</v>
      </c>
      <c r="I280" t="s">
        <v>160</v>
      </c>
      <c r="J280" t="s">
        <v>132</v>
      </c>
      <c r="K280" t="s">
        <v>704</v>
      </c>
      <c r="L280" t="s">
        <v>117</v>
      </c>
      <c r="N280" t="b">
        <v>0</v>
      </c>
      <c r="O280" t="b">
        <v>0</v>
      </c>
      <c r="P280" t="s">
        <v>60</v>
      </c>
      <c r="Q280" t="s">
        <v>60</v>
      </c>
      <c r="R280" t="s">
        <v>108</v>
      </c>
      <c r="W280" t="s">
        <v>113</v>
      </c>
      <c r="AB280" t="b">
        <v>0</v>
      </c>
      <c r="AC280" t="b">
        <v>0</v>
      </c>
      <c r="AE280" t="b">
        <v>0</v>
      </c>
      <c r="AG280" t="b">
        <v>0</v>
      </c>
      <c r="AI280" t="b">
        <v>0</v>
      </c>
      <c r="AK280" t="s">
        <v>94</v>
      </c>
      <c r="AL280" t="s">
        <v>66</v>
      </c>
      <c r="AM280" s="3">
        <v>46278</v>
      </c>
      <c r="AN280" s="4">
        <v>0.76745370370370369</v>
      </c>
      <c r="AO280" t="s">
        <v>1120</v>
      </c>
      <c r="AP280" t="s">
        <v>1121</v>
      </c>
      <c r="AQ280" t="s">
        <v>69</v>
      </c>
      <c r="AR280">
        <v>86.7</v>
      </c>
      <c r="AS280" t="s">
        <v>70</v>
      </c>
      <c r="AT280" t="s">
        <v>1117</v>
      </c>
      <c r="AU280" t="s">
        <v>221</v>
      </c>
      <c r="AV280" t="s">
        <v>184</v>
      </c>
      <c r="AW280" t="str">
        <f t="shared" si="8"/>
        <v>Marketing / Mercadeo</v>
      </c>
      <c r="AX280" t="str">
        <f t="shared" si="9"/>
        <v>317 4875563</v>
      </c>
      <c r="AY280" t="str">
        <f>IFERROR(INDEX(Vacantes!$C:$C,MATCH(AT280,Vacantes!$A:$A,0)),"")</f>
        <v>Cervecería del Valle</v>
      </c>
      <c r="AZ280" t="str">
        <f>IFERROR(INDEX(Vacantes!$D:$D,MATCH(AT280,Vacantes!$A:$A,0)),"")</f>
        <v>21 de octubre de 2026</v>
      </c>
      <c r="BA280" t="str">
        <f>IFERROR(INDEX(Vacantes!$E:$E,MATCH(AT280,Vacantes!$A:$A,0)),"")</f>
        <v>7:30 a.m. a 11:30 a.m.</v>
      </c>
    </row>
    <row r="281" spans="1:53" x14ac:dyDescent="0.15">
      <c r="A281" t="s">
        <v>1122</v>
      </c>
      <c r="B281" t="s">
        <v>1123</v>
      </c>
      <c r="C281" t="s">
        <v>55</v>
      </c>
      <c r="D281">
        <v>1111540492</v>
      </c>
      <c r="E281" t="s">
        <v>76</v>
      </c>
      <c r="F281">
        <v>21</v>
      </c>
      <c r="G281" t="b">
        <v>1</v>
      </c>
      <c r="H281" t="s">
        <v>1042</v>
      </c>
      <c r="I281" t="s">
        <v>160</v>
      </c>
      <c r="J281" t="s">
        <v>401</v>
      </c>
      <c r="L281" t="s">
        <v>132</v>
      </c>
      <c r="M281" t="s">
        <v>1124</v>
      </c>
      <c r="N281" t="b">
        <v>1</v>
      </c>
      <c r="O281" t="b">
        <v>0</v>
      </c>
      <c r="P281" t="s">
        <v>144</v>
      </c>
      <c r="Q281" t="s">
        <v>144</v>
      </c>
      <c r="R281" t="s">
        <v>64</v>
      </c>
      <c r="W281" t="s">
        <v>108</v>
      </c>
      <c r="Z281" t="s">
        <v>151</v>
      </c>
      <c r="AB281" t="b">
        <v>0</v>
      </c>
      <c r="AC281" t="b">
        <v>0</v>
      </c>
      <c r="AE281" t="b">
        <v>0</v>
      </c>
      <c r="AG281" t="b">
        <v>0</v>
      </c>
      <c r="AI281" t="b">
        <v>0</v>
      </c>
      <c r="AK281" t="s">
        <v>202</v>
      </c>
      <c r="AL281" t="s">
        <v>66</v>
      </c>
      <c r="AM281" s="3">
        <v>46278</v>
      </c>
      <c r="AN281" s="4">
        <v>0.61280092592592594</v>
      </c>
      <c r="AO281">
        <v>3195372919</v>
      </c>
      <c r="AP281" t="s">
        <v>1125</v>
      </c>
      <c r="AQ281" t="s">
        <v>69</v>
      </c>
      <c r="AR281">
        <v>93.6</v>
      </c>
      <c r="AS281" t="s">
        <v>70</v>
      </c>
      <c r="AT281" t="s">
        <v>1117</v>
      </c>
      <c r="AU281" t="s">
        <v>221</v>
      </c>
      <c r="AV281" t="s">
        <v>73</v>
      </c>
      <c r="AW281" t="str">
        <f t="shared" si="8"/>
        <v>Marketing digital, inglés 4, sistemas de gestión y calidad</v>
      </c>
      <c r="AX281" t="str">
        <f t="shared" si="9"/>
        <v>3195372919</v>
      </c>
      <c r="AY281" t="str">
        <f>IFERROR(INDEX(Vacantes!$C:$C,MATCH(AT281,Vacantes!$A:$A,0)),"")</f>
        <v>Cervecería del Valle</v>
      </c>
      <c r="AZ281" t="str">
        <f>IFERROR(INDEX(Vacantes!$D:$D,MATCH(AT281,Vacantes!$A:$A,0)),"")</f>
        <v>21 de octubre de 2026</v>
      </c>
      <c r="BA281" t="str">
        <f>IFERROR(INDEX(Vacantes!$E:$E,MATCH(AT281,Vacantes!$A:$A,0)),"")</f>
        <v>7:30 a.m. a 11:30 a.m.</v>
      </c>
    </row>
    <row r="282" spans="1:53" x14ac:dyDescent="0.15">
      <c r="A282" t="s">
        <v>1155</v>
      </c>
      <c r="B282" t="s">
        <v>1156</v>
      </c>
      <c r="C282" t="s">
        <v>55</v>
      </c>
      <c r="D282">
        <v>1004898829</v>
      </c>
      <c r="E282" t="s">
        <v>76</v>
      </c>
      <c r="F282">
        <v>24</v>
      </c>
      <c r="G282" t="b">
        <v>1</v>
      </c>
      <c r="H282" t="s">
        <v>1077</v>
      </c>
      <c r="I282" t="s">
        <v>213</v>
      </c>
      <c r="J282" t="s">
        <v>201</v>
      </c>
      <c r="L282" t="s">
        <v>143</v>
      </c>
      <c r="N282" t="b">
        <v>0</v>
      </c>
      <c r="O282" t="b">
        <v>0</v>
      </c>
      <c r="P282" t="s">
        <v>60</v>
      </c>
      <c r="Q282" t="s">
        <v>60</v>
      </c>
      <c r="R282" t="s">
        <v>108</v>
      </c>
      <c r="T282" t="s">
        <v>82</v>
      </c>
      <c r="W282" t="s">
        <v>80</v>
      </c>
      <c r="AB282" t="b">
        <v>0</v>
      </c>
      <c r="AC282" t="b">
        <v>0</v>
      </c>
      <c r="AE282" t="b">
        <v>0</v>
      </c>
      <c r="AG282" t="b">
        <v>0</v>
      </c>
      <c r="AI282" t="b">
        <v>0</v>
      </c>
      <c r="AK282" t="s">
        <v>202</v>
      </c>
      <c r="AL282" t="s">
        <v>66</v>
      </c>
      <c r="AM282" s="3">
        <v>46261</v>
      </c>
      <c r="AN282" s="4">
        <v>0.52349537037037042</v>
      </c>
      <c r="AO282" t="s">
        <v>1157</v>
      </c>
      <c r="AP282" t="s">
        <v>1158</v>
      </c>
      <c r="AQ282" t="s">
        <v>69</v>
      </c>
      <c r="AR282">
        <v>95.6</v>
      </c>
      <c r="AS282" t="s">
        <v>70</v>
      </c>
      <c r="AT282" t="s">
        <v>216</v>
      </c>
      <c r="AU282" t="s">
        <v>221</v>
      </c>
      <c r="AV282" t="s">
        <v>73</v>
      </c>
      <c r="AW282" t="str">
        <f t="shared" si="8"/>
        <v>Ingeniería Industrial</v>
      </c>
      <c r="AX282" t="str">
        <f t="shared" si="9"/>
        <v>318 8023106</v>
      </c>
      <c r="AY282" t="str">
        <f>IFERROR(INDEX(Vacantes!$C:$C,MATCH(AT282,Vacantes!$A:$A,0)),"")</f>
        <v>Cervecería de Bucaramanga</v>
      </c>
      <c r="AZ282" t="str">
        <f>IFERROR(INDEX(Vacantes!$D:$D,MATCH(AT282,Vacantes!$A:$A,0)),"")</f>
        <v>21 de octubre de 2026</v>
      </c>
      <c r="BA282" t="str">
        <f>IFERROR(INDEX(Vacantes!$E:$E,MATCH(AT282,Vacantes!$A:$A,0)),"")</f>
        <v>7:30 a.m. a 12:00 p.m.</v>
      </c>
    </row>
    <row r="283" spans="1:53" x14ac:dyDescent="0.15">
      <c r="A283" t="s">
        <v>1159</v>
      </c>
      <c r="B283" t="s">
        <v>1160</v>
      </c>
      <c r="C283" t="s">
        <v>55</v>
      </c>
      <c r="D283">
        <v>1097094297</v>
      </c>
      <c r="E283" t="s">
        <v>76</v>
      </c>
      <c r="F283">
        <v>21</v>
      </c>
      <c r="G283" t="b">
        <v>1</v>
      </c>
      <c r="H283" t="s">
        <v>213</v>
      </c>
      <c r="I283" t="s">
        <v>213</v>
      </c>
      <c r="J283" t="s">
        <v>539</v>
      </c>
      <c r="L283" t="s">
        <v>143</v>
      </c>
      <c r="N283" t="b">
        <v>1</v>
      </c>
      <c r="O283" t="b">
        <v>0</v>
      </c>
      <c r="P283" t="s">
        <v>61</v>
      </c>
      <c r="Q283" t="s">
        <v>60</v>
      </c>
      <c r="R283" t="s">
        <v>135</v>
      </c>
      <c r="W283" t="s">
        <v>125</v>
      </c>
      <c r="X283" t="s">
        <v>64</v>
      </c>
      <c r="AB283" t="b">
        <v>0</v>
      </c>
      <c r="AC283" t="b">
        <v>0</v>
      </c>
      <c r="AE283" t="b">
        <v>0</v>
      </c>
      <c r="AG283" t="b">
        <v>0</v>
      </c>
      <c r="AI283" t="b">
        <v>0</v>
      </c>
      <c r="AK283" t="s">
        <v>94</v>
      </c>
      <c r="AL283" t="s">
        <v>66</v>
      </c>
      <c r="AM283" s="3">
        <v>46278</v>
      </c>
      <c r="AN283" s="4">
        <v>0.64819444444444441</v>
      </c>
      <c r="AO283">
        <v>3202411797</v>
      </c>
      <c r="AP283" t="s">
        <v>1161</v>
      </c>
      <c r="AQ283" t="s">
        <v>69</v>
      </c>
      <c r="AR283">
        <v>79.400000000000006</v>
      </c>
      <c r="AS283" t="s">
        <v>70</v>
      </c>
      <c r="AT283" t="s">
        <v>216</v>
      </c>
      <c r="AU283" t="s">
        <v>221</v>
      </c>
      <c r="AV283" t="s">
        <v>73</v>
      </c>
      <c r="AW283" t="str">
        <f t="shared" si="8"/>
        <v>Ingeniería Industrial</v>
      </c>
      <c r="AX283" t="str">
        <f t="shared" si="9"/>
        <v>3202411797</v>
      </c>
      <c r="AY283" t="str">
        <f>IFERROR(INDEX(Vacantes!$C:$C,MATCH(AT283,Vacantes!$A:$A,0)),"")</f>
        <v>Cervecería de Bucaramanga</v>
      </c>
      <c r="AZ283" t="str">
        <f>IFERROR(INDEX(Vacantes!$D:$D,MATCH(AT283,Vacantes!$A:$A,0)),"")</f>
        <v>21 de octubre de 2026</v>
      </c>
      <c r="BA283" t="str">
        <f>IFERROR(INDEX(Vacantes!$E:$E,MATCH(AT283,Vacantes!$A:$A,0)),"")</f>
        <v>7:30 a.m. a 12:00 p.m.</v>
      </c>
    </row>
    <row r="284" spans="1:53" x14ac:dyDescent="0.15">
      <c r="A284" t="s">
        <v>1162</v>
      </c>
      <c r="B284" t="s">
        <v>1163</v>
      </c>
      <c r="C284" t="s">
        <v>55</v>
      </c>
      <c r="D284">
        <v>1101753789</v>
      </c>
      <c r="E284" t="s">
        <v>76</v>
      </c>
      <c r="F284">
        <v>20</v>
      </c>
      <c r="G284" t="b">
        <v>1</v>
      </c>
      <c r="H284" t="s">
        <v>213</v>
      </c>
      <c r="I284" t="s">
        <v>213</v>
      </c>
      <c r="J284" t="s">
        <v>495</v>
      </c>
      <c r="L284" t="s">
        <v>134</v>
      </c>
      <c r="N284" t="b">
        <v>0</v>
      </c>
      <c r="O284" t="b">
        <v>0</v>
      </c>
      <c r="P284" t="s">
        <v>60</v>
      </c>
      <c r="Q284" t="s">
        <v>144</v>
      </c>
      <c r="R284" t="s">
        <v>108</v>
      </c>
      <c r="W284" t="s">
        <v>109</v>
      </c>
      <c r="AA284" t="s">
        <v>176</v>
      </c>
      <c r="AB284" t="b">
        <v>0</v>
      </c>
      <c r="AC284" t="b">
        <v>0</v>
      </c>
      <c r="AE284" t="b">
        <v>0</v>
      </c>
      <c r="AG284" t="b">
        <v>0</v>
      </c>
      <c r="AI284" t="b">
        <v>0</v>
      </c>
      <c r="AK284" t="s">
        <v>65</v>
      </c>
      <c r="AL284" t="s">
        <v>66</v>
      </c>
      <c r="AM284" s="3">
        <v>46278</v>
      </c>
      <c r="AN284" s="4">
        <v>0.51004629629629628</v>
      </c>
      <c r="AO284" t="s">
        <v>1164</v>
      </c>
      <c r="AP284" t="s">
        <v>1165</v>
      </c>
      <c r="AQ284" t="s">
        <v>69</v>
      </c>
      <c r="AR284">
        <v>77.900000000000006</v>
      </c>
      <c r="AS284" t="s">
        <v>70</v>
      </c>
      <c r="AT284" t="s">
        <v>216</v>
      </c>
      <c r="AU284" t="s">
        <v>221</v>
      </c>
      <c r="AV284" t="s">
        <v>184</v>
      </c>
      <c r="AW284" t="str">
        <f t="shared" si="8"/>
        <v>Negocios Internacionales</v>
      </c>
      <c r="AX284" t="str">
        <f t="shared" si="9"/>
        <v>312 4370413</v>
      </c>
      <c r="AY284" t="str">
        <f>IFERROR(INDEX(Vacantes!$C:$C,MATCH(AT284,Vacantes!$A:$A,0)),"")</f>
        <v>Cervecería de Bucaramanga</v>
      </c>
      <c r="AZ284" t="str">
        <f>IFERROR(INDEX(Vacantes!$D:$D,MATCH(AT284,Vacantes!$A:$A,0)),"")</f>
        <v>21 de octubre de 2026</v>
      </c>
      <c r="BA284" t="str">
        <f>IFERROR(INDEX(Vacantes!$E:$E,MATCH(AT284,Vacantes!$A:$A,0)),"")</f>
        <v>7:30 a.m. a 12:00 p.m.</v>
      </c>
    </row>
    <row r="285" spans="1:53" x14ac:dyDescent="0.15">
      <c r="A285" t="s">
        <v>1355</v>
      </c>
      <c r="B285" t="s">
        <v>1356</v>
      </c>
      <c r="C285" t="s">
        <v>55</v>
      </c>
      <c r="D285">
        <v>1105360307</v>
      </c>
      <c r="E285" t="s">
        <v>76</v>
      </c>
      <c r="F285">
        <v>22</v>
      </c>
      <c r="G285" t="b">
        <v>1</v>
      </c>
      <c r="H285" t="s">
        <v>397</v>
      </c>
      <c r="I285" t="s">
        <v>160</v>
      </c>
      <c r="J285" t="s">
        <v>132</v>
      </c>
      <c r="K285" t="s">
        <v>654</v>
      </c>
      <c r="L285" t="s">
        <v>132</v>
      </c>
      <c r="M285" t="s">
        <v>1357</v>
      </c>
      <c r="N285" t="b">
        <v>0</v>
      </c>
      <c r="O285" t="b">
        <v>0</v>
      </c>
      <c r="P285" t="s">
        <v>61</v>
      </c>
      <c r="Q285" t="s">
        <v>144</v>
      </c>
      <c r="R285" t="s">
        <v>125</v>
      </c>
      <c r="W285" t="s">
        <v>125</v>
      </c>
      <c r="X285" t="s">
        <v>332</v>
      </c>
      <c r="AB285" t="b">
        <v>0</v>
      </c>
      <c r="AC285" t="b">
        <v>0</v>
      </c>
      <c r="AE285" t="b">
        <v>0</v>
      </c>
      <c r="AG285" t="b">
        <v>0</v>
      </c>
      <c r="AI285" t="b">
        <v>0</v>
      </c>
      <c r="AK285" t="s">
        <v>202</v>
      </c>
      <c r="AL285" t="s">
        <v>66</v>
      </c>
      <c r="AM285" s="3">
        <v>46277</v>
      </c>
      <c r="AN285" s="4">
        <v>0.49034722222222221</v>
      </c>
      <c r="AO285" t="s">
        <v>1358</v>
      </c>
      <c r="AP285" t="s">
        <v>1359</v>
      </c>
      <c r="AQ285" t="s">
        <v>69</v>
      </c>
      <c r="AR285">
        <v>92.5</v>
      </c>
      <c r="AS285" t="s">
        <v>70</v>
      </c>
      <c r="AT285" t="s">
        <v>382</v>
      </c>
      <c r="AU285" t="s">
        <v>72</v>
      </c>
      <c r="AV285" t="s">
        <v>73</v>
      </c>
      <c r="AW285" t="str">
        <f t="shared" si="8"/>
        <v>Química Farmacéutica</v>
      </c>
      <c r="AX285" t="str">
        <f t="shared" si="9"/>
        <v>322 5690748</v>
      </c>
      <c r="AY285" t="str">
        <f>IFERROR(INDEX(Vacantes!$C:$C,MATCH(AT285,Vacantes!$A:$A,0)),"")</f>
        <v>Cervecería del Valle</v>
      </c>
      <c r="AZ285" t="str">
        <f>IFERROR(INDEX(Vacantes!$D:$D,MATCH(AT285,Vacantes!$A:$A,0)),"")</f>
        <v>21 de octubre de 2026</v>
      </c>
      <c r="BA285" t="str">
        <f>IFERROR(INDEX(Vacantes!$E:$E,MATCH(AT285,Vacantes!$A:$A,0)),"")</f>
        <v>7:30 a.m. a 11:30 a.m.</v>
      </c>
    </row>
    <row r="286" spans="1:53" x14ac:dyDescent="0.15">
      <c r="A286" t="s">
        <v>1382</v>
      </c>
      <c r="B286" t="s">
        <v>1383</v>
      </c>
      <c r="C286" t="s">
        <v>55</v>
      </c>
      <c r="D286">
        <v>1107042882</v>
      </c>
      <c r="E286" t="s">
        <v>76</v>
      </c>
      <c r="F286">
        <v>21</v>
      </c>
      <c r="G286" t="b">
        <v>1</v>
      </c>
      <c r="H286" t="s">
        <v>397</v>
      </c>
      <c r="I286" t="s">
        <v>160</v>
      </c>
      <c r="J286" t="s">
        <v>401</v>
      </c>
      <c r="L286" t="s">
        <v>143</v>
      </c>
      <c r="N286" t="b">
        <v>0</v>
      </c>
      <c r="O286" t="b">
        <v>0</v>
      </c>
      <c r="P286" t="s">
        <v>60</v>
      </c>
      <c r="Q286" t="s">
        <v>60</v>
      </c>
      <c r="R286" t="s">
        <v>125</v>
      </c>
      <c r="W286" t="s">
        <v>125</v>
      </c>
      <c r="X286" t="s">
        <v>306</v>
      </c>
      <c r="AB286" t="b">
        <v>0</v>
      </c>
      <c r="AC286" t="b">
        <v>0</v>
      </c>
      <c r="AE286" t="b">
        <v>0</v>
      </c>
      <c r="AG286" t="b">
        <v>0</v>
      </c>
      <c r="AI286" t="b">
        <v>0</v>
      </c>
      <c r="AK286" t="s">
        <v>202</v>
      </c>
      <c r="AL286" t="s">
        <v>66</v>
      </c>
      <c r="AM286" s="3">
        <v>46278</v>
      </c>
      <c r="AN286" s="4">
        <v>0.48541666666666672</v>
      </c>
      <c r="AO286" t="s">
        <v>1384</v>
      </c>
      <c r="AP286" t="s">
        <v>1385</v>
      </c>
      <c r="AQ286" t="s">
        <v>69</v>
      </c>
      <c r="AR286">
        <v>93.2</v>
      </c>
      <c r="AS286" t="s">
        <v>70</v>
      </c>
      <c r="AT286" t="s">
        <v>580</v>
      </c>
      <c r="AU286" t="s">
        <v>221</v>
      </c>
      <c r="AV286" t="s">
        <v>73</v>
      </c>
      <c r="AW286" t="str">
        <f t="shared" si="8"/>
        <v>Ingeniería Industrial</v>
      </c>
      <c r="AX286" t="str">
        <f t="shared" si="9"/>
        <v>315 4901789</v>
      </c>
      <c r="AY286" t="str">
        <f>IFERROR(INDEX(Vacantes!$C:$C,MATCH(AT286,Vacantes!$A:$A,0)),"")</f>
        <v>Cervecería del Valle</v>
      </c>
      <c r="AZ286" t="str">
        <f>IFERROR(INDEX(Vacantes!$D:$D,MATCH(AT286,Vacantes!$A:$A,0)),"")</f>
        <v>21 de octubre de 2026</v>
      </c>
      <c r="BA286" t="str">
        <f>IFERROR(INDEX(Vacantes!$E:$E,MATCH(AT286,Vacantes!$A:$A,0)),"")</f>
        <v>7:30 a.m. a 11:30 a.m.</v>
      </c>
    </row>
    <row r="287" spans="1:53" x14ac:dyDescent="0.15">
      <c r="A287" t="s">
        <v>1391</v>
      </c>
      <c r="B287" t="s">
        <v>1392</v>
      </c>
      <c r="C287" t="s">
        <v>55</v>
      </c>
      <c r="D287">
        <v>1059354950</v>
      </c>
      <c r="E287" t="s">
        <v>76</v>
      </c>
      <c r="F287">
        <v>20</v>
      </c>
      <c r="G287" t="b">
        <v>1</v>
      </c>
      <c r="H287" t="s">
        <v>397</v>
      </c>
      <c r="I287" t="s">
        <v>160</v>
      </c>
      <c r="J287" t="s">
        <v>132</v>
      </c>
      <c r="K287" t="s">
        <v>1320</v>
      </c>
      <c r="L287" t="s">
        <v>132</v>
      </c>
      <c r="M287" t="s">
        <v>1393</v>
      </c>
      <c r="N287" t="b">
        <v>0</v>
      </c>
      <c r="O287" t="b">
        <v>0</v>
      </c>
      <c r="P287" t="s">
        <v>144</v>
      </c>
      <c r="Q287" t="s">
        <v>60</v>
      </c>
      <c r="R287" t="s">
        <v>125</v>
      </c>
      <c r="W287" t="s">
        <v>125</v>
      </c>
      <c r="X287" t="s">
        <v>306</v>
      </c>
      <c r="AB287" t="b">
        <v>0</v>
      </c>
      <c r="AC287" t="b">
        <v>0</v>
      </c>
      <c r="AE287" t="b">
        <v>0</v>
      </c>
      <c r="AG287" t="b">
        <v>0</v>
      </c>
      <c r="AI287" t="b">
        <v>0</v>
      </c>
      <c r="AK287" t="s">
        <v>94</v>
      </c>
      <c r="AL287" t="s">
        <v>66</v>
      </c>
      <c r="AM287" s="3">
        <v>46271</v>
      </c>
      <c r="AN287" s="4">
        <v>0.72024305555555557</v>
      </c>
      <c r="AO287" t="s">
        <v>1394</v>
      </c>
      <c r="AP287" t="s">
        <v>1395</v>
      </c>
      <c r="AQ287" t="s">
        <v>69</v>
      </c>
      <c r="AR287">
        <v>89.4</v>
      </c>
      <c r="AS287" t="s">
        <v>70</v>
      </c>
      <c r="AT287" t="s">
        <v>651</v>
      </c>
      <c r="AU287" t="s">
        <v>221</v>
      </c>
      <c r="AV287" t="s">
        <v>73</v>
      </c>
      <c r="AW287" t="str">
        <f t="shared" si="8"/>
        <v>INGENIERÍA BIOQUÍMICA</v>
      </c>
      <c r="AX287" t="str">
        <f t="shared" si="9"/>
        <v>320 4347215</v>
      </c>
      <c r="AY287" t="str">
        <f>IFERROR(INDEX(Vacantes!$C:$C,MATCH(AT287,Vacantes!$A:$A,0)),"")</f>
        <v>Cervecería del Valle</v>
      </c>
      <c r="AZ287" t="str">
        <f>IFERROR(INDEX(Vacantes!$D:$D,MATCH(AT287,Vacantes!$A:$A,0)),"")</f>
        <v>21 de octubre de 2026</v>
      </c>
      <c r="BA287" t="str">
        <f>IFERROR(INDEX(Vacantes!$E:$E,MATCH(AT287,Vacantes!$A:$A,0)),"")</f>
        <v>7:30 a.m. a 11:30 a.m.</v>
      </c>
    </row>
    <row r="288" spans="1:53" x14ac:dyDescent="0.15">
      <c r="A288" t="s">
        <v>1396</v>
      </c>
      <c r="B288" t="s">
        <v>1397</v>
      </c>
      <c r="C288" t="s">
        <v>55</v>
      </c>
      <c r="D288">
        <v>1192724020</v>
      </c>
      <c r="E288" t="s">
        <v>76</v>
      </c>
      <c r="F288">
        <v>24</v>
      </c>
      <c r="G288" t="b">
        <v>1</v>
      </c>
      <c r="H288" t="s">
        <v>397</v>
      </c>
      <c r="I288" t="s">
        <v>160</v>
      </c>
      <c r="J288" t="s">
        <v>401</v>
      </c>
      <c r="L288" t="s">
        <v>640</v>
      </c>
      <c r="N288" t="b">
        <v>0</v>
      </c>
      <c r="O288" t="b">
        <v>0</v>
      </c>
      <c r="P288" t="s">
        <v>60</v>
      </c>
      <c r="Q288" t="s">
        <v>60</v>
      </c>
      <c r="R288" t="s">
        <v>125</v>
      </c>
      <c r="W288" t="s">
        <v>125</v>
      </c>
      <c r="X288" t="s">
        <v>306</v>
      </c>
      <c r="AB288" t="b">
        <v>0</v>
      </c>
      <c r="AC288" t="b">
        <v>0</v>
      </c>
      <c r="AE288" t="b">
        <v>0</v>
      </c>
      <c r="AG288" t="b">
        <v>0</v>
      </c>
      <c r="AI288" t="b">
        <v>0</v>
      </c>
      <c r="AK288" t="s">
        <v>202</v>
      </c>
      <c r="AL288" t="s">
        <v>66</v>
      </c>
      <c r="AM288" s="3">
        <v>46277</v>
      </c>
      <c r="AN288" s="4">
        <v>0.51599537037037035</v>
      </c>
      <c r="AO288" t="s">
        <v>1398</v>
      </c>
      <c r="AP288" t="s">
        <v>1399</v>
      </c>
      <c r="AQ288" t="s">
        <v>69</v>
      </c>
      <c r="AR288">
        <v>92.4</v>
      </c>
      <c r="AS288" t="s">
        <v>70</v>
      </c>
      <c r="AT288" t="s">
        <v>651</v>
      </c>
      <c r="AU288" t="s">
        <v>221</v>
      </c>
      <c r="AV288" t="s">
        <v>73</v>
      </c>
      <c r="AW288" t="str">
        <f t="shared" si="8"/>
        <v>Ingeniería Electrónica</v>
      </c>
      <c r="AX288" t="str">
        <f t="shared" si="9"/>
        <v>322 8629829</v>
      </c>
      <c r="AY288" t="str">
        <f>IFERROR(INDEX(Vacantes!$C:$C,MATCH(AT288,Vacantes!$A:$A,0)),"")</f>
        <v>Cervecería del Valle</v>
      </c>
      <c r="AZ288" t="str">
        <f>IFERROR(INDEX(Vacantes!$D:$D,MATCH(AT288,Vacantes!$A:$A,0)),"")</f>
        <v>21 de octubre de 2026</v>
      </c>
      <c r="BA288" t="str">
        <f>IFERROR(INDEX(Vacantes!$E:$E,MATCH(AT288,Vacantes!$A:$A,0)),"")</f>
        <v>7:30 a.m. a 11:30 a.m.</v>
      </c>
    </row>
    <row r="289" spans="1:53" x14ac:dyDescent="0.15">
      <c r="A289" t="s">
        <v>1400</v>
      </c>
      <c r="B289" t="s">
        <v>1401</v>
      </c>
      <c r="C289" t="s">
        <v>55</v>
      </c>
      <c r="D289">
        <v>1006098987</v>
      </c>
      <c r="G289" t="b">
        <v>1</v>
      </c>
      <c r="H289" t="s">
        <v>159</v>
      </c>
      <c r="J289" t="s">
        <v>132</v>
      </c>
      <c r="K289" t="s">
        <v>385</v>
      </c>
      <c r="L289" t="s">
        <v>132</v>
      </c>
      <c r="M289" t="s">
        <v>386</v>
      </c>
      <c r="P289" t="s">
        <v>61</v>
      </c>
      <c r="AL289" t="s">
        <v>66</v>
      </c>
      <c r="AO289" t="s">
        <v>1402</v>
      </c>
      <c r="AP289" t="s">
        <v>656</v>
      </c>
      <c r="AT289" t="s">
        <v>651</v>
      </c>
      <c r="AU289" t="s">
        <v>221</v>
      </c>
      <c r="AV289" t="s">
        <v>184</v>
      </c>
      <c r="AW289" t="str">
        <f t="shared" si="8"/>
        <v>Ingeniería Bioquímica</v>
      </c>
      <c r="AX289" t="str">
        <f t="shared" si="9"/>
        <v>315 8803198</v>
      </c>
      <c r="AY289" t="str">
        <f>IFERROR(INDEX(Vacantes!$C:$C,MATCH(AT289,Vacantes!$A:$A,0)),"")</f>
        <v>Cervecería del Valle</v>
      </c>
      <c r="AZ289" t="str">
        <f>IFERROR(INDEX(Vacantes!$D:$D,MATCH(AT289,Vacantes!$A:$A,0)),"")</f>
        <v>21 de octubre de 2026</v>
      </c>
      <c r="BA289" t="str">
        <f>IFERROR(INDEX(Vacantes!$E:$E,MATCH(AT289,Vacantes!$A:$A,0)),"")</f>
        <v>7:30 a.m. a 11:30 a.m.</v>
      </c>
    </row>
    <row r="290" spans="1:53" x14ac:dyDescent="0.15">
      <c r="A290" t="s">
        <v>1403</v>
      </c>
      <c r="B290" t="s">
        <v>1404</v>
      </c>
      <c r="C290" t="s">
        <v>55</v>
      </c>
      <c r="D290">
        <v>1105363383</v>
      </c>
      <c r="G290" t="b">
        <v>1</v>
      </c>
      <c r="H290" t="s">
        <v>159</v>
      </c>
      <c r="J290" t="s">
        <v>132</v>
      </c>
      <c r="K290" t="s">
        <v>385</v>
      </c>
      <c r="L290" t="s">
        <v>132</v>
      </c>
      <c r="M290" t="s">
        <v>386</v>
      </c>
      <c r="P290" t="s">
        <v>60</v>
      </c>
      <c r="AL290" t="s">
        <v>66</v>
      </c>
      <c r="AO290" t="s">
        <v>1405</v>
      </c>
      <c r="AP290" t="s">
        <v>656</v>
      </c>
      <c r="AT290" t="s">
        <v>651</v>
      </c>
      <c r="AU290" t="s">
        <v>221</v>
      </c>
      <c r="AV290" t="s">
        <v>184</v>
      </c>
      <c r="AW290" t="str">
        <f t="shared" si="8"/>
        <v>Ingeniería Bioquímica</v>
      </c>
      <c r="AX290" t="str">
        <f t="shared" si="9"/>
        <v>317 4951986</v>
      </c>
      <c r="AY290" t="str">
        <f>IFERROR(INDEX(Vacantes!$C:$C,MATCH(AT290,Vacantes!$A:$A,0)),"")</f>
        <v>Cervecería del Valle</v>
      </c>
      <c r="AZ290" t="str">
        <f>IFERROR(INDEX(Vacantes!$D:$D,MATCH(AT290,Vacantes!$A:$A,0)),"")</f>
        <v>21 de octubre de 2026</v>
      </c>
      <c r="BA290" t="str">
        <f>IFERROR(INDEX(Vacantes!$E:$E,MATCH(AT290,Vacantes!$A:$A,0)),"")</f>
        <v>7:30 a.m. a 11:30 a.m.</v>
      </c>
    </row>
    <row r="291" spans="1:53" x14ac:dyDescent="0.15">
      <c r="A291" t="s">
        <v>1406</v>
      </c>
      <c r="B291" t="s">
        <v>1407</v>
      </c>
      <c r="C291" t="s">
        <v>55</v>
      </c>
      <c r="D291">
        <v>1115574468</v>
      </c>
      <c r="E291" t="s">
        <v>56</v>
      </c>
      <c r="F291">
        <v>21</v>
      </c>
      <c r="G291" t="b">
        <v>1</v>
      </c>
      <c r="I291" t="s">
        <v>160</v>
      </c>
      <c r="J291" t="s">
        <v>401</v>
      </c>
      <c r="L291" t="s">
        <v>305</v>
      </c>
      <c r="N291" t="b">
        <v>0</v>
      </c>
      <c r="O291" t="b">
        <v>0</v>
      </c>
      <c r="P291" t="s">
        <v>60</v>
      </c>
      <c r="Q291" t="s">
        <v>60</v>
      </c>
      <c r="R291" t="s">
        <v>125</v>
      </c>
      <c r="W291" t="s">
        <v>125</v>
      </c>
      <c r="X291" t="s">
        <v>145</v>
      </c>
      <c r="AB291" t="b">
        <v>0</v>
      </c>
      <c r="AC291" t="b">
        <v>0</v>
      </c>
      <c r="AE291" t="b">
        <v>0</v>
      </c>
      <c r="AG291" t="b">
        <v>0</v>
      </c>
      <c r="AI291" t="b">
        <v>0</v>
      </c>
      <c r="AK291" t="s">
        <v>94</v>
      </c>
      <c r="AL291" t="s">
        <v>66</v>
      </c>
      <c r="AM291" s="3">
        <v>46277</v>
      </c>
      <c r="AN291" s="4">
        <v>0.91175925925925927</v>
      </c>
      <c r="AO291" t="s">
        <v>1408</v>
      </c>
      <c r="AP291" t="s">
        <v>1409</v>
      </c>
      <c r="AQ291" t="s">
        <v>69</v>
      </c>
      <c r="AR291">
        <v>83.7</v>
      </c>
      <c r="AS291" t="s">
        <v>70</v>
      </c>
      <c r="AT291" t="s">
        <v>695</v>
      </c>
      <c r="AU291" t="s">
        <v>221</v>
      </c>
      <c r="AV291" t="s">
        <v>73</v>
      </c>
      <c r="AW291" t="str">
        <f t="shared" si="8"/>
        <v>Ingeniería Química</v>
      </c>
      <c r="AX291" t="str">
        <f t="shared" si="9"/>
        <v>315 4069847</v>
      </c>
      <c r="AY291" t="str">
        <f>IFERROR(INDEX(Vacantes!$C:$C,MATCH(AT291,Vacantes!$A:$A,0)),"")</f>
        <v>Cervecería del Valle</v>
      </c>
      <c r="AZ291" t="str">
        <f>IFERROR(INDEX(Vacantes!$D:$D,MATCH(AT291,Vacantes!$A:$A,0)),"")</f>
        <v>21 de octubre de 2026</v>
      </c>
      <c r="BA291" t="str">
        <f>IFERROR(INDEX(Vacantes!$E:$E,MATCH(AT291,Vacantes!$A:$A,0)),"")</f>
        <v>7:30 a.m. a 11:30 a.m.</v>
      </c>
    </row>
    <row r="292" spans="1:53" x14ac:dyDescent="0.15">
      <c r="A292" t="s">
        <v>1410</v>
      </c>
      <c r="B292" t="s">
        <v>1411</v>
      </c>
      <c r="C292" t="s">
        <v>55</v>
      </c>
      <c r="D292">
        <v>1193324017</v>
      </c>
      <c r="E292" t="s">
        <v>56</v>
      </c>
      <c r="F292">
        <v>23</v>
      </c>
      <c r="G292" t="b">
        <v>1</v>
      </c>
      <c r="H292" t="s">
        <v>397</v>
      </c>
      <c r="I292" t="s">
        <v>160</v>
      </c>
      <c r="J292" t="s">
        <v>132</v>
      </c>
      <c r="K292" t="s">
        <v>704</v>
      </c>
      <c r="L292" t="s">
        <v>124</v>
      </c>
      <c r="N292" t="b">
        <v>1</v>
      </c>
      <c r="O292" t="b">
        <v>0</v>
      </c>
      <c r="P292" t="s">
        <v>60</v>
      </c>
      <c r="Q292" t="s">
        <v>60</v>
      </c>
      <c r="R292" t="s">
        <v>62</v>
      </c>
      <c r="W292" t="s">
        <v>125</v>
      </c>
      <c r="X292" t="s">
        <v>145</v>
      </c>
      <c r="AB292" t="b">
        <v>0</v>
      </c>
      <c r="AC292" t="b">
        <v>0</v>
      </c>
      <c r="AE292" t="b">
        <v>0</v>
      </c>
      <c r="AG292" t="b">
        <v>0</v>
      </c>
      <c r="AI292" t="b">
        <v>0</v>
      </c>
      <c r="AK292" t="s">
        <v>65</v>
      </c>
      <c r="AL292" t="s">
        <v>66</v>
      </c>
      <c r="AM292" s="3">
        <v>46278</v>
      </c>
      <c r="AN292" s="4">
        <v>0.7018402777777778</v>
      </c>
      <c r="AO292" t="s">
        <v>1412</v>
      </c>
      <c r="AP292" t="s">
        <v>1413</v>
      </c>
      <c r="AQ292" t="s">
        <v>69</v>
      </c>
      <c r="AR292">
        <v>78.8</v>
      </c>
      <c r="AS292" t="s">
        <v>70</v>
      </c>
      <c r="AT292" t="s">
        <v>695</v>
      </c>
      <c r="AU292" t="s">
        <v>221</v>
      </c>
      <c r="AV292" t="s">
        <v>73</v>
      </c>
      <c r="AW292" t="str">
        <f t="shared" si="8"/>
        <v>Ingeniería Mecatrónica</v>
      </c>
      <c r="AX292" t="str">
        <f t="shared" si="9"/>
        <v>324 5771142</v>
      </c>
      <c r="AY292" t="str">
        <f>IFERROR(INDEX(Vacantes!$C:$C,MATCH(AT292,Vacantes!$A:$A,0)),"")</f>
        <v>Cervecería del Valle</v>
      </c>
      <c r="AZ292" t="str">
        <f>IFERROR(INDEX(Vacantes!$D:$D,MATCH(AT292,Vacantes!$A:$A,0)),"")</f>
        <v>21 de octubre de 2026</v>
      </c>
      <c r="BA292" t="str">
        <f>IFERROR(INDEX(Vacantes!$E:$E,MATCH(AT292,Vacantes!$A:$A,0)),"")</f>
        <v>7:30 a.m. a 11:30 a.m.</v>
      </c>
    </row>
    <row r="293" spans="1:53" x14ac:dyDescent="0.15">
      <c r="A293" t="s">
        <v>1462</v>
      </c>
      <c r="B293" t="s">
        <v>1463</v>
      </c>
      <c r="C293" t="s">
        <v>55</v>
      </c>
      <c r="D293">
        <v>1097093780</v>
      </c>
      <c r="E293" t="s">
        <v>76</v>
      </c>
      <c r="F293">
        <v>21</v>
      </c>
      <c r="G293" t="b">
        <v>1</v>
      </c>
      <c r="I293" t="s">
        <v>213</v>
      </c>
      <c r="J293" t="s">
        <v>539</v>
      </c>
      <c r="L293" t="s">
        <v>612</v>
      </c>
      <c r="N293" t="b">
        <v>0</v>
      </c>
      <c r="O293" t="b">
        <v>0</v>
      </c>
      <c r="P293" t="s">
        <v>61</v>
      </c>
      <c r="Q293" t="s">
        <v>61</v>
      </c>
      <c r="R293" t="s">
        <v>125</v>
      </c>
      <c r="W293" t="s">
        <v>125</v>
      </c>
      <c r="X293" t="s">
        <v>306</v>
      </c>
      <c r="AB293" t="b">
        <v>0</v>
      </c>
      <c r="AC293" t="b">
        <v>0</v>
      </c>
      <c r="AE293" t="b">
        <v>0</v>
      </c>
      <c r="AG293" t="b">
        <v>0</v>
      </c>
      <c r="AI293" t="b">
        <v>0</v>
      </c>
      <c r="AK293" t="s">
        <v>202</v>
      </c>
      <c r="AL293" t="s">
        <v>66</v>
      </c>
      <c r="AM293" s="3">
        <v>46278</v>
      </c>
      <c r="AN293" s="4">
        <v>0.56782407407407409</v>
      </c>
      <c r="AO293" t="s">
        <v>1464</v>
      </c>
      <c r="AP293" t="s">
        <v>1074</v>
      </c>
      <c r="AQ293" t="s">
        <v>69</v>
      </c>
      <c r="AR293">
        <v>91.3</v>
      </c>
      <c r="AS293" t="s">
        <v>70</v>
      </c>
      <c r="AT293" t="s">
        <v>1071</v>
      </c>
      <c r="AU293" t="s">
        <v>221</v>
      </c>
      <c r="AV293" t="s">
        <v>184</v>
      </c>
      <c r="AW293" t="str">
        <f t="shared" si="8"/>
        <v>Ingeniería Mecánica</v>
      </c>
      <c r="AX293" t="str">
        <f t="shared" si="9"/>
        <v>318 8620569</v>
      </c>
      <c r="AY293" t="str">
        <f>IFERROR(INDEX(Vacantes!$C:$C,MATCH(AT293,Vacantes!$A:$A,0)),"")</f>
        <v>Cervecería de Bucaramanga</v>
      </c>
      <c r="AZ293" t="str">
        <f>IFERROR(INDEX(Vacantes!$D:$D,MATCH(AT293,Vacantes!$A:$A,0)),"")</f>
        <v>21 de octubre de 2026</v>
      </c>
      <c r="BA293" t="str">
        <f>IFERROR(INDEX(Vacantes!$E:$E,MATCH(AT293,Vacantes!$A:$A,0)),"")</f>
        <v>7:30 a.m. a 12:00 p.m.</v>
      </c>
    </row>
    <row r="294" spans="1:53" x14ac:dyDescent="0.15">
      <c r="A294" t="s">
        <v>1472</v>
      </c>
      <c r="B294" t="s">
        <v>1473</v>
      </c>
      <c r="C294" t="s">
        <v>55</v>
      </c>
      <c r="D294">
        <v>1010036742</v>
      </c>
      <c r="E294" t="s">
        <v>76</v>
      </c>
      <c r="F294">
        <v>26</v>
      </c>
      <c r="G294" t="b">
        <v>1</v>
      </c>
      <c r="H294" t="s">
        <v>397</v>
      </c>
      <c r="I294" t="s">
        <v>160</v>
      </c>
      <c r="J294" t="s">
        <v>161</v>
      </c>
      <c r="L294" t="s">
        <v>277</v>
      </c>
      <c r="N294" t="b">
        <v>0</v>
      </c>
      <c r="O294" t="b">
        <v>0</v>
      </c>
      <c r="P294" t="s">
        <v>61</v>
      </c>
      <c r="Q294" t="s">
        <v>60</v>
      </c>
      <c r="R294" t="s">
        <v>64</v>
      </c>
      <c r="W294" t="s">
        <v>89</v>
      </c>
      <c r="Z294" t="s">
        <v>151</v>
      </c>
      <c r="AB294" t="b">
        <v>0</v>
      </c>
      <c r="AC294" t="b">
        <v>0</v>
      </c>
      <c r="AE294" t="b">
        <v>0</v>
      </c>
      <c r="AG294" t="b">
        <v>0</v>
      </c>
      <c r="AI294" t="b">
        <v>0</v>
      </c>
      <c r="AK294" t="s">
        <v>153</v>
      </c>
      <c r="AL294" t="s">
        <v>66</v>
      </c>
      <c r="AM294" s="3">
        <v>46277</v>
      </c>
      <c r="AN294" s="4">
        <v>0.59870370370370374</v>
      </c>
      <c r="AO294" t="s">
        <v>1474</v>
      </c>
      <c r="AP294" t="s">
        <v>1475</v>
      </c>
      <c r="AQ294" t="s">
        <v>69</v>
      </c>
      <c r="AR294">
        <v>75.900000000000006</v>
      </c>
      <c r="AS294" t="s">
        <v>70</v>
      </c>
      <c r="AT294" t="s">
        <v>1117</v>
      </c>
      <c r="AU294" t="s">
        <v>221</v>
      </c>
      <c r="AV294" t="s">
        <v>184</v>
      </c>
      <c r="AW294" t="str">
        <f t="shared" si="8"/>
        <v>Psicología</v>
      </c>
      <c r="AX294" t="str">
        <f t="shared" si="9"/>
        <v>316 5067860</v>
      </c>
      <c r="AY294" t="str">
        <f>IFERROR(INDEX(Vacantes!$C:$C,MATCH(AT294,Vacantes!$A:$A,0)),"")</f>
        <v>Cervecería del Valle</v>
      </c>
      <c r="AZ294" t="str">
        <f>IFERROR(INDEX(Vacantes!$D:$D,MATCH(AT294,Vacantes!$A:$A,0)),"")</f>
        <v>21 de octubre de 2026</v>
      </c>
      <c r="BA294" t="str">
        <f>IFERROR(INDEX(Vacantes!$E:$E,MATCH(AT294,Vacantes!$A:$A,0)),"")</f>
        <v>7:30 a.m. a 11:30 a.m.</v>
      </c>
    </row>
    <row r="295" spans="1:53" x14ac:dyDescent="0.15">
      <c r="A295" t="s">
        <v>1480</v>
      </c>
      <c r="B295" t="s">
        <v>1481</v>
      </c>
      <c r="C295" t="s">
        <v>55</v>
      </c>
      <c r="D295">
        <v>1005479785</v>
      </c>
      <c r="E295" t="s">
        <v>76</v>
      </c>
      <c r="F295">
        <v>24</v>
      </c>
      <c r="G295" t="b">
        <v>1</v>
      </c>
      <c r="H295" t="s">
        <v>1482</v>
      </c>
      <c r="I295" t="s">
        <v>213</v>
      </c>
      <c r="J295" t="s">
        <v>132</v>
      </c>
      <c r="K295" t="s">
        <v>1483</v>
      </c>
      <c r="L295" t="s">
        <v>107</v>
      </c>
      <c r="N295" t="b">
        <v>1</v>
      </c>
      <c r="O295" t="b">
        <v>0</v>
      </c>
      <c r="P295" t="s">
        <v>144</v>
      </c>
      <c r="Q295" t="s">
        <v>60</v>
      </c>
      <c r="R295" t="s">
        <v>244</v>
      </c>
      <c r="W295" t="s">
        <v>135</v>
      </c>
      <c r="AB295" t="b">
        <v>0</v>
      </c>
      <c r="AC295" t="b">
        <v>0</v>
      </c>
      <c r="AE295" t="b">
        <v>0</v>
      </c>
      <c r="AG295" t="b">
        <v>0</v>
      </c>
      <c r="AI295" t="b">
        <v>0</v>
      </c>
      <c r="AK295" t="s">
        <v>94</v>
      </c>
      <c r="AL295" t="s">
        <v>66</v>
      </c>
      <c r="AM295" s="3">
        <v>46261</v>
      </c>
      <c r="AN295" s="4">
        <v>0.39112268518518523</v>
      </c>
      <c r="AO295">
        <v>3105656315</v>
      </c>
      <c r="AP295" t="s">
        <v>1484</v>
      </c>
      <c r="AQ295" t="s">
        <v>69</v>
      </c>
      <c r="AR295">
        <v>82.5</v>
      </c>
      <c r="AS295" t="s">
        <v>70</v>
      </c>
      <c r="AT295" t="s">
        <v>216</v>
      </c>
      <c r="AU295" t="s">
        <v>221</v>
      </c>
      <c r="AV295" t="s">
        <v>184</v>
      </c>
      <c r="AW295" t="str">
        <f t="shared" si="8"/>
        <v>Administración de Empresas</v>
      </c>
      <c r="AX295" t="str">
        <f t="shared" si="9"/>
        <v>3105656315</v>
      </c>
      <c r="AY295" t="str">
        <f>IFERROR(INDEX(Vacantes!$C:$C,MATCH(AT295,Vacantes!$A:$A,0)),"")</f>
        <v>Cervecería de Bucaramanga</v>
      </c>
      <c r="AZ295" t="str">
        <f>IFERROR(INDEX(Vacantes!$D:$D,MATCH(AT295,Vacantes!$A:$A,0)),"")</f>
        <v>21 de octubre de 2026</v>
      </c>
      <c r="BA295" t="str">
        <f>IFERROR(INDEX(Vacantes!$E:$E,MATCH(AT295,Vacantes!$A:$A,0)),"")</f>
        <v>7:30 a.m. a 12:00 p.m.</v>
      </c>
    </row>
    <row r="296" spans="1:53" x14ac:dyDescent="0.15">
      <c r="A296" t="s">
        <v>1611</v>
      </c>
      <c r="B296" t="s">
        <v>1612</v>
      </c>
      <c r="C296" t="s">
        <v>55</v>
      </c>
      <c r="D296">
        <v>1058932795</v>
      </c>
      <c r="E296" t="s">
        <v>56</v>
      </c>
      <c r="F296">
        <v>20</v>
      </c>
      <c r="G296" t="b">
        <v>1</v>
      </c>
      <c r="H296" t="s">
        <v>662</v>
      </c>
      <c r="I296" t="s">
        <v>160</v>
      </c>
      <c r="J296" t="s">
        <v>413</v>
      </c>
      <c r="L296" t="s">
        <v>339</v>
      </c>
      <c r="N296" t="b">
        <v>1</v>
      </c>
      <c r="O296" t="b">
        <v>0</v>
      </c>
      <c r="P296" t="s">
        <v>60</v>
      </c>
      <c r="Q296" t="s">
        <v>61</v>
      </c>
      <c r="R296" t="s">
        <v>62</v>
      </c>
      <c r="W296" t="s">
        <v>125</v>
      </c>
      <c r="X296" t="s">
        <v>315</v>
      </c>
      <c r="AB296" t="b">
        <v>0</v>
      </c>
      <c r="AC296" t="b">
        <v>0</v>
      </c>
      <c r="AE296" t="b">
        <v>0</v>
      </c>
      <c r="AG296" t="b">
        <v>0</v>
      </c>
      <c r="AI296" t="b">
        <v>0</v>
      </c>
      <c r="AK296" t="s">
        <v>94</v>
      </c>
      <c r="AL296" t="s">
        <v>66</v>
      </c>
      <c r="AM296" s="3">
        <v>46277</v>
      </c>
      <c r="AN296" s="4">
        <v>0.63894675925925926</v>
      </c>
      <c r="AO296" t="s">
        <v>1613</v>
      </c>
      <c r="AP296" t="s">
        <v>1614</v>
      </c>
      <c r="AQ296" t="s">
        <v>69</v>
      </c>
      <c r="AR296">
        <v>77.5</v>
      </c>
      <c r="AS296" t="s">
        <v>70</v>
      </c>
      <c r="AT296" t="s">
        <v>382</v>
      </c>
      <c r="AV296" t="s">
        <v>73</v>
      </c>
      <c r="AW296" t="str">
        <f t="shared" si="8"/>
        <v>Química</v>
      </c>
      <c r="AX296" t="str">
        <f t="shared" si="9"/>
        <v>304 4167324</v>
      </c>
      <c r="AY296" t="str">
        <f>IFERROR(INDEX(Vacantes!$C:$C,MATCH(AT296,Vacantes!$A:$A,0)),"")</f>
        <v>Cervecería del Valle</v>
      </c>
      <c r="AZ296" t="str">
        <f>IFERROR(INDEX(Vacantes!$D:$D,MATCH(AT296,Vacantes!$A:$A,0)),"")</f>
        <v>21 de octubre de 2026</v>
      </c>
      <c r="BA296" t="str">
        <f>IFERROR(INDEX(Vacantes!$E:$E,MATCH(AT296,Vacantes!$A:$A,0)),"")</f>
        <v>7:30 a.m. a 11:30 a.m.</v>
      </c>
    </row>
    <row r="297" spans="1:53" x14ac:dyDescent="0.15">
      <c r="A297" t="s">
        <v>1615</v>
      </c>
      <c r="B297" t="s">
        <v>1616</v>
      </c>
      <c r="C297" t="s">
        <v>55</v>
      </c>
      <c r="D297">
        <v>1113152043</v>
      </c>
      <c r="E297" t="s">
        <v>56</v>
      </c>
      <c r="F297">
        <v>22</v>
      </c>
      <c r="G297" t="b">
        <v>1</v>
      </c>
      <c r="H297" t="s">
        <v>397</v>
      </c>
      <c r="I297" t="s">
        <v>160</v>
      </c>
      <c r="J297" t="s">
        <v>132</v>
      </c>
      <c r="K297" t="s">
        <v>1617</v>
      </c>
      <c r="L297" t="s">
        <v>143</v>
      </c>
      <c r="N297" t="b">
        <v>0</v>
      </c>
      <c r="O297" t="b">
        <v>0</v>
      </c>
      <c r="P297" t="s">
        <v>60</v>
      </c>
      <c r="Q297" t="s">
        <v>60</v>
      </c>
      <c r="R297" t="s">
        <v>125</v>
      </c>
      <c r="W297" t="s">
        <v>135</v>
      </c>
      <c r="AB297" t="b">
        <v>0</v>
      </c>
      <c r="AC297" t="b">
        <v>0</v>
      </c>
      <c r="AE297" t="b">
        <v>0</v>
      </c>
      <c r="AG297" t="b">
        <v>0</v>
      </c>
      <c r="AI297" t="b">
        <v>0</v>
      </c>
      <c r="AK297" t="s">
        <v>94</v>
      </c>
      <c r="AL297" t="s">
        <v>66</v>
      </c>
      <c r="AM297" s="3">
        <v>46277</v>
      </c>
      <c r="AN297" s="4">
        <v>0.6590625</v>
      </c>
      <c r="AO297">
        <v>3127386690</v>
      </c>
      <c r="AP297" t="s">
        <v>1618</v>
      </c>
      <c r="AQ297" t="s">
        <v>69</v>
      </c>
      <c r="AR297">
        <v>73.2</v>
      </c>
      <c r="AS297" t="s">
        <v>70</v>
      </c>
      <c r="AT297" t="s">
        <v>382</v>
      </c>
      <c r="AU297" t="s">
        <v>221</v>
      </c>
      <c r="AV297" t="s">
        <v>73</v>
      </c>
      <c r="AW297" t="str">
        <f t="shared" si="8"/>
        <v>Ingeniería Industrial</v>
      </c>
      <c r="AX297" t="str">
        <f t="shared" si="9"/>
        <v>3127386690</v>
      </c>
      <c r="AY297" t="str">
        <f>IFERROR(INDEX(Vacantes!$C:$C,MATCH(AT297,Vacantes!$A:$A,0)),"")</f>
        <v>Cervecería del Valle</v>
      </c>
      <c r="AZ297" t="str">
        <f>IFERROR(INDEX(Vacantes!$D:$D,MATCH(AT297,Vacantes!$A:$A,0)),"")</f>
        <v>21 de octubre de 2026</v>
      </c>
      <c r="BA297" t="str">
        <f>IFERROR(INDEX(Vacantes!$E:$E,MATCH(AT297,Vacantes!$A:$A,0)),"")</f>
        <v>7:30 a.m. a 11:30 a.m.</v>
      </c>
    </row>
    <row r="298" spans="1:53" x14ac:dyDescent="0.15">
      <c r="A298" t="s">
        <v>1771</v>
      </c>
      <c r="B298" t="s">
        <v>1772</v>
      </c>
      <c r="C298" t="s">
        <v>55</v>
      </c>
      <c r="D298">
        <v>1112220828</v>
      </c>
      <c r="E298" t="s">
        <v>56</v>
      </c>
      <c r="F298">
        <v>20</v>
      </c>
      <c r="G298" t="b">
        <v>1</v>
      </c>
      <c r="H298" t="s">
        <v>1773</v>
      </c>
      <c r="I298" t="s">
        <v>160</v>
      </c>
      <c r="J298" t="s">
        <v>132</v>
      </c>
      <c r="K298" t="s">
        <v>392</v>
      </c>
      <c r="L298" t="s">
        <v>305</v>
      </c>
      <c r="N298" t="b">
        <v>1</v>
      </c>
      <c r="O298" t="b">
        <v>0</v>
      </c>
      <c r="P298" t="s">
        <v>60</v>
      </c>
      <c r="Q298" t="s">
        <v>60</v>
      </c>
      <c r="R298" t="s">
        <v>125</v>
      </c>
      <c r="W298" t="s">
        <v>125</v>
      </c>
      <c r="X298" t="s">
        <v>306</v>
      </c>
      <c r="AB298" t="b">
        <v>0</v>
      </c>
      <c r="AC298" t="b">
        <v>0</v>
      </c>
      <c r="AE298" t="b">
        <v>0</v>
      </c>
      <c r="AG298" t="b">
        <v>0</v>
      </c>
      <c r="AI298" t="b">
        <v>0</v>
      </c>
      <c r="AK298" t="s">
        <v>94</v>
      </c>
      <c r="AL298" t="s">
        <v>66</v>
      </c>
      <c r="AM298" s="3">
        <v>46278</v>
      </c>
      <c r="AN298" s="4">
        <v>0.48241898148148149</v>
      </c>
      <c r="AO298" t="s">
        <v>1774</v>
      </c>
      <c r="AP298" t="s">
        <v>1775</v>
      </c>
      <c r="AQ298" t="s">
        <v>69</v>
      </c>
      <c r="AR298">
        <v>96.5</v>
      </c>
      <c r="AS298" t="s">
        <v>70</v>
      </c>
      <c r="AT298" t="s">
        <v>580</v>
      </c>
      <c r="AV298" t="s">
        <v>73</v>
      </c>
      <c r="AW298" t="str">
        <f t="shared" si="8"/>
        <v>Ingeniería Química</v>
      </c>
      <c r="AX298" t="str">
        <f t="shared" si="9"/>
        <v>313 7604357</v>
      </c>
      <c r="AY298" t="str">
        <f>IFERROR(INDEX(Vacantes!$C:$C,MATCH(AT298,Vacantes!$A:$A,0)),"")</f>
        <v>Cervecería del Valle</v>
      </c>
      <c r="AZ298" t="str">
        <f>IFERROR(INDEX(Vacantes!$D:$D,MATCH(AT298,Vacantes!$A:$A,0)),"")</f>
        <v>21 de octubre de 2026</v>
      </c>
      <c r="BA298" t="str">
        <f>IFERROR(INDEX(Vacantes!$E:$E,MATCH(AT298,Vacantes!$A:$A,0)),"")</f>
        <v>7:30 a.m. a 11:30 a.m.</v>
      </c>
    </row>
    <row r="299" spans="1:53" x14ac:dyDescent="0.15">
      <c r="A299" t="s">
        <v>1794</v>
      </c>
      <c r="B299" t="s">
        <v>1795</v>
      </c>
      <c r="C299" t="s">
        <v>55</v>
      </c>
      <c r="D299">
        <v>1105369065</v>
      </c>
      <c r="E299" t="s">
        <v>56</v>
      </c>
      <c r="F299">
        <v>19</v>
      </c>
      <c r="G299" t="b">
        <v>1</v>
      </c>
      <c r="H299" t="s">
        <v>397</v>
      </c>
      <c r="I299" t="s">
        <v>160</v>
      </c>
      <c r="J299" t="s">
        <v>132</v>
      </c>
      <c r="K299" t="s">
        <v>704</v>
      </c>
      <c r="L299" t="s">
        <v>143</v>
      </c>
      <c r="N299" t="b">
        <v>1</v>
      </c>
      <c r="O299" t="b">
        <v>0</v>
      </c>
      <c r="P299" t="s">
        <v>60</v>
      </c>
      <c r="Q299" t="s">
        <v>60</v>
      </c>
      <c r="R299" t="s">
        <v>135</v>
      </c>
      <c r="W299" t="s">
        <v>125</v>
      </c>
      <c r="X299" t="s">
        <v>306</v>
      </c>
      <c r="AB299" t="b">
        <v>0</v>
      </c>
      <c r="AC299" t="b">
        <v>0</v>
      </c>
      <c r="AE299" t="b">
        <v>0</v>
      </c>
      <c r="AG299" t="b">
        <v>0</v>
      </c>
      <c r="AI299" t="b">
        <v>0</v>
      </c>
      <c r="AK299" t="s">
        <v>94</v>
      </c>
      <c r="AL299" t="s">
        <v>66</v>
      </c>
      <c r="AM299" s="3">
        <v>46278</v>
      </c>
      <c r="AN299" s="4">
        <v>0.58121527777777782</v>
      </c>
      <c r="AO299" t="s">
        <v>1796</v>
      </c>
      <c r="AP299" t="s">
        <v>1797</v>
      </c>
      <c r="AQ299" t="s">
        <v>69</v>
      </c>
      <c r="AR299">
        <v>76.599999999999994</v>
      </c>
      <c r="AS299" t="s">
        <v>70</v>
      </c>
      <c r="AT299" t="s">
        <v>580</v>
      </c>
      <c r="AU299" t="s">
        <v>221</v>
      </c>
      <c r="AV299" t="s">
        <v>73</v>
      </c>
      <c r="AW299" t="str">
        <f t="shared" si="8"/>
        <v>Ingeniería Industrial</v>
      </c>
      <c r="AX299" t="str">
        <f t="shared" si="9"/>
        <v>301 2449988</v>
      </c>
      <c r="AY299" t="str">
        <f>IFERROR(INDEX(Vacantes!$C:$C,MATCH(AT299,Vacantes!$A:$A,0)),"")</f>
        <v>Cervecería del Valle</v>
      </c>
      <c r="AZ299" t="str">
        <f>IFERROR(INDEX(Vacantes!$D:$D,MATCH(AT299,Vacantes!$A:$A,0)),"")</f>
        <v>21 de octubre de 2026</v>
      </c>
      <c r="BA299" t="str">
        <f>IFERROR(INDEX(Vacantes!$E:$E,MATCH(AT299,Vacantes!$A:$A,0)),"")</f>
        <v>7:30 a.m. a 11:30 a.m.</v>
      </c>
    </row>
    <row r="300" spans="1:53" x14ac:dyDescent="0.15">
      <c r="A300" t="s">
        <v>1811</v>
      </c>
      <c r="B300" t="s">
        <v>1812</v>
      </c>
      <c r="C300" t="s">
        <v>55</v>
      </c>
      <c r="D300">
        <v>1006051484</v>
      </c>
      <c r="E300" t="s">
        <v>56</v>
      </c>
      <c r="F300">
        <v>24</v>
      </c>
      <c r="G300" t="b">
        <v>1</v>
      </c>
      <c r="I300" t="s">
        <v>160</v>
      </c>
      <c r="J300" t="s">
        <v>161</v>
      </c>
      <c r="L300" t="s">
        <v>143</v>
      </c>
      <c r="N300" t="b">
        <v>0</v>
      </c>
      <c r="O300" t="b">
        <v>0</v>
      </c>
      <c r="P300" t="s">
        <v>61</v>
      </c>
      <c r="Q300" t="s">
        <v>61</v>
      </c>
      <c r="R300" t="s">
        <v>125</v>
      </c>
      <c r="W300" t="s">
        <v>135</v>
      </c>
      <c r="AB300" t="b">
        <v>0</v>
      </c>
      <c r="AC300" t="b">
        <v>0</v>
      </c>
      <c r="AE300" t="b">
        <v>0</v>
      </c>
      <c r="AG300" t="b">
        <v>0</v>
      </c>
      <c r="AI300" t="b">
        <v>0</v>
      </c>
      <c r="AK300" t="s">
        <v>202</v>
      </c>
      <c r="AL300" t="s">
        <v>66</v>
      </c>
      <c r="AM300" s="3">
        <v>46278</v>
      </c>
      <c r="AN300" s="4">
        <v>0.41638888888888892</v>
      </c>
      <c r="AO300" t="s">
        <v>1813</v>
      </c>
      <c r="AP300" t="s">
        <v>1814</v>
      </c>
      <c r="AQ300" t="s">
        <v>69</v>
      </c>
      <c r="AR300">
        <v>78.099999999999994</v>
      </c>
      <c r="AS300" t="s">
        <v>70</v>
      </c>
      <c r="AT300" t="s">
        <v>651</v>
      </c>
      <c r="AU300" t="s">
        <v>72</v>
      </c>
      <c r="AV300" t="s">
        <v>73</v>
      </c>
      <c r="AW300" t="str">
        <f t="shared" si="8"/>
        <v>Ingeniería Industrial</v>
      </c>
      <c r="AX300" t="str">
        <f t="shared" si="9"/>
        <v>313 5748376</v>
      </c>
      <c r="AY300" t="str">
        <f>IFERROR(INDEX(Vacantes!$C:$C,MATCH(AT300,Vacantes!$A:$A,0)),"")</f>
        <v>Cervecería del Valle</v>
      </c>
      <c r="AZ300" t="str">
        <f>IFERROR(INDEX(Vacantes!$D:$D,MATCH(AT300,Vacantes!$A:$A,0)),"")</f>
        <v>21 de octubre de 2026</v>
      </c>
      <c r="BA300" t="str">
        <f>IFERROR(INDEX(Vacantes!$E:$E,MATCH(AT300,Vacantes!$A:$A,0)),"")</f>
        <v>7:30 a.m. a 11:30 a.m.</v>
      </c>
    </row>
    <row r="301" spans="1:53" x14ac:dyDescent="0.15">
      <c r="A301" t="s">
        <v>1828</v>
      </c>
      <c r="B301" t="s">
        <v>1829</v>
      </c>
      <c r="C301" t="s">
        <v>55</v>
      </c>
      <c r="D301">
        <v>1006907583</v>
      </c>
      <c r="E301" t="s">
        <v>56</v>
      </c>
      <c r="F301">
        <v>24</v>
      </c>
      <c r="G301" t="b">
        <v>1</v>
      </c>
      <c r="H301" t="s">
        <v>397</v>
      </c>
      <c r="I301" t="s">
        <v>160</v>
      </c>
      <c r="J301" t="s">
        <v>401</v>
      </c>
      <c r="L301" t="s">
        <v>305</v>
      </c>
      <c r="N301" t="b">
        <v>0</v>
      </c>
      <c r="O301" t="b">
        <v>0</v>
      </c>
      <c r="P301" t="s">
        <v>60</v>
      </c>
      <c r="Q301" t="s">
        <v>60</v>
      </c>
      <c r="R301" t="s">
        <v>125</v>
      </c>
      <c r="W301" t="s">
        <v>125</v>
      </c>
      <c r="X301" t="s">
        <v>145</v>
      </c>
      <c r="AB301" t="b">
        <v>0</v>
      </c>
      <c r="AC301" t="b">
        <v>0</v>
      </c>
      <c r="AE301" t="b">
        <v>0</v>
      </c>
      <c r="AG301" t="b">
        <v>0</v>
      </c>
      <c r="AI301" t="b">
        <v>0</v>
      </c>
      <c r="AK301" t="s">
        <v>94</v>
      </c>
      <c r="AL301" t="s">
        <v>66</v>
      </c>
      <c r="AM301" s="3">
        <v>46263</v>
      </c>
      <c r="AN301" s="4">
        <v>0.50149305555555557</v>
      </c>
      <c r="AO301" t="s">
        <v>1830</v>
      </c>
      <c r="AP301" t="s">
        <v>1831</v>
      </c>
      <c r="AQ301" t="s">
        <v>69</v>
      </c>
      <c r="AR301">
        <v>87</v>
      </c>
      <c r="AS301" t="s">
        <v>70</v>
      </c>
      <c r="AT301" t="s">
        <v>695</v>
      </c>
      <c r="AU301" t="s">
        <v>221</v>
      </c>
      <c r="AV301" t="s">
        <v>73</v>
      </c>
      <c r="AW301" t="str">
        <f t="shared" si="8"/>
        <v>Ingeniería Química</v>
      </c>
      <c r="AX301" t="str">
        <f t="shared" si="9"/>
        <v>322 6175626</v>
      </c>
      <c r="AY301" t="str">
        <f>IFERROR(INDEX(Vacantes!$C:$C,MATCH(AT301,Vacantes!$A:$A,0)),"")</f>
        <v>Cervecería del Valle</v>
      </c>
      <c r="AZ301" t="str">
        <f>IFERROR(INDEX(Vacantes!$D:$D,MATCH(AT301,Vacantes!$A:$A,0)),"")</f>
        <v>21 de octubre de 2026</v>
      </c>
      <c r="BA301" t="str">
        <f>IFERROR(INDEX(Vacantes!$E:$E,MATCH(AT301,Vacantes!$A:$A,0)),"")</f>
        <v>7:30 a.m. a 11:30 a.m.</v>
      </c>
    </row>
    <row r="302" spans="1:53" x14ac:dyDescent="0.15">
      <c r="A302" t="s">
        <v>1926</v>
      </c>
      <c r="B302" t="s">
        <v>1927</v>
      </c>
      <c r="C302" t="s">
        <v>55</v>
      </c>
      <c r="D302">
        <v>1005563628</v>
      </c>
      <c r="E302" t="s">
        <v>56</v>
      </c>
      <c r="F302">
        <v>24</v>
      </c>
      <c r="G302" t="b">
        <v>1</v>
      </c>
      <c r="I302" t="s">
        <v>213</v>
      </c>
      <c r="J302" t="s">
        <v>539</v>
      </c>
      <c r="L302" t="s">
        <v>755</v>
      </c>
      <c r="N302" t="b">
        <v>1</v>
      </c>
      <c r="O302" t="b">
        <v>0</v>
      </c>
      <c r="P302" t="s">
        <v>60</v>
      </c>
      <c r="Q302" t="s">
        <v>60</v>
      </c>
      <c r="R302" t="s">
        <v>125</v>
      </c>
      <c r="W302" t="s">
        <v>125</v>
      </c>
      <c r="X302" t="s">
        <v>387</v>
      </c>
      <c r="AB302" t="b">
        <v>0</v>
      </c>
      <c r="AC302" t="b">
        <v>0</v>
      </c>
      <c r="AE302" t="b">
        <v>0</v>
      </c>
      <c r="AG302" t="b">
        <v>0</v>
      </c>
      <c r="AI302" t="b">
        <v>0</v>
      </c>
      <c r="AK302" t="s">
        <v>94</v>
      </c>
      <c r="AL302" t="s">
        <v>66</v>
      </c>
      <c r="AM302" s="3">
        <v>46255</v>
      </c>
      <c r="AN302" s="4">
        <v>0.45004629629629628</v>
      </c>
      <c r="AO302" t="s">
        <v>1928</v>
      </c>
      <c r="AP302" t="s">
        <v>1929</v>
      </c>
      <c r="AQ302" t="s">
        <v>69</v>
      </c>
      <c r="AR302">
        <v>86.1</v>
      </c>
      <c r="AS302" t="s">
        <v>70</v>
      </c>
      <c r="AT302" t="s">
        <v>1071</v>
      </c>
      <c r="AV302" t="s">
        <v>184</v>
      </c>
      <c r="AW302" t="str">
        <f t="shared" si="8"/>
        <v>Ingeniería Eléctrica</v>
      </c>
      <c r="AX302" t="str">
        <f t="shared" si="9"/>
        <v>322 7851411</v>
      </c>
      <c r="AY302" t="str">
        <f>IFERROR(INDEX(Vacantes!$C:$C,MATCH(AT302,Vacantes!$A:$A,0)),"")</f>
        <v>Cervecería de Bucaramanga</v>
      </c>
      <c r="AZ302" t="str">
        <f>IFERROR(INDEX(Vacantes!$D:$D,MATCH(AT302,Vacantes!$A:$A,0)),"")</f>
        <v>21 de octubre de 2026</v>
      </c>
      <c r="BA302" t="str">
        <f>IFERROR(INDEX(Vacantes!$E:$E,MATCH(AT302,Vacantes!$A:$A,0)),"")</f>
        <v>7:30 a.m. a 12:00 p.m.</v>
      </c>
    </row>
    <row r="303" spans="1:53" x14ac:dyDescent="0.15">
      <c r="A303" t="s">
        <v>1930</v>
      </c>
      <c r="B303" t="s">
        <v>1931</v>
      </c>
      <c r="C303" t="s">
        <v>55</v>
      </c>
      <c r="D303">
        <v>1004795078</v>
      </c>
      <c r="E303" t="s">
        <v>56</v>
      </c>
      <c r="F303">
        <v>25</v>
      </c>
      <c r="G303" t="b">
        <v>1</v>
      </c>
      <c r="H303" t="s">
        <v>1932</v>
      </c>
      <c r="I303" t="s">
        <v>213</v>
      </c>
      <c r="J303" t="s">
        <v>100</v>
      </c>
      <c r="L303" t="s">
        <v>612</v>
      </c>
      <c r="N303" t="b">
        <v>0</v>
      </c>
      <c r="O303" t="b">
        <v>0</v>
      </c>
      <c r="P303" t="s">
        <v>60</v>
      </c>
      <c r="Q303" t="s">
        <v>60</v>
      </c>
      <c r="R303" t="s">
        <v>125</v>
      </c>
      <c r="W303" t="s">
        <v>135</v>
      </c>
      <c r="AB303" t="b">
        <v>0</v>
      </c>
      <c r="AC303" t="b">
        <v>0</v>
      </c>
      <c r="AE303" t="b">
        <v>0</v>
      </c>
      <c r="AG303" t="b">
        <v>0</v>
      </c>
      <c r="AI303" t="b">
        <v>0</v>
      </c>
      <c r="AK303" t="s">
        <v>202</v>
      </c>
      <c r="AL303" t="s">
        <v>66</v>
      </c>
      <c r="AM303" s="3">
        <v>46258</v>
      </c>
      <c r="AN303" s="4">
        <v>0.46335648148148151</v>
      </c>
      <c r="AO303" t="s">
        <v>1933</v>
      </c>
      <c r="AP303" t="s">
        <v>1934</v>
      </c>
      <c r="AQ303" t="s">
        <v>69</v>
      </c>
      <c r="AR303">
        <v>89</v>
      </c>
      <c r="AS303" t="s">
        <v>70</v>
      </c>
      <c r="AT303" t="s">
        <v>1071</v>
      </c>
      <c r="AU303" t="s">
        <v>221</v>
      </c>
      <c r="AV303" t="s">
        <v>184</v>
      </c>
      <c r="AW303" t="str">
        <f t="shared" si="8"/>
        <v>Ingeniería Mecánica</v>
      </c>
      <c r="AX303" t="str">
        <f t="shared" si="9"/>
        <v>320 2359161</v>
      </c>
      <c r="AY303" t="str">
        <f>IFERROR(INDEX(Vacantes!$C:$C,MATCH(AT303,Vacantes!$A:$A,0)),"")</f>
        <v>Cervecería de Bucaramanga</v>
      </c>
      <c r="AZ303" t="str">
        <f>IFERROR(INDEX(Vacantes!$D:$D,MATCH(AT303,Vacantes!$A:$A,0)),"")</f>
        <v>21 de octubre de 2026</v>
      </c>
      <c r="BA303" t="str">
        <f>IFERROR(INDEX(Vacantes!$E:$E,MATCH(AT303,Vacantes!$A:$A,0)),"")</f>
        <v>7:30 a.m. a 12:00 p.m.</v>
      </c>
    </row>
    <row r="304" spans="1:53" x14ac:dyDescent="0.15">
      <c r="A304" t="s">
        <v>1935</v>
      </c>
      <c r="B304" t="s">
        <v>1936</v>
      </c>
      <c r="C304" t="s">
        <v>55</v>
      </c>
      <c r="D304">
        <v>1005334499</v>
      </c>
      <c r="E304" t="s">
        <v>56</v>
      </c>
      <c r="F304">
        <v>26</v>
      </c>
      <c r="G304" t="b">
        <v>1</v>
      </c>
      <c r="H304" t="s">
        <v>213</v>
      </c>
      <c r="I304" t="s">
        <v>213</v>
      </c>
      <c r="J304" t="s">
        <v>495</v>
      </c>
      <c r="L304" t="s">
        <v>143</v>
      </c>
      <c r="N304" t="b">
        <v>0</v>
      </c>
      <c r="O304" t="b">
        <v>0</v>
      </c>
      <c r="P304" t="s">
        <v>60</v>
      </c>
      <c r="Q304" t="s">
        <v>61</v>
      </c>
      <c r="R304" t="s">
        <v>125</v>
      </c>
      <c r="U304" t="s">
        <v>151</v>
      </c>
      <c r="W304" t="s">
        <v>64</v>
      </c>
      <c r="AB304" t="b">
        <v>0</v>
      </c>
      <c r="AC304" t="b">
        <v>0</v>
      </c>
      <c r="AE304" t="b">
        <v>0</v>
      </c>
      <c r="AG304" t="b">
        <v>0</v>
      </c>
      <c r="AI304" t="b">
        <v>0</v>
      </c>
      <c r="AK304" t="s">
        <v>153</v>
      </c>
      <c r="AL304" t="s">
        <v>66</v>
      </c>
      <c r="AM304" s="3">
        <v>46259</v>
      </c>
      <c r="AN304" s="4">
        <v>0.55434027777777772</v>
      </c>
      <c r="AO304">
        <v>3142093772</v>
      </c>
      <c r="AP304" t="s">
        <v>1937</v>
      </c>
      <c r="AQ304" t="s">
        <v>69</v>
      </c>
      <c r="AR304">
        <v>80</v>
      </c>
      <c r="AS304" t="s">
        <v>70</v>
      </c>
      <c r="AT304" t="s">
        <v>1071</v>
      </c>
      <c r="AU304" t="s">
        <v>221</v>
      </c>
      <c r="AV304" t="s">
        <v>184</v>
      </c>
      <c r="AW304" t="str">
        <f t="shared" si="8"/>
        <v>Ingeniería Industrial</v>
      </c>
      <c r="AX304" t="str">
        <f t="shared" si="9"/>
        <v>3142093772</v>
      </c>
      <c r="AY304" t="str">
        <f>IFERROR(INDEX(Vacantes!$C:$C,MATCH(AT304,Vacantes!$A:$A,0)),"")</f>
        <v>Cervecería de Bucaramanga</v>
      </c>
      <c r="AZ304" t="str">
        <f>IFERROR(INDEX(Vacantes!$D:$D,MATCH(AT304,Vacantes!$A:$A,0)),"")</f>
        <v>21 de octubre de 2026</v>
      </c>
      <c r="BA304" t="str">
        <f>IFERROR(INDEX(Vacantes!$E:$E,MATCH(AT304,Vacantes!$A:$A,0)),"")</f>
        <v>7:30 a.m. a 12:00 p.m.</v>
      </c>
    </row>
    <row r="305" spans="1:53" x14ac:dyDescent="0.15">
      <c r="A305" t="s">
        <v>2029</v>
      </c>
      <c r="B305" t="s">
        <v>2030</v>
      </c>
      <c r="C305" t="s">
        <v>55</v>
      </c>
      <c r="D305">
        <v>1005464303</v>
      </c>
      <c r="E305" t="s">
        <v>76</v>
      </c>
      <c r="F305">
        <v>18</v>
      </c>
      <c r="G305" t="b">
        <v>1</v>
      </c>
      <c r="H305" t="s">
        <v>159</v>
      </c>
      <c r="I305" t="s">
        <v>160</v>
      </c>
      <c r="J305" t="s">
        <v>738</v>
      </c>
      <c r="L305" t="s">
        <v>243</v>
      </c>
      <c r="N305" t="b">
        <v>1</v>
      </c>
      <c r="O305" t="b">
        <v>0</v>
      </c>
      <c r="P305" t="s">
        <v>144</v>
      </c>
      <c r="Q305" t="s">
        <v>60</v>
      </c>
      <c r="R305" t="s">
        <v>64</v>
      </c>
      <c r="W305" t="s">
        <v>81</v>
      </c>
      <c r="Z305" t="s">
        <v>151</v>
      </c>
      <c r="AB305" t="b">
        <v>0</v>
      </c>
      <c r="AC305" t="b">
        <v>0</v>
      </c>
      <c r="AE305" t="b">
        <v>0</v>
      </c>
      <c r="AG305" t="b">
        <v>0</v>
      </c>
      <c r="AI305" t="b">
        <v>0</v>
      </c>
      <c r="AK305" t="s">
        <v>94</v>
      </c>
      <c r="AL305" t="s">
        <v>66</v>
      </c>
      <c r="AM305" s="3">
        <v>46265</v>
      </c>
      <c r="AN305" s="4">
        <v>0.25527777777777783</v>
      </c>
      <c r="AO305" t="s">
        <v>2031</v>
      </c>
      <c r="AP305" t="s">
        <v>2032</v>
      </c>
      <c r="AQ305" t="s">
        <v>69</v>
      </c>
      <c r="AR305">
        <v>92</v>
      </c>
      <c r="AS305" t="s">
        <v>70</v>
      </c>
      <c r="AT305" t="s">
        <v>1117</v>
      </c>
      <c r="AV305" t="s">
        <v>73</v>
      </c>
      <c r="AW305" t="str">
        <f t="shared" si="8"/>
        <v>Derecho</v>
      </c>
      <c r="AX305" t="str">
        <f t="shared" si="9"/>
        <v>321 9937799</v>
      </c>
      <c r="AY305" t="str">
        <f>IFERROR(INDEX(Vacantes!$C:$C,MATCH(AT305,Vacantes!$A:$A,0)),"")</f>
        <v>Cervecería del Valle</v>
      </c>
      <c r="AZ305" t="str">
        <f>IFERROR(INDEX(Vacantes!$D:$D,MATCH(AT305,Vacantes!$A:$A,0)),"")</f>
        <v>21 de octubre de 2026</v>
      </c>
      <c r="BA305" t="str">
        <f>IFERROR(INDEX(Vacantes!$E:$E,MATCH(AT305,Vacantes!$A:$A,0)),"")</f>
        <v>7:30 a.m. a 11:30 a.m.</v>
      </c>
    </row>
    <row r="306" spans="1:53" x14ac:dyDescent="0.15">
      <c r="A306" t="s">
        <v>2033</v>
      </c>
      <c r="B306" t="s">
        <v>2034</v>
      </c>
      <c r="C306" t="s">
        <v>55</v>
      </c>
      <c r="D306">
        <v>1000184730</v>
      </c>
      <c r="E306" t="s">
        <v>76</v>
      </c>
      <c r="F306">
        <v>22</v>
      </c>
      <c r="G306" t="b">
        <v>1</v>
      </c>
      <c r="H306" t="s">
        <v>57</v>
      </c>
      <c r="I306" t="s">
        <v>160</v>
      </c>
      <c r="J306" t="s">
        <v>150</v>
      </c>
      <c r="L306" t="s">
        <v>107</v>
      </c>
      <c r="N306" t="b">
        <v>1</v>
      </c>
      <c r="O306" t="b">
        <v>0</v>
      </c>
      <c r="P306" t="s">
        <v>61</v>
      </c>
      <c r="Q306" t="s">
        <v>60</v>
      </c>
      <c r="R306" t="s">
        <v>108</v>
      </c>
      <c r="U306" t="s">
        <v>151</v>
      </c>
      <c r="W306" t="s">
        <v>64</v>
      </c>
      <c r="AB306" t="b">
        <v>0</v>
      </c>
      <c r="AC306" t="b">
        <v>0</v>
      </c>
      <c r="AE306" t="b">
        <v>0</v>
      </c>
      <c r="AG306" t="b">
        <v>0</v>
      </c>
      <c r="AI306" t="b">
        <v>0</v>
      </c>
      <c r="AK306" t="s">
        <v>94</v>
      </c>
      <c r="AL306" t="s">
        <v>66</v>
      </c>
      <c r="AM306" s="3">
        <v>46269</v>
      </c>
      <c r="AN306" s="4">
        <v>0.67435185185185187</v>
      </c>
      <c r="AO306" t="s">
        <v>2035</v>
      </c>
      <c r="AP306" t="s">
        <v>2036</v>
      </c>
      <c r="AQ306" t="s">
        <v>69</v>
      </c>
      <c r="AR306">
        <v>90.2</v>
      </c>
      <c r="AS306" t="s">
        <v>70</v>
      </c>
      <c r="AT306" t="s">
        <v>1117</v>
      </c>
      <c r="AU306" t="s">
        <v>72</v>
      </c>
      <c r="AV306" t="s">
        <v>184</v>
      </c>
      <c r="AW306" t="str">
        <f t="shared" si="8"/>
        <v>Administración de Empresas</v>
      </c>
      <c r="AX306" t="str">
        <f t="shared" si="9"/>
        <v>323 2745140</v>
      </c>
      <c r="AY306" t="str">
        <f>IFERROR(INDEX(Vacantes!$C:$C,MATCH(AT306,Vacantes!$A:$A,0)),"")</f>
        <v>Cervecería del Valle</v>
      </c>
      <c r="AZ306" t="str">
        <f>IFERROR(INDEX(Vacantes!$D:$D,MATCH(AT306,Vacantes!$A:$A,0)),"")</f>
        <v>21 de octubre de 2026</v>
      </c>
      <c r="BA306" t="str">
        <f>IFERROR(INDEX(Vacantes!$E:$E,MATCH(AT306,Vacantes!$A:$A,0)),"")</f>
        <v>7:30 a.m. a 11:30 a.m.</v>
      </c>
    </row>
    <row r="307" spans="1:53" x14ac:dyDescent="0.15">
      <c r="A307" t="s">
        <v>2037</v>
      </c>
      <c r="B307" t="s">
        <v>2038</v>
      </c>
      <c r="C307" t="s">
        <v>55</v>
      </c>
      <c r="D307">
        <v>1081272383</v>
      </c>
      <c r="E307" t="s">
        <v>76</v>
      </c>
      <c r="F307">
        <v>22</v>
      </c>
      <c r="G307" t="b">
        <v>1</v>
      </c>
      <c r="H307" t="s">
        <v>2039</v>
      </c>
      <c r="I307" t="s">
        <v>160</v>
      </c>
      <c r="J307" t="s">
        <v>1724</v>
      </c>
      <c r="L307" t="s">
        <v>107</v>
      </c>
      <c r="N307" t="b">
        <v>0</v>
      </c>
      <c r="O307" t="b">
        <v>0</v>
      </c>
      <c r="P307" t="s">
        <v>60</v>
      </c>
      <c r="Q307" t="s">
        <v>144</v>
      </c>
      <c r="R307" t="s">
        <v>64</v>
      </c>
      <c r="W307" t="s">
        <v>108</v>
      </c>
      <c r="Z307" t="s">
        <v>151</v>
      </c>
      <c r="AB307" t="b">
        <v>0</v>
      </c>
      <c r="AC307" t="b">
        <v>0</v>
      </c>
      <c r="AE307" t="b">
        <v>0</v>
      </c>
      <c r="AG307" t="b">
        <v>0</v>
      </c>
      <c r="AI307" t="b">
        <v>0</v>
      </c>
      <c r="AK307" t="s">
        <v>94</v>
      </c>
      <c r="AL307" t="s">
        <v>66</v>
      </c>
      <c r="AM307" s="3">
        <v>46274</v>
      </c>
      <c r="AN307" s="4">
        <v>0.57861111111111108</v>
      </c>
      <c r="AO307">
        <v>3147455327</v>
      </c>
      <c r="AP307" t="s">
        <v>2040</v>
      </c>
      <c r="AQ307" t="s">
        <v>69</v>
      </c>
      <c r="AR307">
        <v>96.6</v>
      </c>
      <c r="AS307" t="s">
        <v>70</v>
      </c>
      <c r="AT307" t="s">
        <v>1117</v>
      </c>
      <c r="AU307" t="s">
        <v>221</v>
      </c>
      <c r="AV307" t="s">
        <v>184</v>
      </c>
      <c r="AW307" t="str">
        <f t="shared" si="8"/>
        <v>Administración de Empresas</v>
      </c>
      <c r="AX307" t="str">
        <f t="shared" si="9"/>
        <v>3147455327</v>
      </c>
      <c r="AY307" t="str">
        <f>IFERROR(INDEX(Vacantes!$C:$C,MATCH(AT307,Vacantes!$A:$A,0)),"")</f>
        <v>Cervecería del Valle</v>
      </c>
      <c r="AZ307" t="str">
        <f>IFERROR(INDEX(Vacantes!$D:$D,MATCH(AT307,Vacantes!$A:$A,0)),"")</f>
        <v>21 de octubre de 2026</v>
      </c>
      <c r="BA307" t="str">
        <f>IFERROR(INDEX(Vacantes!$E:$E,MATCH(AT307,Vacantes!$A:$A,0)),"")</f>
        <v>7:30 a.m. a 11:30 a.m.</v>
      </c>
    </row>
    <row r="308" spans="1:53" x14ac:dyDescent="0.15">
      <c r="A308" t="s">
        <v>2041</v>
      </c>
      <c r="B308" t="s">
        <v>2042</v>
      </c>
      <c r="C308" t="s">
        <v>55</v>
      </c>
      <c r="D308">
        <v>1006493321</v>
      </c>
      <c r="E308" t="s">
        <v>56</v>
      </c>
      <c r="F308">
        <v>23</v>
      </c>
      <c r="G308" t="b">
        <v>1</v>
      </c>
      <c r="H308" t="s">
        <v>397</v>
      </c>
      <c r="I308" t="s">
        <v>160</v>
      </c>
      <c r="J308" t="s">
        <v>132</v>
      </c>
      <c r="K308" t="s">
        <v>385</v>
      </c>
      <c r="L308" t="s">
        <v>143</v>
      </c>
      <c r="N308" t="b">
        <v>0</v>
      </c>
      <c r="O308" t="b">
        <v>0</v>
      </c>
      <c r="P308" t="s">
        <v>60</v>
      </c>
      <c r="Q308" t="s">
        <v>60</v>
      </c>
      <c r="R308" t="s">
        <v>135</v>
      </c>
      <c r="U308" t="s">
        <v>152</v>
      </c>
      <c r="W308" t="s">
        <v>64</v>
      </c>
      <c r="AB308" t="b">
        <v>0</v>
      </c>
      <c r="AC308" t="b">
        <v>0</v>
      </c>
      <c r="AE308" t="b">
        <v>0</v>
      </c>
      <c r="AG308" t="b">
        <v>0</v>
      </c>
      <c r="AI308" t="b">
        <v>0</v>
      </c>
      <c r="AK308" t="s">
        <v>94</v>
      </c>
      <c r="AL308" t="s">
        <v>66</v>
      </c>
      <c r="AM308" s="3">
        <v>46265</v>
      </c>
      <c r="AN308" s="4">
        <v>0.37024305555555548</v>
      </c>
      <c r="AO308" t="s">
        <v>2043</v>
      </c>
      <c r="AP308" t="s">
        <v>2044</v>
      </c>
      <c r="AQ308" t="s">
        <v>69</v>
      </c>
      <c r="AR308">
        <v>77.5</v>
      </c>
      <c r="AS308" t="s">
        <v>70</v>
      </c>
      <c r="AT308" t="s">
        <v>1117</v>
      </c>
      <c r="AU308" t="s">
        <v>221</v>
      </c>
      <c r="AV308" t="s">
        <v>184</v>
      </c>
      <c r="AW308" t="str">
        <f t="shared" si="8"/>
        <v>Ingeniería Industrial</v>
      </c>
      <c r="AX308" t="str">
        <f t="shared" si="9"/>
        <v>322 2738812</v>
      </c>
      <c r="AY308" t="str">
        <f>IFERROR(INDEX(Vacantes!$C:$C,MATCH(AT308,Vacantes!$A:$A,0)),"")</f>
        <v>Cervecería del Valle</v>
      </c>
      <c r="AZ308" t="str">
        <f>IFERROR(INDEX(Vacantes!$D:$D,MATCH(AT308,Vacantes!$A:$A,0)),"")</f>
        <v>21 de octubre de 2026</v>
      </c>
      <c r="BA308" t="str">
        <f>IFERROR(INDEX(Vacantes!$E:$E,MATCH(AT308,Vacantes!$A:$A,0)),"")</f>
        <v>7:30 a.m. a 11:30 a.m.</v>
      </c>
    </row>
    <row r="309" spans="1:53" x14ac:dyDescent="0.15">
      <c r="A309" t="s">
        <v>2083</v>
      </c>
      <c r="B309" t="s">
        <v>2084</v>
      </c>
      <c r="C309" t="s">
        <v>55</v>
      </c>
      <c r="D309">
        <v>1101682061</v>
      </c>
      <c r="E309" t="s">
        <v>76</v>
      </c>
      <c r="F309">
        <v>22</v>
      </c>
      <c r="G309" t="b">
        <v>1</v>
      </c>
      <c r="I309" t="s">
        <v>213</v>
      </c>
      <c r="J309" t="s">
        <v>132</v>
      </c>
      <c r="K309" t="s">
        <v>2085</v>
      </c>
      <c r="L309" t="s">
        <v>134</v>
      </c>
      <c r="N309" t="b">
        <v>1</v>
      </c>
      <c r="O309" t="b">
        <v>0</v>
      </c>
      <c r="P309" t="s">
        <v>61</v>
      </c>
      <c r="Q309" t="s">
        <v>144</v>
      </c>
      <c r="R309" t="s">
        <v>135</v>
      </c>
      <c r="W309" t="s">
        <v>81</v>
      </c>
      <c r="AB309" t="b">
        <v>0</v>
      </c>
      <c r="AC309" t="b">
        <v>0</v>
      </c>
      <c r="AE309" t="b">
        <v>0</v>
      </c>
      <c r="AG309" t="b">
        <v>0</v>
      </c>
      <c r="AI309" t="b">
        <v>0</v>
      </c>
      <c r="AK309" t="s">
        <v>202</v>
      </c>
      <c r="AL309" t="s">
        <v>66</v>
      </c>
      <c r="AM309" s="3">
        <v>46277</v>
      </c>
      <c r="AN309" s="4">
        <v>0.48894675925925918</v>
      </c>
      <c r="AO309" t="s">
        <v>2086</v>
      </c>
      <c r="AP309" t="s">
        <v>2087</v>
      </c>
      <c r="AQ309" t="s">
        <v>69</v>
      </c>
      <c r="AR309">
        <v>80.599999999999994</v>
      </c>
      <c r="AS309" t="s">
        <v>70</v>
      </c>
      <c r="AT309" t="s">
        <v>216</v>
      </c>
      <c r="AV309" t="s">
        <v>73</v>
      </c>
      <c r="AW309" t="str">
        <f t="shared" si="8"/>
        <v>Negocios Internacionales</v>
      </c>
      <c r="AX309" t="str">
        <f t="shared" si="9"/>
        <v>321 4847513</v>
      </c>
      <c r="AY309" t="str">
        <f>IFERROR(INDEX(Vacantes!$C:$C,MATCH(AT309,Vacantes!$A:$A,0)),"")</f>
        <v>Cervecería de Bucaramanga</v>
      </c>
      <c r="AZ309" t="str">
        <f>IFERROR(INDEX(Vacantes!$D:$D,MATCH(AT309,Vacantes!$A:$A,0)),"")</f>
        <v>21 de octubre de 2026</v>
      </c>
      <c r="BA309" t="str">
        <f>IFERROR(INDEX(Vacantes!$E:$E,MATCH(AT309,Vacantes!$A:$A,0)),"")</f>
        <v>7:30 a.m. a 12:00 p.m.</v>
      </c>
    </row>
    <row r="310" spans="1:53" x14ac:dyDescent="0.15">
      <c r="A310" t="s">
        <v>2088</v>
      </c>
      <c r="B310" t="s">
        <v>2089</v>
      </c>
      <c r="C310" t="s">
        <v>55</v>
      </c>
      <c r="D310">
        <v>1005258745</v>
      </c>
      <c r="E310" t="s">
        <v>76</v>
      </c>
      <c r="F310">
        <v>22</v>
      </c>
      <c r="G310" t="b">
        <v>1</v>
      </c>
      <c r="H310" t="s">
        <v>2090</v>
      </c>
      <c r="I310" t="s">
        <v>213</v>
      </c>
      <c r="J310" t="s">
        <v>201</v>
      </c>
      <c r="L310" t="s">
        <v>143</v>
      </c>
      <c r="N310" t="b">
        <v>0</v>
      </c>
      <c r="O310" t="b">
        <v>0</v>
      </c>
      <c r="P310" t="s">
        <v>60</v>
      </c>
      <c r="Q310" t="s">
        <v>60</v>
      </c>
      <c r="R310" t="s">
        <v>64</v>
      </c>
      <c r="W310" t="s">
        <v>89</v>
      </c>
      <c r="Z310" t="s">
        <v>93</v>
      </c>
      <c r="AB310" t="b">
        <v>0</v>
      </c>
      <c r="AC310" t="b">
        <v>0</v>
      </c>
      <c r="AE310" t="b">
        <v>0</v>
      </c>
      <c r="AG310" t="b">
        <v>0</v>
      </c>
      <c r="AI310" t="b">
        <v>0</v>
      </c>
      <c r="AK310" t="s">
        <v>202</v>
      </c>
      <c r="AL310" t="s">
        <v>66</v>
      </c>
      <c r="AM310" s="3">
        <v>46268</v>
      </c>
      <c r="AN310" s="4">
        <v>0.52505787037037033</v>
      </c>
      <c r="AO310" t="s">
        <v>2091</v>
      </c>
      <c r="AP310" t="s">
        <v>2092</v>
      </c>
      <c r="AQ310" t="s">
        <v>69</v>
      </c>
      <c r="AR310">
        <v>86</v>
      </c>
      <c r="AS310" t="s">
        <v>70</v>
      </c>
      <c r="AT310" t="s">
        <v>216</v>
      </c>
      <c r="AU310" t="s">
        <v>72</v>
      </c>
      <c r="AV310" t="s">
        <v>73</v>
      </c>
      <c r="AW310" t="str">
        <f t="shared" si="8"/>
        <v>Ingeniería Industrial</v>
      </c>
      <c r="AX310" t="str">
        <f t="shared" si="9"/>
        <v>317 4392050</v>
      </c>
      <c r="AY310" t="str">
        <f>IFERROR(INDEX(Vacantes!$C:$C,MATCH(AT310,Vacantes!$A:$A,0)),"")</f>
        <v>Cervecería de Bucaramanga</v>
      </c>
      <c r="AZ310" t="str">
        <f>IFERROR(INDEX(Vacantes!$D:$D,MATCH(AT310,Vacantes!$A:$A,0)),"")</f>
        <v>21 de octubre de 2026</v>
      </c>
      <c r="BA310" t="str">
        <f>IFERROR(INDEX(Vacantes!$E:$E,MATCH(AT310,Vacantes!$A:$A,0)),"")</f>
        <v>7:30 a.m. a 12:00 p.m.</v>
      </c>
    </row>
    <row r="311" spans="1:53" x14ac:dyDescent="0.15">
      <c r="A311" t="s">
        <v>2093</v>
      </c>
      <c r="B311" t="s">
        <v>2094</v>
      </c>
      <c r="C311" t="s">
        <v>55</v>
      </c>
      <c r="D311">
        <v>1193553981</v>
      </c>
      <c r="E311" t="s">
        <v>56</v>
      </c>
      <c r="F311">
        <v>24</v>
      </c>
      <c r="G311" t="b">
        <v>1</v>
      </c>
      <c r="H311" t="s">
        <v>174</v>
      </c>
      <c r="I311" t="s">
        <v>213</v>
      </c>
      <c r="J311" t="s">
        <v>319</v>
      </c>
      <c r="L311" t="s">
        <v>107</v>
      </c>
      <c r="N311" t="b">
        <v>0</v>
      </c>
      <c r="O311" t="b">
        <v>0</v>
      </c>
      <c r="P311" t="s">
        <v>61</v>
      </c>
      <c r="Q311" t="s">
        <v>61</v>
      </c>
      <c r="R311" t="s">
        <v>64</v>
      </c>
      <c r="W311" t="s">
        <v>108</v>
      </c>
      <c r="Z311" t="s">
        <v>151</v>
      </c>
      <c r="AB311" t="b">
        <v>0</v>
      </c>
      <c r="AC311" t="b">
        <v>0</v>
      </c>
      <c r="AE311" t="b">
        <v>0</v>
      </c>
      <c r="AG311" t="b">
        <v>0</v>
      </c>
      <c r="AI311" t="b">
        <v>0</v>
      </c>
      <c r="AK311" t="s">
        <v>202</v>
      </c>
      <c r="AL311" t="s">
        <v>66</v>
      </c>
      <c r="AM311" s="3">
        <v>46277</v>
      </c>
      <c r="AN311" s="4">
        <v>0.51812499999999995</v>
      </c>
      <c r="AO311" t="s">
        <v>2095</v>
      </c>
      <c r="AP311" t="s">
        <v>1186</v>
      </c>
      <c r="AQ311" t="s">
        <v>69</v>
      </c>
      <c r="AR311">
        <v>84.7</v>
      </c>
      <c r="AS311" t="s">
        <v>70</v>
      </c>
      <c r="AT311" t="s">
        <v>216</v>
      </c>
      <c r="AU311" t="s">
        <v>221</v>
      </c>
      <c r="AV311" t="s">
        <v>73</v>
      </c>
      <c r="AW311" t="str">
        <f t="shared" si="8"/>
        <v>Administración de Empresas</v>
      </c>
      <c r="AX311" t="str">
        <f t="shared" si="9"/>
        <v>310 5919408</v>
      </c>
      <c r="AY311" t="str">
        <f>IFERROR(INDEX(Vacantes!$C:$C,MATCH(AT311,Vacantes!$A:$A,0)),"")</f>
        <v>Cervecería de Bucaramanga</v>
      </c>
      <c r="AZ311" t="str">
        <f>IFERROR(INDEX(Vacantes!$D:$D,MATCH(AT311,Vacantes!$A:$A,0)),"")</f>
        <v>21 de octubre de 2026</v>
      </c>
      <c r="BA311" t="str">
        <f>IFERROR(INDEX(Vacantes!$E:$E,MATCH(AT311,Vacantes!$A:$A,0)),"")</f>
        <v>7:30 a.m. a 12:00 p.m.</v>
      </c>
    </row>
    <row r="312" spans="1:53" x14ac:dyDescent="0.15">
      <c r="A312" t="s">
        <v>157</v>
      </c>
      <c r="B312" t="s">
        <v>158</v>
      </c>
      <c r="C312" t="s">
        <v>55</v>
      </c>
      <c r="D312">
        <v>1010043305</v>
      </c>
      <c r="E312" t="s">
        <v>56</v>
      </c>
      <c r="F312">
        <v>23</v>
      </c>
      <c r="G312" t="b">
        <v>1</v>
      </c>
      <c r="H312" t="s">
        <v>159</v>
      </c>
      <c r="I312" t="s">
        <v>160</v>
      </c>
      <c r="J312" t="s">
        <v>161</v>
      </c>
      <c r="L312" t="s">
        <v>134</v>
      </c>
      <c r="N312" t="b">
        <v>0</v>
      </c>
      <c r="O312" t="b">
        <v>0</v>
      </c>
      <c r="P312" t="s">
        <v>60</v>
      </c>
      <c r="Q312" t="s">
        <v>60</v>
      </c>
      <c r="R312" t="s">
        <v>108</v>
      </c>
      <c r="W312" t="s">
        <v>89</v>
      </c>
      <c r="AB312" t="b">
        <v>0</v>
      </c>
      <c r="AC312" t="b">
        <v>0</v>
      </c>
      <c r="AE312" t="b">
        <v>0</v>
      </c>
      <c r="AG312" t="b">
        <v>0</v>
      </c>
      <c r="AI312" t="b">
        <v>0</v>
      </c>
      <c r="AK312" t="s">
        <v>65</v>
      </c>
      <c r="AL312" t="s">
        <v>66</v>
      </c>
      <c r="AM312" s="3">
        <v>46260</v>
      </c>
      <c r="AN312" s="4">
        <v>0.40979166666666672</v>
      </c>
      <c r="AO312" t="s">
        <v>162</v>
      </c>
      <c r="AP312" t="s">
        <v>163</v>
      </c>
      <c r="AQ312" t="s">
        <v>69</v>
      </c>
      <c r="AR312">
        <v>87.4</v>
      </c>
      <c r="AS312" t="s">
        <v>70</v>
      </c>
      <c r="AT312" t="s">
        <v>164</v>
      </c>
      <c r="AU312" t="s">
        <v>72</v>
      </c>
      <c r="AV312" t="s">
        <v>73</v>
      </c>
      <c r="AW312" t="str">
        <f t="shared" si="8"/>
        <v>Negocios Internacionales</v>
      </c>
      <c r="AX312" t="str">
        <f t="shared" si="9"/>
        <v>302 3398986</v>
      </c>
      <c r="AY312" t="str">
        <f>IFERROR(INDEX(Vacantes!$C:$C,MATCH(AT312,Vacantes!$A:$A,0)),"")</f>
        <v>Regional Sur</v>
      </c>
      <c r="AZ312" t="str">
        <f>IFERROR(INDEX(Vacantes!$D:$D,MATCH(AT312,Vacantes!$A:$A,0)),"")</f>
        <v>22 de octubre de 2026</v>
      </c>
      <c r="BA312" t="str">
        <f>IFERROR(INDEX(Vacantes!$E:$E,MATCH(AT312,Vacantes!$A:$A,0)),"")</f>
        <v>8:30 a.m. a 12:00 p.m.</v>
      </c>
    </row>
    <row r="313" spans="1:53" x14ac:dyDescent="0.15">
      <c r="A313" t="s">
        <v>165</v>
      </c>
      <c r="B313" t="s">
        <v>166</v>
      </c>
      <c r="C313" t="s">
        <v>55</v>
      </c>
      <c r="D313">
        <v>1082873020</v>
      </c>
      <c r="E313" t="s">
        <v>56</v>
      </c>
      <c r="F313">
        <v>20</v>
      </c>
      <c r="G313" t="b">
        <v>1</v>
      </c>
      <c r="H313" t="s">
        <v>167</v>
      </c>
      <c r="I313" t="s">
        <v>168</v>
      </c>
      <c r="J313" t="s">
        <v>169</v>
      </c>
      <c r="L313" t="s">
        <v>143</v>
      </c>
      <c r="N313" t="b">
        <v>0</v>
      </c>
      <c r="O313" t="b">
        <v>0</v>
      </c>
      <c r="P313" t="s">
        <v>61</v>
      </c>
      <c r="Q313" t="s">
        <v>61</v>
      </c>
      <c r="R313" t="s">
        <v>135</v>
      </c>
      <c r="W313" t="s">
        <v>125</v>
      </c>
      <c r="X313" t="s">
        <v>145</v>
      </c>
      <c r="AB313" t="b">
        <v>0</v>
      </c>
      <c r="AC313" t="b">
        <v>0</v>
      </c>
      <c r="AE313" t="b">
        <v>0</v>
      </c>
      <c r="AG313" t="b">
        <v>1</v>
      </c>
      <c r="AI313" t="b">
        <v>0</v>
      </c>
      <c r="AK313" t="s">
        <v>94</v>
      </c>
      <c r="AL313" t="s">
        <v>66</v>
      </c>
      <c r="AM313" s="3">
        <v>46278</v>
      </c>
      <c r="AN313" s="4">
        <v>1.3784722222222221E-2</v>
      </c>
      <c r="AO313">
        <v>3108107599</v>
      </c>
      <c r="AP313" t="s">
        <v>170</v>
      </c>
      <c r="AQ313" t="s">
        <v>69</v>
      </c>
      <c r="AR313">
        <v>97.1</v>
      </c>
      <c r="AS313" t="s">
        <v>70</v>
      </c>
      <c r="AT313" t="s">
        <v>171</v>
      </c>
      <c r="AU313" t="s">
        <v>72</v>
      </c>
      <c r="AV313" t="s">
        <v>73</v>
      </c>
      <c r="AW313" t="str">
        <f t="shared" si="8"/>
        <v>Ingeniería Industrial</v>
      </c>
      <c r="AX313" t="str">
        <f t="shared" si="9"/>
        <v>3108107599</v>
      </c>
      <c r="AY313" t="str">
        <f>IFERROR(INDEX(Vacantes!$C:$C,MATCH(AT313,Vacantes!$A:$A,0)),"")</f>
        <v>Cervecería de Barranquilla</v>
      </c>
      <c r="AZ313" t="str">
        <f>IFERROR(INDEX(Vacantes!$D:$D,MATCH(AT313,Vacantes!$A:$A,0)),"")</f>
        <v>22 de octubre de 2026</v>
      </c>
      <c r="BA313" t="str">
        <f>IFERROR(INDEX(Vacantes!$E:$E,MATCH(AT313,Vacantes!$A:$A,0)),"")</f>
        <v>12:30 p.m. a 5:00 p.m.</v>
      </c>
    </row>
    <row r="314" spans="1:53" x14ac:dyDescent="0.15">
      <c r="A314" t="s">
        <v>172</v>
      </c>
      <c r="B314" t="s">
        <v>173</v>
      </c>
      <c r="C314" t="s">
        <v>55</v>
      </c>
      <c r="D314">
        <v>1041694437</v>
      </c>
      <c r="E314" t="s">
        <v>56</v>
      </c>
      <c r="F314">
        <v>18</v>
      </c>
      <c r="G314" t="b">
        <v>1</v>
      </c>
      <c r="H314" t="s">
        <v>174</v>
      </c>
      <c r="I314" t="s">
        <v>168</v>
      </c>
      <c r="J314" t="s">
        <v>132</v>
      </c>
      <c r="K314" t="s">
        <v>175</v>
      </c>
      <c r="L314" t="s">
        <v>134</v>
      </c>
      <c r="N314" t="b">
        <v>0</v>
      </c>
      <c r="O314" t="b">
        <v>0</v>
      </c>
      <c r="P314" t="s">
        <v>144</v>
      </c>
      <c r="Q314" t="s">
        <v>61</v>
      </c>
      <c r="R314" t="s">
        <v>135</v>
      </c>
      <c r="W314" t="s">
        <v>109</v>
      </c>
      <c r="AA314" t="s">
        <v>176</v>
      </c>
      <c r="AB314" t="b">
        <v>0</v>
      </c>
      <c r="AC314" t="b">
        <v>0</v>
      </c>
      <c r="AE314" t="b">
        <v>0</v>
      </c>
      <c r="AG314" t="b">
        <v>0</v>
      </c>
      <c r="AI314" t="b">
        <v>0</v>
      </c>
      <c r="AK314" t="s">
        <v>94</v>
      </c>
      <c r="AL314" t="s">
        <v>66</v>
      </c>
      <c r="AM314" s="3">
        <v>46261</v>
      </c>
      <c r="AN314" s="4">
        <v>0.44657407407407412</v>
      </c>
      <c r="AO314">
        <v>3022092286</v>
      </c>
      <c r="AP314" t="s">
        <v>177</v>
      </c>
      <c r="AQ314" t="s">
        <v>69</v>
      </c>
      <c r="AR314">
        <v>89.9</v>
      </c>
      <c r="AS314" t="s">
        <v>70</v>
      </c>
      <c r="AT314" t="s">
        <v>178</v>
      </c>
      <c r="AU314" t="s">
        <v>72</v>
      </c>
      <c r="AV314" t="s">
        <v>73</v>
      </c>
      <c r="AW314" t="str">
        <f t="shared" si="8"/>
        <v>Negocios Internacionales</v>
      </c>
      <c r="AX314" t="str">
        <f t="shared" si="9"/>
        <v>3022092286</v>
      </c>
      <c r="AY314" t="str">
        <f>IFERROR(INDEX(Vacantes!$C:$C,MATCH(AT314,Vacantes!$A:$A,0)),"")</f>
        <v>Regional Norte</v>
      </c>
      <c r="AZ314" t="str">
        <f>IFERROR(INDEX(Vacantes!$D:$D,MATCH(AT314,Vacantes!$A:$A,0)),"")</f>
        <v>22 de octubre de 2026</v>
      </c>
      <c r="BA314" t="str">
        <f>IFERROR(INDEX(Vacantes!$E:$E,MATCH(AT314,Vacantes!$A:$A,0)),"")</f>
        <v>1:30 p.m. a 5:00 p.m.</v>
      </c>
    </row>
    <row r="315" spans="1:53" x14ac:dyDescent="0.15">
      <c r="A315" t="s">
        <v>295</v>
      </c>
      <c r="B315" t="s">
        <v>296</v>
      </c>
      <c r="C315" t="s">
        <v>55</v>
      </c>
      <c r="D315">
        <v>1041970241</v>
      </c>
      <c r="E315" t="s">
        <v>56</v>
      </c>
      <c r="F315">
        <v>22</v>
      </c>
      <c r="G315" t="b">
        <v>1</v>
      </c>
      <c r="H315" t="s">
        <v>297</v>
      </c>
      <c r="I315" t="s">
        <v>168</v>
      </c>
      <c r="J315" t="s">
        <v>298</v>
      </c>
      <c r="L315" t="s">
        <v>299</v>
      </c>
      <c r="N315" t="b">
        <v>0</v>
      </c>
      <c r="O315" t="b">
        <v>0</v>
      </c>
      <c r="P315" t="s">
        <v>60</v>
      </c>
      <c r="Q315" t="s">
        <v>60</v>
      </c>
      <c r="R315" t="s">
        <v>125</v>
      </c>
      <c r="W315" t="s">
        <v>125</v>
      </c>
      <c r="X315" t="s">
        <v>300</v>
      </c>
      <c r="AB315" t="b">
        <v>0</v>
      </c>
      <c r="AC315" t="b">
        <v>0</v>
      </c>
      <c r="AE315" t="b">
        <v>0</v>
      </c>
      <c r="AG315" t="b">
        <v>0</v>
      </c>
      <c r="AI315" t="b">
        <v>0</v>
      </c>
      <c r="AK315" t="s">
        <v>248</v>
      </c>
      <c r="AL315" t="s">
        <v>66</v>
      </c>
      <c r="AM315" s="3">
        <v>46277</v>
      </c>
      <c r="AN315" s="4">
        <v>0.98537037037037034</v>
      </c>
      <c r="AO315">
        <v>0</v>
      </c>
      <c r="AP315" t="s">
        <v>301</v>
      </c>
      <c r="AQ315" t="s">
        <v>69</v>
      </c>
      <c r="AR315">
        <v>75.5</v>
      </c>
      <c r="AS315" t="s">
        <v>70</v>
      </c>
      <c r="AT315" t="s">
        <v>302</v>
      </c>
      <c r="AU315" t="s">
        <v>221</v>
      </c>
      <c r="AV315" t="s">
        <v>73</v>
      </c>
      <c r="AW315" t="str">
        <f t="shared" si="8"/>
        <v>Ingeniería de Alimentos</v>
      </c>
      <c r="AX315" t="str">
        <f t="shared" si="9"/>
        <v/>
      </c>
      <c r="AY315" t="str">
        <f>IFERROR(INDEX(Vacantes!$C:$C,MATCH(AT315,Vacantes!$A:$A,0)),"")</f>
        <v>Cervecería de Barranquilla</v>
      </c>
      <c r="AZ315" t="str">
        <f>IFERROR(INDEX(Vacantes!$D:$D,MATCH(AT315,Vacantes!$A:$A,0)),"")</f>
        <v>22 de octubre de 2026</v>
      </c>
      <c r="BA315" t="str">
        <f>IFERROR(INDEX(Vacantes!$E:$E,MATCH(AT315,Vacantes!$A:$A,0)),"")</f>
        <v>12:30 p.m. a 5:00 p.m.</v>
      </c>
    </row>
    <row r="316" spans="1:53" x14ac:dyDescent="0.15">
      <c r="A316" t="s">
        <v>303</v>
      </c>
      <c r="B316" t="s">
        <v>304</v>
      </c>
      <c r="C316" t="s">
        <v>55</v>
      </c>
      <c r="D316">
        <v>1048434954</v>
      </c>
      <c r="E316" t="s">
        <v>56</v>
      </c>
      <c r="F316">
        <v>22</v>
      </c>
      <c r="G316" t="b">
        <v>1</v>
      </c>
      <c r="I316" t="s">
        <v>168</v>
      </c>
      <c r="J316" t="s">
        <v>298</v>
      </c>
      <c r="L316" t="s">
        <v>305</v>
      </c>
      <c r="N316" t="b">
        <v>0</v>
      </c>
      <c r="O316" t="b">
        <v>0</v>
      </c>
      <c r="P316" t="s">
        <v>60</v>
      </c>
      <c r="Q316" t="s">
        <v>61</v>
      </c>
      <c r="R316" t="s">
        <v>125</v>
      </c>
      <c r="W316" t="s">
        <v>125</v>
      </c>
      <c r="X316" t="s">
        <v>306</v>
      </c>
      <c r="AB316" t="b">
        <v>0</v>
      </c>
      <c r="AC316" t="b">
        <v>0</v>
      </c>
      <c r="AE316" t="b">
        <v>0</v>
      </c>
      <c r="AG316" t="b">
        <v>0</v>
      </c>
      <c r="AI316" t="b">
        <v>0</v>
      </c>
      <c r="AK316" t="s">
        <v>94</v>
      </c>
      <c r="AL316" t="s">
        <v>66</v>
      </c>
      <c r="AM316" s="3">
        <v>46278</v>
      </c>
      <c r="AN316" s="4">
        <v>0.62650462962962961</v>
      </c>
      <c r="AO316">
        <v>3012298941</v>
      </c>
      <c r="AP316" t="s">
        <v>307</v>
      </c>
      <c r="AQ316" t="s">
        <v>69</v>
      </c>
      <c r="AR316">
        <v>76.5</v>
      </c>
      <c r="AS316" t="s">
        <v>70</v>
      </c>
      <c r="AT316" t="s">
        <v>302</v>
      </c>
      <c r="AU316" t="s">
        <v>221</v>
      </c>
      <c r="AV316" t="s">
        <v>73</v>
      </c>
      <c r="AW316" t="str">
        <f t="shared" si="8"/>
        <v>Ingeniería Química</v>
      </c>
      <c r="AX316" t="str">
        <f t="shared" si="9"/>
        <v>3012298941</v>
      </c>
      <c r="AY316" t="str">
        <f>IFERROR(INDEX(Vacantes!$C:$C,MATCH(AT316,Vacantes!$A:$A,0)),"")</f>
        <v>Cervecería de Barranquilla</v>
      </c>
      <c r="AZ316" t="str">
        <f>IFERROR(INDEX(Vacantes!$D:$D,MATCH(AT316,Vacantes!$A:$A,0)),"")</f>
        <v>22 de octubre de 2026</v>
      </c>
      <c r="BA316" t="str">
        <f>IFERROR(INDEX(Vacantes!$E:$E,MATCH(AT316,Vacantes!$A:$A,0)),"")</f>
        <v>12:30 p.m. a 5:00 p.m.</v>
      </c>
    </row>
    <row r="317" spans="1:53" x14ac:dyDescent="0.15">
      <c r="A317" t="s">
        <v>308</v>
      </c>
      <c r="B317" t="s">
        <v>309</v>
      </c>
      <c r="C317" t="s">
        <v>55</v>
      </c>
      <c r="D317">
        <v>1007764065</v>
      </c>
      <c r="E317" t="s">
        <v>76</v>
      </c>
      <c r="F317">
        <v>24</v>
      </c>
      <c r="G317" t="b">
        <v>1</v>
      </c>
      <c r="H317" t="s">
        <v>297</v>
      </c>
      <c r="I317" t="s">
        <v>168</v>
      </c>
      <c r="J317" t="s">
        <v>298</v>
      </c>
      <c r="L317" t="s">
        <v>305</v>
      </c>
      <c r="N317" t="b">
        <v>1</v>
      </c>
      <c r="O317" t="b">
        <v>0</v>
      </c>
      <c r="P317" t="s">
        <v>60</v>
      </c>
      <c r="Q317" t="s">
        <v>60</v>
      </c>
      <c r="R317" t="s">
        <v>125</v>
      </c>
      <c r="W317" t="s">
        <v>125</v>
      </c>
      <c r="X317" t="s">
        <v>306</v>
      </c>
      <c r="AB317" t="b">
        <v>0</v>
      </c>
      <c r="AC317" t="b">
        <v>0</v>
      </c>
      <c r="AE317" t="b">
        <v>0</v>
      </c>
      <c r="AG317" t="b">
        <v>0</v>
      </c>
      <c r="AI317" t="b">
        <v>0</v>
      </c>
      <c r="AK317" t="s">
        <v>94</v>
      </c>
      <c r="AL317" t="s">
        <v>66</v>
      </c>
      <c r="AM317" s="3">
        <v>46274</v>
      </c>
      <c r="AN317" s="4">
        <v>0.31746527777777778</v>
      </c>
      <c r="AO317" t="s">
        <v>310</v>
      </c>
      <c r="AP317" t="s">
        <v>311</v>
      </c>
      <c r="AQ317" t="s">
        <v>69</v>
      </c>
      <c r="AR317">
        <v>77.8</v>
      </c>
      <c r="AS317" t="s">
        <v>70</v>
      </c>
      <c r="AT317" t="s">
        <v>302</v>
      </c>
      <c r="AU317" t="s">
        <v>221</v>
      </c>
      <c r="AV317" t="s">
        <v>73</v>
      </c>
      <c r="AW317" t="str">
        <f t="shared" si="8"/>
        <v>Ingeniería Química</v>
      </c>
      <c r="AX317" t="str">
        <f t="shared" si="9"/>
        <v>312 6172663</v>
      </c>
      <c r="AY317" t="str">
        <f>IFERROR(INDEX(Vacantes!$C:$C,MATCH(AT317,Vacantes!$A:$A,0)),"")</f>
        <v>Cervecería de Barranquilla</v>
      </c>
      <c r="AZ317" t="str">
        <f>IFERROR(INDEX(Vacantes!$D:$D,MATCH(AT317,Vacantes!$A:$A,0)),"")</f>
        <v>22 de octubre de 2026</v>
      </c>
      <c r="BA317" t="str">
        <f>IFERROR(INDEX(Vacantes!$E:$E,MATCH(AT317,Vacantes!$A:$A,0)),"")</f>
        <v>12:30 p.m. a 5:00 p.m.</v>
      </c>
    </row>
    <row r="318" spans="1:53" x14ac:dyDescent="0.15">
      <c r="A318" t="s">
        <v>312</v>
      </c>
      <c r="B318" t="s">
        <v>313</v>
      </c>
      <c r="C318" t="s">
        <v>55</v>
      </c>
      <c r="D318">
        <v>1048264627</v>
      </c>
      <c r="E318" t="s">
        <v>76</v>
      </c>
      <c r="F318">
        <v>22</v>
      </c>
      <c r="G318" t="b">
        <v>1</v>
      </c>
      <c r="I318" t="s">
        <v>168</v>
      </c>
      <c r="J318" t="s">
        <v>314</v>
      </c>
      <c r="L318" t="s">
        <v>305</v>
      </c>
      <c r="N318" t="b">
        <v>0</v>
      </c>
      <c r="O318" t="b">
        <v>0</v>
      </c>
      <c r="P318" t="s">
        <v>60</v>
      </c>
      <c r="Q318" t="s">
        <v>60</v>
      </c>
      <c r="R318" t="s">
        <v>125</v>
      </c>
      <c r="W318" t="s">
        <v>125</v>
      </c>
      <c r="X318" t="s">
        <v>315</v>
      </c>
      <c r="AB318" t="b">
        <v>0</v>
      </c>
      <c r="AC318" t="b">
        <v>0</v>
      </c>
      <c r="AE318" t="b">
        <v>0</v>
      </c>
      <c r="AG318" t="b">
        <v>0</v>
      </c>
      <c r="AI318" t="b">
        <v>0</v>
      </c>
      <c r="AK318" t="s">
        <v>153</v>
      </c>
      <c r="AL318" t="s">
        <v>66</v>
      </c>
      <c r="AM318" s="3">
        <v>46257</v>
      </c>
      <c r="AN318" s="4">
        <v>0.77718750000000003</v>
      </c>
      <c r="AO318">
        <v>3004451226</v>
      </c>
      <c r="AP318" t="s">
        <v>316</v>
      </c>
      <c r="AQ318" t="s">
        <v>69</v>
      </c>
      <c r="AR318">
        <v>88.2</v>
      </c>
      <c r="AS318" t="s">
        <v>70</v>
      </c>
      <c r="AT318" t="s">
        <v>302</v>
      </c>
      <c r="AU318" t="s">
        <v>221</v>
      </c>
      <c r="AV318" t="s">
        <v>73</v>
      </c>
      <c r="AW318" t="str">
        <f t="shared" si="8"/>
        <v>Ingeniería Química</v>
      </c>
      <c r="AX318" t="str">
        <f t="shared" si="9"/>
        <v>3004451226</v>
      </c>
      <c r="AY318" t="str">
        <f>IFERROR(INDEX(Vacantes!$C:$C,MATCH(AT318,Vacantes!$A:$A,0)),"")</f>
        <v>Cervecería de Barranquilla</v>
      </c>
      <c r="AZ318" t="str">
        <f>IFERROR(INDEX(Vacantes!$D:$D,MATCH(AT318,Vacantes!$A:$A,0)),"")</f>
        <v>22 de octubre de 2026</v>
      </c>
      <c r="BA318" t="str">
        <f>IFERROR(INDEX(Vacantes!$E:$E,MATCH(AT318,Vacantes!$A:$A,0)),"")</f>
        <v>12:30 p.m. a 5:00 p.m.</v>
      </c>
    </row>
    <row r="319" spans="1:53" x14ac:dyDescent="0.15">
      <c r="A319" t="s">
        <v>317</v>
      </c>
      <c r="B319" t="s">
        <v>318</v>
      </c>
      <c r="C319" t="s">
        <v>55</v>
      </c>
      <c r="D319">
        <v>1042244929</v>
      </c>
      <c r="E319" t="s">
        <v>76</v>
      </c>
      <c r="F319">
        <v>21</v>
      </c>
      <c r="G319" t="b">
        <v>1</v>
      </c>
      <c r="H319" t="s">
        <v>174</v>
      </c>
      <c r="I319" t="s">
        <v>168</v>
      </c>
      <c r="J319" t="s">
        <v>319</v>
      </c>
      <c r="L319" t="s">
        <v>143</v>
      </c>
      <c r="N319" t="b">
        <v>1</v>
      </c>
      <c r="O319" t="b">
        <v>0</v>
      </c>
      <c r="P319" t="s">
        <v>61</v>
      </c>
      <c r="Q319" t="s">
        <v>60</v>
      </c>
      <c r="R319" t="s">
        <v>125</v>
      </c>
      <c r="W319" t="s">
        <v>125</v>
      </c>
      <c r="X319" t="s">
        <v>315</v>
      </c>
      <c r="AB319" t="b">
        <v>0</v>
      </c>
      <c r="AC319" t="b">
        <v>0</v>
      </c>
      <c r="AE319" t="b">
        <v>0</v>
      </c>
      <c r="AG319" t="b">
        <v>0</v>
      </c>
      <c r="AI319" t="b">
        <v>0</v>
      </c>
      <c r="AK319" t="s">
        <v>94</v>
      </c>
      <c r="AL319" t="s">
        <v>66</v>
      </c>
      <c r="AM319" s="3">
        <v>46276</v>
      </c>
      <c r="AN319" s="4">
        <v>0.61670138888888892</v>
      </c>
      <c r="AO319" t="s">
        <v>320</v>
      </c>
      <c r="AP319" t="s">
        <v>321</v>
      </c>
      <c r="AQ319" t="s">
        <v>69</v>
      </c>
      <c r="AR319">
        <v>82.7</v>
      </c>
      <c r="AS319" t="s">
        <v>70</v>
      </c>
      <c r="AT319" t="s">
        <v>302</v>
      </c>
      <c r="AU319" t="s">
        <v>221</v>
      </c>
      <c r="AV319" t="s">
        <v>73</v>
      </c>
      <c r="AW319" t="str">
        <f t="shared" si="8"/>
        <v>Ingeniería Industrial</v>
      </c>
      <c r="AX319" t="str">
        <f t="shared" si="9"/>
        <v>300 7536860</v>
      </c>
      <c r="AY319" t="str">
        <f>IFERROR(INDEX(Vacantes!$C:$C,MATCH(AT319,Vacantes!$A:$A,0)),"")</f>
        <v>Cervecería de Barranquilla</v>
      </c>
      <c r="AZ319" t="str">
        <f>IFERROR(INDEX(Vacantes!$D:$D,MATCH(AT319,Vacantes!$A:$A,0)),"")</f>
        <v>22 de octubre de 2026</v>
      </c>
      <c r="BA319" t="str">
        <f>IFERROR(INDEX(Vacantes!$E:$E,MATCH(AT319,Vacantes!$A:$A,0)),"")</f>
        <v>12:30 p.m. a 5:00 p.m.</v>
      </c>
    </row>
    <row r="320" spans="1:53" x14ac:dyDescent="0.15">
      <c r="A320" t="s">
        <v>322</v>
      </c>
      <c r="B320" t="s">
        <v>323</v>
      </c>
      <c r="C320" t="s">
        <v>55</v>
      </c>
      <c r="D320">
        <v>1045226956</v>
      </c>
      <c r="E320" t="s">
        <v>76</v>
      </c>
      <c r="F320">
        <v>22</v>
      </c>
      <c r="G320" t="b">
        <v>1</v>
      </c>
      <c r="I320" t="s">
        <v>168</v>
      </c>
      <c r="J320" t="s">
        <v>314</v>
      </c>
      <c r="L320" t="s">
        <v>305</v>
      </c>
      <c r="N320" t="b">
        <v>0</v>
      </c>
      <c r="O320" t="b">
        <v>0</v>
      </c>
      <c r="P320" t="s">
        <v>60</v>
      </c>
      <c r="Q320" t="s">
        <v>61</v>
      </c>
      <c r="R320" t="s">
        <v>125</v>
      </c>
      <c r="W320" t="s">
        <v>125</v>
      </c>
      <c r="X320" t="s">
        <v>306</v>
      </c>
      <c r="AB320" t="b">
        <v>0</v>
      </c>
      <c r="AC320" t="b">
        <v>0</v>
      </c>
      <c r="AE320" t="b">
        <v>0</v>
      </c>
      <c r="AF320" t="s">
        <v>324</v>
      </c>
      <c r="AG320" t="b">
        <v>0</v>
      </c>
      <c r="AI320" t="b">
        <v>1</v>
      </c>
      <c r="AK320" t="s">
        <v>153</v>
      </c>
      <c r="AL320" t="s">
        <v>66</v>
      </c>
      <c r="AM320" s="3">
        <v>46256</v>
      </c>
      <c r="AN320" s="4">
        <v>0.53620370370370374</v>
      </c>
      <c r="AO320" t="s">
        <v>325</v>
      </c>
      <c r="AP320" t="s">
        <v>326</v>
      </c>
      <c r="AQ320" t="s">
        <v>69</v>
      </c>
      <c r="AR320">
        <v>84.9</v>
      </c>
      <c r="AS320" t="s">
        <v>70</v>
      </c>
      <c r="AT320" t="s">
        <v>302</v>
      </c>
      <c r="AU320" t="s">
        <v>221</v>
      </c>
      <c r="AV320" t="s">
        <v>73</v>
      </c>
      <c r="AW320" t="str">
        <f t="shared" si="8"/>
        <v>Ingeniería Química</v>
      </c>
      <c r="AX320" t="str">
        <f t="shared" si="9"/>
        <v>300 1246603</v>
      </c>
      <c r="AY320" t="str">
        <f>IFERROR(INDEX(Vacantes!$C:$C,MATCH(AT320,Vacantes!$A:$A,0)),"")</f>
        <v>Cervecería de Barranquilla</v>
      </c>
      <c r="AZ320" t="str">
        <f>IFERROR(INDEX(Vacantes!$D:$D,MATCH(AT320,Vacantes!$A:$A,0)),"")</f>
        <v>22 de octubre de 2026</v>
      </c>
      <c r="BA320" t="str">
        <f>IFERROR(INDEX(Vacantes!$E:$E,MATCH(AT320,Vacantes!$A:$A,0)),"")</f>
        <v>12:30 p.m. a 5:00 p.m.</v>
      </c>
    </row>
    <row r="321" spans="1:53" x14ac:dyDescent="0.15">
      <c r="A321" t="s">
        <v>327</v>
      </c>
      <c r="B321" t="s">
        <v>328</v>
      </c>
      <c r="C321" t="s">
        <v>55</v>
      </c>
      <c r="D321">
        <v>1052946093</v>
      </c>
      <c r="E321" t="s">
        <v>76</v>
      </c>
      <c r="F321">
        <v>22</v>
      </c>
      <c r="G321" t="b">
        <v>1</v>
      </c>
      <c r="I321" t="s">
        <v>168</v>
      </c>
      <c r="J321" t="s">
        <v>298</v>
      </c>
      <c r="L321" t="s">
        <v>305</v>
      </c>
      <c r="N321" t="b">
        <v>0</v>
      </c>
      <c r="O321" t="b">
        <v>0</v>
      </c>
      <c r="P321" t="s">
        <v>60</v>
      </c>
      <c r="Q321" t="s">
        <v>61</v>
      </c>
      <c r="R321" t="s">
        <v>125</v>
      </c>
      <c r="W321" t="s">
        <v>125</v>
      </c>
      <c r="X321" t="s">
        <v>145</v>
      </c>
      <c r="AB321" t="b">
        <v>0</v>
      </c>
      <c r="AC321" t="b">
        <v>0</v>
      </c>
      <c r="AE321" t="b">
        <v>0</v>
      </c>
      <c r="AG321" t="b">
        <v>1</v>
      </c>
      <c r="AI321" t="b">
        <v>0</v>
      </c>
      <c r="AK321" t="s">
        <v>94</v>
      </c>
      <c r="AL321" t="s">
        <v>66</v>
      </c>
      <c r="AM321" s="3">
        <v>46256</v>
      </c>
      <c r="AN321" s="4">
        <v>0.42511574074074082</v>
      </c>
      <c r="AO321">
        <v>3205739128</v>
      </c>
      <c r="AP321" t="s">
        <v>329</v>
      </c>
      <c r="AQ321" t="s">
        <v>69</v>
      </c>
      <c r="AR321">
        <v>92.1</v>
      </c>
      <c r="AS321" t="s">
        <v>70</v>
      </c>
      <c r="AT321" t="s">
        <v>302</v>
      </c>
      <c r="AU321" t="s">
        <v>221</v>
      </c>
      <c r="AV321" t="s">
        <v>73</v>
      </c>
      <c r="AW321" t="str">
        <f t="shared" si="8"/>
        <v>Ingeniería Química</v>
      </c>
      <c r="AX321" t="str">
        <f t="shared" si="9"/>
        <v>3205739128</v>
      </c>
      <c r="AY321" t="str">
        <f>IFERROR(INDEX(Vacantes!$C:$C,MATCH(AT321,Vacantes!$A:$A,0)),"")</f>
        <v>Cervecería de Barranquilla</v>
      </c>
      <c r="AZ321" t="str">
        <f>IFERROR(INDEX(Vacantes!$D:$D,MATCH(AT321,Vacantes!$A:$A,0)),"")</f>
        <v>22 de octubre de 2026</v>
      </c>
      <c r="BA321" t="str">
        <f>IFERROR(INDEX(Vacantes!$E:$E,MATCH(AT321,Vacantes!$A:$A,0)),"")</f>
        <v>12:30 p.m. a 5:00 p.m.</v>
      </c>
    </row>
    <row r="322" spans="1:53" x14ac:dyDescent="0.15">
      <c r="A322" t="s">
        <v>330</v>
      </c>
      <c r="B322" t="s">
        <v>331</v>
      </c>
      <c r="C322" t="s">
        <v>55</v>
      </c>
      <c r="D322">
        <v>1048264316</v>
      </c>
      <c r="E322" t="s">
        <v>76</v>
      </c>
      <c r="F322">
        <v>23</v>
      </c>
      <c r="G322" t="b">
        <v>1</v>
      </c>
      <c r="H322" t="s">
        <v>174</v>
      </c>
      <c r="I322" t="s">
        <v>168</v>
      </c>
      <c r="J322" t="s">
        <v>314</v>
      </c>
      <c r="L322" t="s">
        <v>305</v>
      </c>
      <c r="N322" t="b">
        <v>0</v>
      </c>
      <c r="O322" t="b">
        <v>0</v>
      </c>
      <c r="P322" t="s">
        <v>60</v>
      </c>
      <c r="Q322" t="s">
        <v>60</v>
      </c>
      <c r="R322" t="s">
        <v>125</v>
      </c>
      <c r="W322" t="s">
        <v>125</v>
      </c>
      <c r="X322" t="s">
        <v>332</v>
      </c>
      <c r="AB322" t="b">
        <v>0</v>
      </c>
      <c r="AC322" t="b">
        <v>0</v>
      </c>
      <c r="AE322" t="b">
        <v>0</v>
      </c>
      <c r="AG322" t="b">
        <v>0</v>
      </c>
      <c r="AI322" t="b">
        <v>0</v>
      </c>
      <c r="AK322" t="s">
        <v>153</v>
      </c>
      <c r="AL322" t="s">
        <v>66</v>
      </c>
      <c r="AM322" s="3">
        <v>46268</v>
      </c>
      <c r="AN322" s="4">
        <v>0.40910879629629632</v>
      </c>
      <c r="AO322" t="s">
        <v>333</v>
      </c>
      <c r="AP322" t="s">
        <v>334</v>
      </c>
      <c r="AQ322" t="s">
        <v>69</v>
      </c>
      <c r="AR322">
        <v>83</v>
      </c>
      <c r="AS322" t="s">
        <v>70</v>
      </c>
      <c r="AT322" t="s">
        <v>302</v>
      </c>
      <c r="AU322" t="s">
        <v>221</v>
      </c>
      <c r="AV322" t="s">
        <v>73</v>
      </c>
      <c r="AW322" t="str">
        <f t="shared" ref="AW322:AW385" si="10">IF(L322="Otra",IF(M322="","Otra",M322&amp;""),L322&amp;"")</f>
        <v>Ingeniería Química</v>
      </c>
      <c r="AX322" t="str">
        <f t="shared" ref="AX322:AX385" si="11">IF(OR(AO322="",AO322=0),"",TRIM(AO322))</f>
        <v>324 2183271</v>
      </c>
      <c r="AY322" t="str">
        <f>IFERROR(INDEX(Vacantes!$C:$C,MATCH(AT322,Vacantes!$A:$A,0)),"")</f>
        <v>Cervecería de Barranquilla</v>
      </c>
      <c r="AZ322" t="str">
        <f>IFERROR(INDEX(Vacantes!$D:$D,MATCH(AT322,Vacantes!$A:$A,0)),"")</f>
        <v>22 de octubre de 2026</v>
      </c>
      <c r="BA322" t="str">
        <f>IFERROR(INDEX(Vacantes!$E:$E,MATCH(AT322,Vacantes!$A:$A,0)),"")</f>
        <v>12:30 p.m. a 5:00 p.m.</v>
      </c>
    </row>
    <row r="323" spans="1:53" x14ac:dyDescent="0.15">
      <c r="A323" t="s">
        <v>605</v>
      </c>
      <c r="B323" t="s">
        <v>606</v>
      </c>
      <c r="C323" t="s">
        <v>55</v>
      </c>
      <c r="D323">
        <v>1042247753</v>
      </c>
      <c r="E323" t="s">
        <v>76</v>
      </c>
      <c r="F323">
        <v>20</v>
      </c>
      <c r="G323" t="b">
        <v>1</v>
      </c>
      <c r="I323" t="s">
        <v>168</v>
      </c>
      <c r="J323" t="s">
        <v>132</v>
      </c>
      <c r="K323" t="s">
        <v>607</v>
      </c>
      <c r="L323" t="s">
        <v>143</v>
      </c>
      <c r="N323" t="b">
        <v>0</v>
      </c>
      <c r="O323" t="b">
        <v>0</v>
      </c>
      <c r="P323" t="s">
        <v>60</v>
      </c>
      <c r="Q323" t="s">
        <v>144</v>
      </c>
      <c r="R323" t="s">
        <v>125</v>
      </c>
      <c r="W323" t="s">
        <v>135</v>
      </c>
      <c r="AB323" t="b">
        <v>0</v>
      </c>
      <c r="AC323" t="b">
        <v>0</v>
      </c>
      <c r="AE323" t="b">
        <v>0</v>
      </c>
      <c r="AG323" t="b">
        <v>0</v>
      </c>
      <c r="AI323" t="b">
        <v>0</v>
      </c>
      <c r="AK323" t="s">
        <v>94</v>
      </c>
      <c r="AL323" t="s">
        <v>66</v>
      </c>
      <c r="AM323" s="3">
        <v>46278</v>
      </c>
      <c r="AN323" s="4">
        <v>0.40167824074074082</v>
      </c>
      <c r="AO323">
        <v>3002713372</v>
      </c>
      <c r="AP323" t="s">
        <v>608</v>
      </c>
      <c r="AQ323" t="s">
        <v>69</v>
      </c>
      <c r="AR323">
        <v>76.8</v>
      </c>
      <c r="AS323" t="s">
        <v>70</v>
      </c>
      <c r="AT323" t="s">
        <v>609</v>
      </c>
      <c r="AU323" t="s">
        <v>221</v>
      </c>
      <c r="AV323" t="s">
        <v>73</v>
      </c>
      <c r="AW323" t="str">
        <f t="shared" si="10"/>
        <v>Ingeniería Industrial</v>
      </c>
      <c r="AX323" t="str">
        <f t="shared" si="11"/>
        <v>3002713372</v>
      </c>
      <c r="AY323" t="str">
        <f>IFERROR(INDEX(Vacantes!$C:$C,MATCH(AT323,Vacantes!$A:$A,0)),"")</f>
        <v>Cervecería de Barranquilla</v>
      </c>
      <c r="AZ323" t="str">
        <f>IFERROR(INDEX(Vacantes!$D:$D,MATCH(AT323,Vacantes!$A:$A,0)),"")</f>
        <v>22 de octubre de 2026</v>
      </c>
      <c r="BA323" t="str">
        <f>IFERROR(INDEX(Vacantes!$E:$E,MATCH(AT323,Vacantes!$A:$A,0)),"")</f>
        <v>12:30 p.m. a 5:00 p.m.</v>
      </c>
    </row>
    <row r="324" spans="1:53" x14ac:dyDescent="0.15">
      <c r="A324" t="s">
        <v>610</v>
      </c>
      <c r="B324" t="s">
        <v>611</v>
      </c>
      <c r="C324" t="s">
        <v>55</v>
      </c>
      <c r="D324">
        <v>1002163133</v>
      </c>
      <c r="E324" t="s">
        <v>56</v>
      </c>
      <c r="F324">
        <v>23</v>
      </c>
      <c r="G324" t="b">
        <v>1</v>
      </c>
      <c r="H324" t="s">
        <v>168</v>
      </c>
      <c r="I324" t="s">
        <v>168</v>
      </c>
      <c r="J324" t="s">
        <v>319</v>
      </c>
      <c r="L324" t="s">
        <v>612</v>
      </c>
      <c r="N324" t="b">
        <v>0</v>
      </c>
      <c r="O324" t="b">
        <v>0</v>
      </c>
      <c r="P324" t="s">
        <v>60</v>
      </c>
      <c r="Q324" t="s">
        <v>60</v>
      </c>
      <c r="R324" t="s">
        <v>125</v>
      </c>
      <c r="W324" t="s">
        <v>125</v>
      </c>
      <c r="X324" t="s">
        <v>332</v>
      </c>
      <c r="AB324" t="b">
        <v>0</v>
      </c>
      <c r="AC324" t="b">
        <v>0</v>
      </c>
      <c r="AE324" t="b">
        <v>0</v>
      </c>
      <c r="AG324" t="b">
        <v>0</v>
      </c>
      <c r="AI324" t="b">
        <v>0</v>
      </c>
      <c r="AK324" t="s">
        <v>153</v>
      </c>
      <c r="AL324" t="s">
        <v>66</v>
      </c>
      <c r="AM324" s="3">
        <v>46277</v>
      </c>
      <c r="AN324" s="4">
        <v>0.39241898148148152</v>
      </c>
      <c r="AO324" t="s">
        <v>613</v>
      </c>
      <c r="AP324" t="s">
        <v>614</v>
      </c>
      <c r="AQ324" t="s">
        <v>69</v>
      </c>
      <c r="AR324">
        <v>95.4</v>
      </c>
      <c r="AS324" t="s">
        <v>70</v>
      </c>
      <c r="AT324" t="s">
        <v>609</v>
      </c>
      <c r="AU324" t="s">
        <v>221</v>
      </c>
      <c r="AV324" t="s">
        <v>73</v>
      </c>
      <c r="AW324" t="str">
        <f t="shared" si="10"/>
        <v>Ingeniería Mecánica</v>
      </c>
      <c r="AX324" t="str">
        <f t="shared" si="11"/>
        <v>300 2916918</v>
      </c>
      <c r="AY324" t="str">
        <f>IFERROR(INDEX(Vacantes!$C:$C,MATCH(AT324,Vacantes!$A:$A,0)),"")</f>
        <v>Cervecería de Barranquilla</v>
      </c>
      <c r="AZ324" t="str">
        <f>IFERROR(INDEX(Vacantes!$D:$D,MATCH(AT324,Vacantes!$A:$A,0)),"")</f>
        <v>22 de octubre de 2026</v>
      </c>
      <c r="BA324" t="str">
        <f>IFERROR(INDEX(Vacantes!$E:$E,MATCH(AT324,Vacantes!$A:$A,0)),"")</f>
        <v>12:30 p.m. a 5:00 p.m.</v>
      </c>
    </row>
    <row r="325" spans="1:53" x14ac:dyDescent="0.15">
      <c r="A325" t="s">
        <v>615</v>
      </c>
      <c r="B325" t="s">
        <v>616</v>
      </c>
      <c r="C325" t="s">
        <v>55</v>
      </c>
      <c r="D325">
        <v>1042852030</v>
      </c>
      <c r="E325" t="s">
        <v>76</v>
      </c>
      <c r="F325">
        <v>20</v>
      </c>
      <c r="G325" t="b">
        <v>1</v>
      </c>
      <c r="H325" t="s">
        <v>617</v>
      </c>
      <c r="I325" t="s">
        <v>168</v>
      </c>
      <c r="J325" t="s">
        <v>132</v>
      </c>
      <c r="K325" t="s">
        <v>618</v>
      </c>
      <c r="L325" t="s">
        <v>124</v>
      </c>
      <c r="N325" t="b">
        <v>1</v>
      </c>
      <c r="O325" t="b">
        <v>0</v>
      </c>
      <c r="P325" t="s">
        <v>60</v>
      </c>
      <c r="Q325" t="s">
        <v>144</v>
      </c>
      <c r="R325" t="s">
        <v>125</v>
      </c>
      <c r="W325" t="s">
        <v>62</v>
      </c>
      <c r="AB325" t="b">
        <v>0</v>
      </c>
      <c r="AC325" t="b">
        <v>0</v>
      </c>
      <c r="AE325" t="b">
        <v>0</v>
      </c>
      <c r="AG325" t="b">
        <v>0</v>
      </c>
      <c r="AI325" t="b">
        <v>0</v>
      </c>
      <c r="AK325" t="s">
        <v>202</v>
      </c>
      <c r="AL325" t="s">
        <v>66</v>
      </c>
      <c r="AM325" s="3">
        <v>46264</v>
      </c>
      <c r="AN325" s="4">
        <v>0.43059027777777781</v>
      </c>
      <c r="AO325" t="s">
        <v>619</v>
      </c>
      <c r="AP325" t="s">
        <v>620</v>
      </c>
      <c r="AQ325" t="s">
        <v>69</v>
      </c>
      <c r="AR325">
        <v>94.7</v>
      </c>
      <c r="AS325" t="s">
        <v>85</v>
      </c>
      <c r="AT325" t="s">
        <v>609</v>
      </c>
      <c r="AU325" t="s">
        <v>221</v>
      </c>
      <c r="AV325" t="s">
        <v>73</v>
      </c>
      <c r="AW325" t="str">
        <f t="shared" si="10"/>
        <v>Ingeniería Mecatrónica</v>
      </c>
      <c r="AX325" t="str">
        <f t="shared" si="11"/>
        <v>302 8689279</v>
      </c>
      <c r="AY325" t="str">
        <f>IFERROR(INDEX(Vacantes!$C:$C,MATCH(AT325,Vacantes!$A:$A,0)),"")</f>
        <v>Cervecería de Barranquilla</v>
      </c>
      <c r="AZ325" t="str">
        <f>IFERROR(INDEX(Vacantes!$D:$D,MATCH(AT325,Vacantes!$A:$A,0)),"")</f>
        <v>22 de octubre de 2026</v>
      </c>
      <c r="BA325" t="str">
        <f>IFERROR(INDEX(Vacantes!$E:$E,MATCH(AT325,Vacantes!$A:$A,0)),"")</f>
        <v>12:30 p.m. a 5:00 p.m.</v>
      </c>
    </row>
    <row r="326" spans="1:53" x14ac:dyDescent="0.15">
      <c r="A326" t="s">
        <v>621</v>
      </c>
      <c r="B326" t="s">
        <v>622</v>
      </c>
      <c r="C326" t="s">
        <v>55</v>
      </c>
      <c r="D326">
        <v>1001825014</v>
      </c>
      <c r="E326" t="s">
        <v>56</v>
      </c>
      <c r="F326">
        <v>24</v>
      </c>
      <c r="G326" t="b">
        <v>1</v>
      </c>
      <c r="H326" t="s">
        <v>174</v>
      </c>
      <c r="I326" t="s">
        <v>168</v>
      </c>
      <c r="J326" t="s">
        <v>169</v>
      </c>
      <c r="L326" t="s">
        <v>143</v>
      </c>
      <c r="N326" t="b">
        <v>0</v>
      </c>
      <c r="O326" t="b">
        <v>0</v>
      </c>
      <c r="P326" t="s">
        <v>60</v>
      </c>
      <c r="Q326" t="s">
        <v>61</v>
      </c>
      <c r="R326" t="s">
        <v>125</v>
      </c>
      <c r="W326" t="s">
        <v>89</v>
      </c>
      <c r="AB326" t="b">
        <v>0</v>
      </c>
      <c r="AC326" t="b">
        <v>0</v>
      </c>
      <c r="AE326" t="b">
        <v>0</v>
      </c>
      <c r="AG326" t="b">
        <v>0</v>
      </c>
      <c r="AI326" t="b">
        <v>0</v>
      </c>
      <c r="AK326" t="s">
        <v>94</v>
      </c>
      <c r="AL326" t="s">
        <v>66</v>
      </c>
      <c r="AM326" s="3">
        <v>46264</v>
      </c>
      <c r="AN326" s="4">
        <v>0.43061342592592589</v>
      </c>
      <c r="AO326">
        <v>3028404613</v>
      </c>
      <c r="AP326" t="s">
        <v>623</v>
      </c>
      <c r="AQ326" t="s">
        <v>69</v>
      </c>
      <c r="AR326">
        <v>84.9</v>
      </c>
      <c r="AS326" t="s">
        <v>70</v>
      </c>
      <c r="AT326" t="s">
        <v>609</v>
      </c>
      <c r="AU326" t="s">
        <v>221</v>
      </c>
      <c r="AV326" t="s">
        <v>73</v>
      </c>
      <c r="AW326" t="str">
        <f t="shared" si="10"/>
        <v>Ingeniería Industrial</v>
      </c>
      <c r="AX326" t="str">
        <f t="shared" si="11"/>
        <v>3028404613</v>
      </c>
      <c r="AY326" t="str">
        <f>IFERROR(INDEX(Vacantes!$C:$C,MATCH(AT326,Vacantes!$A:$A,0)),"")</f>
        <v>Cervecería de Barranquilla</v>
      </c>
      <c r="AZ326" t="str">
        <f>IFERROR(INDEX(Vacantes!$D:$D,MATCH(AT326,Vacantes!$A:$A,0)),"")</f>
        <v>22 de octubre de 2026</v>
      </c>
      <c r="BA326" t="str">
        <f>IFERROR(INDEX(Vacantes!$E:$E,MATCH(AT326,Vacantes!$A:$A,0)),"")</f>
        <v>12:30 p.m. a 5:00 p.m.</v>
      </c>
    </row>
    <row r="327" spans="1:53" x14ac:dyDescent="0.15">
      <c r="A327" t="s">
        <v>624</v>
      </c>
      <c r="B327" t="s">
        <v>625</v>
      </c>
      <c r="C327" t="s">
        <v>55</v>
      </c>
      <c r="D327">
        <v>1042242843</v>
      </c>
      <c r="E327" t="s">
        <v>56</v>
      </c>
      <c r="F327">
        <v>21</v>
      </c>
      <c r="G327" t="b">
        <v>1</v>
      </c>
      <c r="H327" t="s">
        <v>626</v>
      </c>
      <c r="I327" t="s">
        <v>168</v>
      </c>
      <c r="J327" t="s">
        <v>319</v>
      </c>
      <c r="L327" t="s">
        <v>612</v>
      </c>
      <c r="N327" t="b">
        <v>1</v>
      </c>
      <c r="O327" t="b">
        <v>0</v>
      </c>
      <c r="P327" t="s">
        <v>60</v>
      </c>
      <c r="Q327" t="s">
        <v>61</v>
      </c>
      <c r="R327" t="s">
        <v>125</v>
      </c>
      <c r="W327" t="s">
        <v>125</v>
      </c>
      <c r="X327" t="s">
        <v>332</v>
      </c>
      <c r="AB327" t="b">
        <v>0</v>
      </c>
      <c r="AC327" t="b">
        <v>0</v>
      </c>
      <c r="AE327" t="b">
        <v>0</v>
      </c>
      <c r="AG327" t="b">
        <v>0</v>
      </c>
      <c r="AI327" t="b">
        <v>0</v>
      </c>
      <c r="AK327" t="s">
        <v>202</v>
      </c>
      <c r="AL327" t="s">
        <v>66</v>
      </c>
      <c r="AM327" s="3">
        <v>46278</v>
      </c>
      <c r="AN327" s="4">
        <v>0.66356481481481477</v>
      </c>
      <c r="AO327" t="s">
        <v>627</v>
      </c>
      <c r="AP327" t="s">
        <v>628</v>
      </c>
      <c r="AQ327" t="s">
        <v>69</v>
      </c>
      <c r="AR327">
        <v>77.7</v>
      </c>
      <c r="AS327" t="s">
        <v>70</v>
      </c>
      <c r="AT327" t="s">
        <v>609</v>
      </c>
      <c r="AU327" t="s">
        <v>221</v>
      </c>
      <c r="AV327" t="s">
        <v>73</v>
      </c>
      <c r="AW327" t="str">
        <f t="shared" si="10"/>
        <v>Ingeniería Mecánica</v>
      </c>
      <c r="AX327" t="str">
        <f t="shared" si="11"/>
        <v>302 8476293</v>
      </c>
      <c r="AY327" t="str">
        <f>IFERROR(INDEX(Vacantes!$C:$C,MATCH(AT327,Vacantes!$A:$A,0)),"")</f>
        <v>Cervecería de Barranquilla</v>
      </c>
      <c r="AZ327" t="str">
        <f>IFERROR(INDEX(Vacantes!$D:$D,MATCH(AT327,Vacantes!$A:$A,0)),"")</f>
        <v>22 de octubre de 2026</v>
      </c>
      <c r="BA327" t="str">
        <f>IFERROR(INDEX(Vacantes!$E:$E,MATCH(AT327,Vacantes!$A:$A,0)),"")</f>
        <v>12:30 p.m. a 5:00 p.m.</v>
      </c>
    </row>
    <row r="328" spans="1:53" x14ac:dyDescent="0.15">
      <c r="A328" t="s">
        <v>629</v>
      </c>
      <c r="B328" t="s">
        <v>630</v>
      </c>
      <c r="C328" t="s">
        <v>55</v>
      </c>
      <c r="D328">
        <v>1043132420</v>
      </c>
      <c r="E328" t="s">
        <v>76</v>
      </c>
      <c r="F328">
        <v>19</v>
      </c>
      <c r="G328" t="b">
        <v>1</v>
      </c>
      <c r="H328" t="s">
        <v>174</v>
      </c>
      <c r="I328" t="s">
        <v>168</v>
      </c>
      <c r="J328" t="s">
        <v>132</v>
      </c>
      <c r="K328" t="s">
        <v>631</v>
      </c>
      <c r="L328" t="s">
        <v>612</v>
      </c>
      <c r="N328" t="b">
        <v>1</v>
      </c>
      <c r="O328" t="b">
        <v>0</v>
      </c>
      <c r="P328" t="s">
        <v>144</v>
      </c>
      <c r="Q328" t="s">
        <v>60</v>
      </c>
      <c r="R328" t="s">
        <v>125</v>
      </c>
      <c r="W328" t="s">
        <v>62</v>
      </c>
      <c r="AB328" t="b">
        <v>0</v>
      </c>
      <c r="AC328" t="b">
        <v>0</v>
      </c>
      <c r="AE328" t="b">
        <v>0</v>
      </c>
      <c r="AG328" t="b">
        <v>0</v>
      </c>
      <c r="AI328" t="b">
        <v>0</v>
      </c>
      <c r="AK328" t="s">
        <v>94</v>
      </c>
      <c r="AL328" t="s">
        <v>66</v>
      </c>
      <c r="AM328" s="3">
        <v>46264</v>
      </c>
      <c r="AN328" s="4">
        <v>0.43060185185185179</v>
      </c>
      <c r="AO328" t="s">
        <v>632</v>
      </c>
      <c r="AP328" t="s">
        <v>633</v>
      </c>
      <c r="AQ328" t="s">
        <v>69</v>
      </c>
      <c r="AR328">
        <v>80.7</v>
      </c>
      <c r="AS328" t="s">
        <v>70</v>
      </c>
      <c r="AT328" t="s">
        <v>609</v>
      </c>
      <c r="AU328" t="s">
        <v>221</v>
      </c>
      <c r="AV328" t="s">
        <v>73</v>
      </c>
      <c r="AW328" t="str">
        <f t="shared" si="10"/>
        <v>Ingeniería Mecánica</v>
      </c>
      <c r="AX328" t="str">
        <f t="shared" si="11"/>
        <v>300 3916646</v>
      </c>
      <c r="AY328" t="str">
        <f>IFERROR(INDEX(Vacantes!$C:$C,MATCH(AT328,Vacantes!$A:$A,0)),"")</f>
        <v>Cervecería de Barranquilla</v>
      </c>
      <c r="AZ328" t="str">
        <f>IFERROR(INDEX(Vacantes!$D:$D,MATCH(AT328,Vacantes!$A:$A,0)),"")</f>
        <v>22 de octubre de 2026</v>
      </c>
      <c r="BA328" t="str">
        <f>IFERROR(INDEX(Vacantes!$E:$E,MATCH(AT328,Vacantes!$A:$A,0)),"")</f>
        <v>12:30 p.m. a 5:00 p.m.</v>
      </c>
    </row>
    <row r="329" spans="1:53" x14ac:dyDescent="0.15">
      <c r="A329" t="s">
        <v>634</v>
      </c>
      <c r="B329" t="s">
        <v>635</v>
      </c>
      <c r="C329" t="s">
        <v>55</v>
      </c>
      <c r="D329">
        <v>1002163280</v>
      </c>
      <c r="E329" t="s">
        <v>76</v>
      </c>
      <c r="F329">
        <v>26</v>
      </c>
      <c r="G329" t="b">
        <v>1</v>
      </c>
      <c r="H329" t="s">
        <v>174</v>
      </c>
      <c r="I329" t="s">
        <v>168</v>
      </c>
      <c r="J329" t="s">
        <v>314</v>
      </c>
      <c r="L329" t="s">
        <v>612</v>
      </c>
      <c r="N329" t="b">
        <v>1</v>
      </c>
      <c r="O329" t="b">
        <v>0</v>
      </c>
      <c r="P329" t="s">
        <v>60</v>
      </c>
      <c r="Q329" t="s">
        <v>60</v>
      </c>
      <c r="R329" t="s">
        <v>125</v>
      </c>
      <c r="W329" t="s">
        <v>125</v>
      </c>
      <c r="X329" t="s">
        <v>332</v>
      </c>
      <c r="AB329" t="b">
        <v>0</v>
      </c>
      <c r="AC329" t="b">
        <v>0</v>
      </c>
      <c r="AE329" t="b">
        <v>0</v>
      </c>
      <c r="AG329" t="b">
        <v>0</v>
      </c>
      <c r="AI329" t="b">
        <v>0</v>
      </c>
      <c r="AK329" t="s">
        <v>94</v>
      </c>
      <c r="AL329" t="s">
        <v>66</v>
      </c>
      <c r="AM329" s="3">
        <v>46278</v>
      </c>
      <c r="AN329" s="4">
        <v>0.42499999999999999</v>
      </c>
      <c r="AO329">
        <v>3137286283</v>
      </c>
      <c r="AP329" t="s">
        <v>636</v>
      </c>
      <c r="AQ329" t="s">
        <v>69</v>
      </c>
      <c r="AR329">
        <v>75</v>
      </c>
      <c r="AS329" t="s">
        <v>70</v>
      </c>
      <c r="AT329" t="s">
        <v>609</v>
      </c>
      <c r="AU329" t="s">
        <v>221</v>
      </c>
      <c r="AV329" t="s">
        <v>73</v>
      </c>
      <c r="AW329" t="str">
        <f t="shared" si="10"/>
        <v>Ingeniería Mecánica</v>
      </c>
      <c r="AX329" t="str">
        <f t="shared" si="11"/>
        <v>3137286283</v>
      </c>
      <c r="AY329" t="str">
        <f>IFERROR(INDEX(Vacantes!$C:$C,MATCH(AT329,Vacantes!$A:$A,0)),"")</f>
        <v>Cervecería de Barranquilla</v>
      </c>
      <c r="AZ329" t="str">
        <f>IFERROR(INDEX(Vacantes!$D:$D,MATCH(AT329,Vacantes!$A:$A,0)),"")</f>
        <v>22 de octubre de 2026</v>
      </c>
      <c r="BA329" t="str">
        <f>IFERROR(INDEX(Vacantes!$E:$E,MATCH(AT329,Vacantes!$A:$A,0)),"")</f>
        <v>12:30 p.m. a 5:00 p.m.</v>
      </c>
    </row>
    <row r="330" spans="1:53" x14ac:dyDescent="0.15">
      <c r="A330" t="s">
        <v>637</v>
      </c>
      <c r="B330" t="s">
        <v>638</v>
      </c>
      <c r="C330" t="s">
        <v>55</v>
      </c>
      <c r="D330">
        <v>1042849137</v>
      </c>
      <c r="E330" t="s">
        <v>639</v>
      </c>
      <c r="F330">
        <v>22</v>
      </c>
      <c r="G330" t="b">
        <v>1</v>
      </c>
      <c r="H330" t="s">
        <v>174</v>
      </c>
      <c r="I330" t="s">
        <v>168</v>
      </c>
      <c r="J330" t="s">
        <v>319</v>
      </c>
      <c r="L330" t="s">
        <v>640</v>
      </c>
      <c r="N330" t="b">
        <v>1</v>
      </c>
      <c r="O330" t="b">
        <v>0</v>
      </c>
      <c r="P330" t="s">
        <v>61</v>
      </c>
      <c r="Q330" t="s">
        <v>60</v>
      </c>
      <c r="R330" t="s">
        <v>62</v>
      </c>
      <c r="W330" t="s">
        <v>135</v>
      </c>
      <c r="AB330" t="b">
        <v>0</v>
      </c>
      <c r="AC330" t="b">
        <v>0</v>
      </c>
      <c r="AE330" t="b">
        <v>0</v>
      </c>
      <c r="AG330" t="b">
        <v>0</v>
      </c>
      <c r="AI330" t="b">
        <v>0</v>
      </c>
      <c r="AK330" t="s">
        <v>248</v>
      </c>
      <c r="AL330" t="s">
        <v>66</v>
      </c>
      <c r="AM330" s="3">
        <v>46276</v>
      </c>
      <c r="AN330" s="4">
        <v>0.43270833333333331</v>
      </c>
      <c r="AO330" t="s">
        <v>641</v>
      </c>
      <c r="AP330" t="s">
        <v>642</v>
      </c>
      <c r="AQ330" t="s">
        <v>69</v>
      </c>
      <c r="AR330">
        <v>74.8</v>
      </c>
      <c r="AS330" t="s">
        <v>85</v>
      </c>
      <c r="AT330" t="s">
        <v>609</v>
      </c>
      <c r="AU330" t="s">
        <v>221</v>
      </c>
      <c r="AV330" t="s">
        <v>73</v>
      </c>
      <c r="AW330" t="str">
        <f t="shared" si="10"/>
        <v>Ingeniería Electrónica</v>
      </c>
      <c r="AX330" t="str">
        <f t="shared" si="11"/>
        <v>314 3636163</v>
      </c>
      <c r="AY330" t="str">
        <f>IFERROR(INDEX(Vacantes!$C:$C,MATCH(AT330,Vacantes!$A:$A,0)),"")</f>
        <v>Cervecería de Barranquilla</v>
      </c>
      <c r="AZ330" t="str">
        <f>IFERROR(INDEX(Vacantes!$D:$D,MATCH(AT330,Vacantes!$A:$A,0)),"")</f>
        <v>22 de octubre de 2026</v>
      </c>
      <c r="BA330" t="str">
        <f>IFERROR(INDEX(Vacantes!$E:$E,MATCH(AT330,Vacantes!$A:$A,0)),"")</f>
        <v>12:30 p.m. a 5:00 p.m.</v>
      </c>
    </row>
    <row r="331" spans="1:53" x14ac:dyDescent="0.15">
      <c r="A331" t="s">
        <v>643</v>
      </c>
      <c r="B331" t="s">
        <v>644</v>
      </c>
      <c r="C331" t="s">
        <v>55</v>
      </c>
      <c r="D331">
        <v>1193588753</v>
      </c>
      <c r="E331" t="s">
        <v>56</v>
      </c>
      <c r="F331">
        <v>22</v>
      </c>
      <c r="G331" t="b">
        <v>1</v>
      </c>
      <c r="H331" t="s">
        <v>174</v>
      </c>
      <c r="I331" t="s">
        <v>168</v>
      </c>
      <c r="J331" t="s">
        <v>319</v>
      </c>
      <c r="L331" t="s">
        <v>612</v>
      </c>
      <c r="N331" t="b">
        <v>1</v>
      </c>
      <c r="O331" t="b">
        <v>0</v>
      </c>
      <c r="P331" t="s">
        <v>60</v>
      </c>
      <c r="Q331" t="s">
        <v>60</v>
      </c>
      <c r="R331" t="s">
        <v>125</v>
      </c>
      <c r="W331" t="s">
        <v>135</v>
      </c>
      <c r="AB331" t="b">
        <v>0</v>
      </c>
      <c r="AC331" t="b">
        <v>0</v>
      </c>
      <c r="AE331" t="b">
        <v>0</v>
      </c>
      <c r="AG331" t="b">
        <v>0</v>
      </c>
      <c r="AI331" t="b">
        <v>0</v>
      </c>
      <c r="AK331" t="s">
        <v>65</v>
      </c>
      <c r="AL331" t="s">
        <v>66</v>
      </c>
      <c r="AM331" s="3">
        <v>46277</v>
      </c>
      <c r="AN331" s="4">
        <v>0.51884259259259258</v>
      </c>
      <c r="AO331" t="s">
        <v>645</v>
      </c>
      <c r="AP331" t="s">
        <v>646</v>
      </c>
      <c r="AQ331" t="s">
        <v>69</v>
      </c>
      <c r="AR331">
        <v>93.3</v>
      </c>
      <c r="AS331" t="s">
        <v>70</v>
      </c>
      <c r="AT331" t="s">
        <v>609</v>
      </c>
      <c r="AU331" t="s">
        <v>221</v>
      </c>
      <c r="AV331" t="s">
        <v>73</v>
      </c>
      <c r="AW331" t="str">
        <f t="shared" si="10"/>
        <v>Ingeniería Mecánica</v>
      </c>
      <c r="AX331" t="str">
        <f t="shared" si="11"/>
        <v>304 5286582</v>
      </c>
      <c r="AY331" t="str">
        <f>IFERROR(INDEX(Vacantes!$C:$C,MATCH(AT331,Vacantes!$A:$A,0)),"")</f>
        <v>Cervecería de Barranquilla</v>
      </c>
      <c r="AZ331" t="str">
        <f>IFERROR(INDEX(Vacantes!$D:$D,MATCH(AT331,Vacantes!$A:$A,0)),"")</f>
        <v>22 de octubre de 2026</v>
      </c>
      <c r="BA331" t="str">
        <f>IFERROR(INDEX(Vacantes!$E:$E,MATCH(AT331,Vacantes!$A:$A,0)),"")</f>
        <v>12:30 p.m. a 5:00 p.m.</v>
      </c>
    </row>
    <row r="332" spans="1:53" x14ac:dyDescent="0.15">
      <c r="A332" t="s">
        <v>714</v>
      </c>
      <c r="B332" t="s">
        <v>715</v>
      </c>
      <c r="C332" t="s">
        <v>55</v>
      </c>
      <c r="D332">
        <v>1007786770</v>
      </c>
      <c r="E332" t="s">
        <v>56</v>
      </c>
      <c r="F332">
        <v>26</v>
      </c>
      <c r="G332" t="b">
        <v>1</v>
      </c>
      <c r="H332" t="s">
        <v>716</v>
      </c>
      <c r="I332" t="s">
        <v>168</v>
      </c>
      <c r="J332" t="s">
        <v>132</v>
      </c>
      <c r="K332" t="s">
        <v>717</v>
      </c>
      <c r="L332" t="s">
        <v>305</v>
      </c>
      <c r="N332" t="b">
        <v>0</v>
      </c>
      <c r="O332" t="b">
        <v>0</v>
      </c>
      <c r="P332" t="s">
        <v>60</v>
      </c>
      <c r="Q332" t="s">
        <v>60</v>
      </c>
      <c r="R332" t="s">
        <v>125</v>
      </c>
      <c r="W332" t="s">
        <v>135</v>
      </c>
      <c r="AB332" t="b">
        <v>0</v>
      </c>
      <c r="AC332" t="b">
        <v>0</v>
      </c>
      <c r="AE332" t="b">
        <v>0</v>
      </c>
      <c r="AG332" t="b">
        <v>0</v>
      </c>
      <c r="AI332" t="b">
        <v>0</v>
      </c>
      <c r="AK332" t="s">
        <v>94</v>
      </c>
      <c r="AL332" t="s">
        <v>66</v>
      </c>
      <c r="AM332" s="3">
        <v>46263</v>
      </c>
      <c r="AN332" s="4">
        <v>0.50167824074074074</v>
      </c>
      <c r="AO332" t="s">
        <v>718</v>
      </c>
      <c r="AP332" t="s">
        <v>719</v>
      </c>
      <c r="AQ332" t="s">
        <v>69</v>
      </c>
      <c r="AR332">
        <v>82.4</v>
      </c>
      <c r="AS332" t="s">
        <v>70</v>
      </c>
      <c r="AT332" t="s">
        <v>720</v>
      </c>
      <c r="AU332" t="s">
        <v>221</v>
      </c>
      <c r="AV332" t="s">
        <v>73</v>
      </c>
      <c r="AW332" t="str">
        <f t="shared" si="10"/>
        <v>Ingeniería Química</v>
      </c>
      <c r="AX332" t="str">
        <f t="shared" si="11"/>
        <v>320 7461252</v>
      </c>
      <c r="AY332" t="str">
        <f>IFERROR(INDEX(Vacantes!$C:$C,MATCH(AT332,Vacantes!$A:$A,0)),"")</f>
        <v>Cervecería de Barranquilla</v>
      </c>
      <c r="AZ332" t="str">
        <f>IFERROR(INDEX(Vacantes!$D:$D,MATCH(AT332,Vacantes!$A:$A,0)),"")</f>
        <v>22 de octubre de 2026</v>
      </c>
      <c r="BA332" t="str">
        <f>IFERROR(INDEX(Vacantes!$E:$E,MATCH(AT332,Vacantes!$A:$A,0)),"")</f>
        <v>12:30 p.m. a 5:00 p.m.</v>
      </c>
    </row>
    <row r="333" spans="1:53" x14ac:dyDescent="0.15">
      <c r="A333" t="s">
        <v>721</v>
      </c>
      <c r="B333" t="s">
        <v>722</v>
      </c>
      <c r="C333" t="s">
        <v>55</v>
      </c>
      <c r="D333">
        <v>1007219010</v>
      </c>
      <c r="E333" t="s">
        <v>56</v>
      </c>
      <c r="F333">
        <v>24</v>
      </c>
      <c r="G333" t="b">
        <v>1</v>
      </c>
      <c r="H333" t="s">
        <v>168</v>
      </c>
      <c r="I333" t="s">
        <v>168</v>
      </c>
      <c r="J333" t="s">
        <v>132</v>
      </c>
      <c r="K333" t="s">
        <v>723</v>
      </c>
      <c r="L333" t="s">
        <v>143</v>
      </c>
      <c r="N333" t="b">
        <v>0</v>
      </c>
      <c r="O333" t="b">
        <v>0</v>
      </c>
      <c r="P333" t="s">
        <v>144</v>
      </c>
      <c r="Q333" t="s">
        <v>60</v>
      </c>
      <c r="R333" t="s">
        <v>135</v>
      </c>
      <c r="W333" t="s">
        <v>125</v>
      </c>
      <c r="X333" t="s">
        <v>315</v>
      </c>
      <c r="AB333" t="b">
        <v>0</v>
      </c>
      <c r="AC333" t="b">
        <v>0</v>
      </c>
      <c r="AE333" t="b">
        <v>0</v>
      </c>
      <c r="AG333" t="b">
        <v>0</v>
      </c>
      <c r="AI333" t="b">
        <v>0</v>
      </c>
      <c r="AK333" t="s">
        <v>94</v>
      </c>
      <c r="AL333" t="s">
        <v>66</v>
      </c>
      <c r="AM333" s="3">
        <v>46258</v>
      </c>
      <c r="AN333" s="4">
        <v>0.76322916666666663</v>
      </c>
      <c r="AO333" t="s">
        <v>724</v>
      </c>
      <c r="AP333" t="s">
        <v>725</v>
      </c>
      <c r="AQ333" t="s">
        <v>69</v>
      </c>
      <c r="AR333">
        <v>80.7</v>
      </c>
      <c r="AS333" t="s">
        <v>70</v>
      </c>
      <c r="AT333" t="s">
        <v>720</v>
      </c>
      <c r="AU333" t="s">
        <v>221</v>
      </c>
      <c r="AV333" t="s">
        <v>73</v>
      </c>
      <c r="AW333" t="str">
        <f t="shared" si="10"/>
        <v>Ingeniería Industrial</v>
      </c>
      <c r="AX333" t="str">
        <f t="shared" si="11"/>
        <v>300 6727521</v>
      </c>
      <c r="AY333" t="str">
        <f>IFERROR(INDEX(Vacantes!$C:$C,MATCH(AT333,Vacantes!$A:$A,0)),"")</f>
        <v>Cervecería de Barranquilla</v>
      </c>
      <c r="AZ333" t="str">
        <f>IFERROR(INDEX(Vacantes!$D:$D,MATCH(AT333,Vacantes!$A:$A,0)),"")</f>
        <v>22 de octubre de 2026</v>
      </c>
      <c r="BA333" t="str">
        <f>IFERROR(INDEX(Vacantes!$E:$E,MATCH(AT333,Vacantes!$A:$A,0)),"")</f>
        <v>12:30 p.m. a 5:00 p.m.</v>
      </c>
    </row>
    <row r="334" spans="1:53" x14ac:dyDescent="0.15">
      <c r="A334" t="s">
        <v>726</v>
      </c>
      <c r="B334" t="s">
        <v>727</v>
      </c>
      <c r="C334" t="s">
        <v>55</v>
      </c>
      <c r="D334">
        <v>1042247728</v>
      </c>
      <c r="E334" t="s">
        <v>56</v>
      </c>
      <c r="F334">
        <v>20</v>
      </c>
      <c r="G334" t="b">
        <v>1</v>
      </c>
      <c r="H334" t="s">
        <v>728</v>
      </c>
      <c r="I334" t="s">
        <v>168</v>
      </c>
      <c r="J334" t="s">
        <v>132</v>
      </c>
      <c r="K334" t="s">
        <v>729</v>
      </c>
      <c r="L334" t="s">
        <v>709</v>
      </c>
      <c r="N334" t="b">
        <v>1</v>
      </c>
      <c r="O334" t="b">
        <v>0</v>
      </c>
      <c r="P334" t="s">
        <v>144</v>
      </c>
      <c r="Q334" t="s">
        <v>61</v>
      </c>
      <c r="R334" t="s">
        <v>62</v>
      </c>
      <c r="W334" t="s">
        <v>125</v>
      </c>
      <c r="X334" t="s">
        <v>387</v>
      </c>
      <c r="AB334" t="b">
        <v>0</v>
      </c>
      <c r="AC334" t="b">
        <v>0</v>
      </c>
      <c r="AE334" t="b">
        <v>0</v>
      </c>
      <c r="AG334" t="b">
        <v>0</v>
      </c>
      <c r="AI334" t="b">
        <v>0</v>
      </c>
      <c r="AK334" t="s">
        <v>202</v>
      </c>
      <c r="AL334" t="s">
        <v>66</v>
      </c>
      <c r="AM334" s="3">
        <v>46267</v>
      </c>
      <c r="AN334" s="4">
        <v>0.55072916666666671</v>
      </c>
      <c r="AO334" t="s">
        <v>730</v>
      </c>
      <c r="AP334" t="s">
        <v>731</v>
      </c>
      <c r="AQ334" t="s">
        <v>69</v>
      </c>
      <c r="AR334">
        <v>83.2</v>
      </c>
      <c r="AS334" t="s">
        <v>85</v>
      </c>
      <c r="AT334" t="s">
        <v>720</v>
      </c>
      <c r="AU334" t="s">
        <v>221</v>
      </c>
      <c r="AV334" t="s">
        <v>73</v>
      </c>
      <c r="AW334" t="str">
        <f t="shared" si="10"/>
        <v>Ingeniería de Sistemas</v>
      </c>
      <c r="AX334" t="str">
        <f t="shared" si="11"/>
        <v>305 4414452</v>
      </c>
      <c r="AY334" t="str">
        <f>IFERROR(INDEX(Vacantes!$C:$C,MATCH(AT334,Vacantes!$A:$A,0)),"")</f>
        <v>Cervecería de Barranquilla</v>
      </c>
      <c r="AZ334" t="str">
        <f>IFERROR(INDEX(Vacantes!$D:$D,MATCH(AT334,Vacantes!$A:$A,0)),"")</f>
        <v>22 de octubre de 2026</v>
      </c>
      <c r="BA334" t="str">
        <f>IFERROR(INDEX(Vacantes!$E:$E,MATCH(AT334,Vacantes!$A:$A,0)),"")</f>
        <v>12:30 p.m. a 5:00 p.m.</v>
      </c>
    </row>
    <row r="335" spans="1:53" x14ac:dyDescent="0.15">
      <c r="A335" t="s">
        <v>732</v>
      </c>
      <c r="B335" t="s">
        <v>733</v>
      </c>
      <c r="C335" t="s">
        <v>55</v>
      </c>
      <c r="D335">
        <v>1034986459</v>
      </c>
      <c r="E335" t="s">
        <v>76</v>
      </c>
      <c r="F335">
        <v>22</v>
      </c>
      <c r="G335" t="b">
        <v>1</v>
      </c>
      <c r="H335" t="s">
        <v>168</v>
      </c>
      <c r="I335" t="s">
        <v>168</v>
      </c>
      <c r="J335" t="s">
        <v>319</v>
      </c>
      <c r="L335" t="s">
        <v>143</v>
      </c>
      <c r="N335" t="b">
        <v>0</v>
      </c>
      <c r="O335" t="b">
        <v>0</v>
      </c>
      <c r="P335" t="s">
        <v>60</v>
      </c>
      <c r="Q335" t="s">
        <v>61</v>
      </c>
      <c r="R335" t="s">
        <v>125</v>
      </c>
      <c r="W335" t="s">
        <v>125</v>
      </c>
      <c r="X335" t="s">
        <v>64</v>
      </c>
      <c r="AB335" t="b">
        <v>0</v>
      </c>
      <c r="AC335" t="b">
        <v>0</v>
      </c>
      <c r="AE335" t="b">
        <v>0</v>
      </c>
      <c r="AG335" t="b">
        <v>0</v>
      </c>
      <c r="AI335" t="b">
        <v>0</v>
      </c>
      <c r="AK335" t="s">
        <v>65</v>
      </c>
      <c r="AL335" t="s">
        <v>66</v>
      </c>
      <c r="AM335" s="3">
        <v>46277</v>
      </c>
      <c r="AN335" s="4">
        <v>0.62225694444444446</v>
      </c>
      <c r="AO335" t="s">
        <v>734</v>
      </c>
      <c r="AP335" t="s">
        <v>735</v>
      </c>
      <c r="AQ335" t="s">
        <v>69</v>
      </c>
      <c r="AR335">
        <v>71.099999999999994</v>
      </c>
      <c r="AS335" t="s">
        <v>70</v>
      </c>
      <c r="AT335" t="s">
        <v>720</v>
      </c>
      <c r="AU335" t="s">
        <v>221</v>
      </c>
      <c r="AV335" t="s">
        <v>73</v>
      </c>
      <c r="AW335" t="str">
        <f t="shared" si="10"/>
        <v>Ingeniería Industrial</v>
      </c>
      <c r="AX335" t="str">
        <f t="shared" si="11"/>
        <v>350 3703324</v>
      </c>
      <c r="AY335" t="str">
        <f>IFERROR(INDEX(Vacantes!$C:$C,MATCH(AT335,Vacantes!$A:$A,0)),"")</f>
        <v>Cervecería de Barranquilla</v>
      </c>
      <c r="AZ335" t="str">
        <f>IFERROR(INDEX(Vacantes!$D:$D,MATCH(AT335,Vacantes!$A:$A,0)),"")</f>
        <v>22 de octubre de 2026</v>
      </c>
      <c r="BA335" t="str">
        <f>IFERROR(INDEX(Vacantes!$E:$E,MATCH(AT335,Vacantes!$A:$A,0)),"")</f>
        <v>12:30 p.m. a 5:00 p.m.</v>
      </c>
    </row>
    <row r="336" spans="1:53" x14ac:dyDescent="0.15">
      <c r="A336" t="s">
        <v>736</v>
      </c>
      <c r="B336" t="s">
        <v>737</v>
      </c>
      <c r="C336" t="s">
        <v>55</v>
      </c>
      <c r="D336">
        <v>1129510305</v>
      </c>
      <c r="E336" t="s">
        <v>56</v>
      </c>
      <c r="F336">
        <v>20</v>
      </c>
      <c r="G336" t="b">
        <v>1</v>
      </c>
      <c r="H336" t="s">
        <v>174</v>
      </c>
      <c r="I336" t="s">
        <v>168</v>
      </c>
      <c r="J336" t="s">
        <v>738</v>
      </c>
      <c r="L336" t="s">
        <v>709</v>
      </c>
      <c r="N336" t="b">
        <v>1</v>
      </c>
      <c r="O336" t="b">
        <v>0</v>
      </c>
      <c r="P336" t="s">
        <v>60</v>
      </c>
      <c r="Q336" t="s">
        <v>60</v>
      </c>
      <c r="R336" t="s">
        <v>62</v>
      </c>
      <c r="W336" t="s">
        <v>125</v>
      </c>
      <c r="X336" t="s">
        <v>145</v>
      </c>
      <c r="AB336" t="b">
        <v>0</v>
      </c>
      <c r="AC336" t="b">
        <v>0</v>
      </c>
      <c r="AE336" t="b">
        <v>0</v>
      </c>
      <c r="AG336" t="b">
        <v>0</v>
      </c>
      <c r="AI336" t="b">
        <v>0</v>
      </c>
      <c r="AK336" t="s">
        <v>94</v>
      </c>
      <c r="AL336" t="s">
        <v>66</v>
      </c>
      <c r="AM336" s="3">
        <v>46263</v>
      </c>
      <c r="AN336" s="4">
        <v>0.50224537037037043</v>
      </c>
      <c r="AO336">
        <v>3169387050</v>
      </c>
      <c r="AP336" t="s">
        <v>739</v>
      </c>
      <c r="AQ336" t="s">
        <v>69</v>
      </c>
      <c r="AR336">
        <v>82.5</v>
      </c>
      <c r="AS336" t="s">
        <v>70</v>
      </c>
      <c r="AT336" t="s">
        <v>720</v>
      </c>
      <c r="AU336" t="s">
        <v>221</v>
      </c>
      <c r="AV336" t="s">
        <v>73</v>
      </c>
      <c r="AW336" t="str">
        <f t="shared" si="10"/>
        <v>Ingeniería de Sistemas</v>
      </c>
      <c r="AX336" t="str">
        <f t="shared" si="11"/>
        <v>3169387050</v>
      </c>
      <c r="AY336" t="str">
        <f>IFERROR(INDEX(Vacantes!$C:$C,MATCH(AT336,Vacantes!$A:$A,0)),"")</f>
        <v>Cervecería de Barranquilla</v>
      </c>
      <c r="AZ336" t="str">
        <f>IFERROR(INDEX(Vacantes!$D:$D,MATCH(AT336,Vacantes!$A:$A,0)),"")</f>
        <v>22 de octubre de 2026</v>
      </c>
      <c r="BA336" t="str">
        <f>IFERROR(INDEX(Vacantes!$E:$E,MATCH(AT336,Vacantes!$A:$A,0)),"")</f>
        <v>12:30 p.m. a 5:00 p.m.</v>
      </c>
    </row>
    <row r="337" spans="1:53" x14ac:dyDescent="0.15">
      <c r="A337" t="s">
        <v>740</v>
      </c>
      <c r="B337" t="s">
        <v>741</v>
      </c>
      <c r="C337" t="s">
        <v>55</v>
      </c>
      <c r="D337">
        <v>1042243983</v>
      </c>
      <c r="E337" t="s">
        <v>56</v>
      </c>
      <c r="F337">
        <v>21</v>
      </c>
      <c r="G337" t="b">
        <v>1</v>
      </c>
      <c r="H337" t="s">
        <v>174</v>
      </c>
      <c r="I337" t="s">
        <v>168</v>
      </c>
      <c r="J337" t="s">
        <v>319</v>
      </c>
      <c r="L337" t="s">
        <v>612</v>
      </c>
      <c r="N337" t="b">
        <v>1</v>
      </c>
      <c r="O337" t="b">
        <v>0</v>
      </c>
      <c r="P337" t="s">
        <v>60</v>
      </c>
      <c r="Q337" t="s">
        <v>60</v>
      </c>
      <c r="R337" t="s">
        <v>125</v>
      </c>
      <c r="W337" t="s">
        <v>135</v>
      </c>
      <c r="AB337" t="b">
        <v>0</v>
      </c>
      <c r="AC337" t="b">
        <v>0</v>
      </c>
      <c r="AE337" t="b">
        <v>0</v>
      </c>
      <c r="AG337" t="b">
        <v>0</v>
      </c>
      <c r="AI337" t="b">
        <v>0</v>
      </c>
      <c r="AK337" t="s">
        <v>248</v>
      </c>
      <c r="AL337" t="s">
        <v>66</v>
      </c>
      <c r="AM337" s="3">
        <v>46278</v>
      </c>
      <c r="AN337" s="4">
        <v>0.57893518518518516</v>
      </c>
      <c r="AO337" t="s">
        <v>742</v>
      </c>
      <c r="AP337" t="s">
        <v>743</v>
      </c>
      <c r="AQ337" t="s">
        <v>69</v>
      </c>
      <c r="AR337">
        <v>78.099999999999994</v>
      </c>
      <c r="AS337" t="s">
        <v>70</v>
      </c>
      <c r="AT337" t="s">
        <v>720</v>
      </c>
      <c r="AU337" t="s">
        <v>221</v>
      </c>
      <c r="AV337" t="s">
        <v>73</v>
      </c>
      <c r="AW337" t="str">
        <f t="shared" si="10"/>
        <v>Ingeniería Mecánica</v>
      </c>
      <c r="AX337" t="str">
        <f t="shared" si="11"/>
        <v>304 5729929</v>
      </c>
      <c r="AY337" t="str">
        <f>IFERROR(INDEX(Vacantes!$C:$C,MATCH(AT337,Vacantes!$A:$A,0)),"")</f>
        <v>Cervecería de Barranquilla</v>
      </c>
      <c r="AZ337" t="str">
        <f>IFERROR(INDEX(Vacantes!$D:$D,MATCH(AT337,Vacantes!$A:$A,0)),"")</f>
        <v>22 de octubre de 2026</v>
      </c>
      <c r="BA337" t="str">
        <f>IFERROR(INDEX(Vacantes!$E:$E,MATCH(AT337,Vacantes!$A:$A,0)),"")</f>
        <v>12:30 p.m. a 5:00 p.m.</v>
      </c>
    </row>
    <row r="338" spans="1:53" x14ac:dyDescent="0.15">
      <c r="A338" t="s">
        <v>1152</v>
      </c>
      <c r="B338" t="s">
        <v>1153</v>
      </c>
      <c r="C338" t="s">
        <v>55</v>
      </c>
      <c r="D338">
        <v>1084331089</v>
      </c>
      <c r="E338" t="s">
        <v>76</v>
      </c>
      <c r="F338">
        <v>21</v>
      </c>
      <c r="G338" t="b">
        <v>1</v>
      </c>
      <c r="H338" t="s">
        <v>159</v>
      </c>
      <c r="I338" t="s">
        <v>160</v>
      </c>
      <c r="J338" t="s">
        <v>132</v>
      </c>
      <c r="K338" t="s">
        <v>1154</v>
      </c>
      <c r="L338" t="s">
        <v>521</v>
      </c>
      <c r="N338" t="b">
        <v>1</v>
      </c>
      <c r="O338" t="b">
        <v>0</v>
      </c>
      <c r="P338" t="s">
        <v>60</v>
      </c>
      <c r="Q338" t="s">
        <v>144</v>
      </c>
      <c r="R338" t="s">
        <v>113</v>
      </c>
      <c r="W338" t="s">
        <v>108</v>
      </c>
      <c r="AB338" t="b">
        <v>0</v>
      </c>
      <c r="AC338" t="b">
        <v>0</v>
      </c>
      <c r="AE338" t="b">
        <v>0</v>
      </c>
      <c r="AG338" t="b">
        <v>0</v>
      </c>
      <c r="AI338" t="b">
        <v>0</v>
      </c>
      <c r="AK338" t="s">
        <v>65</v>
      </c>
      <c r="AL338" t="s">
        <v>66</v>
      </c>
      <c r="AM338" s="3">
        <v>46277</v>
      </c>
      <c r="AN338" s="4">
        <v>0.78618055555555555</v>
      </c>
      <c r="AO338">
        <v>3124247820</v>
      </c>
      <c r="AP338" t="s">
        <v>656</v>
      </c>
      <c r="AQ338" t="s">
        <v>69</v>
      </c>
      <c r="AR338">
        <v>79.3</v>
      </c>
      <c r="AS338" t="s">
        <v>70</v>
      </c>
      <c r="AT338" t="s">
        <v>164</v>
      </c>
      <c r="AU338" t="s">
        <v>221</v>
      </c>
      <c r="AV338" t="s">
        <v>184</v>
      </c>
      <c r="AW338" t="str">
        <f t="shared" si="10"/>
        <v>Comunicación social</v>
      </c>
      <c r="AX338" t="str">
        <f t="shared" si="11"/>
        <v>3124247820</v>
      </c>
      <c r="AY338" t="str">
        <f>IFERROR(INDEX(Vacantes!$C:$C,MATCH(AT338,Vacantes!$A:$A,0)),"")</f>
        <v>Regional Sur</v>
      </c>
      <c r="AZ338" t="str">
        <f>IFERROR(INDEX(Vacantes!$D:$D,MATCH(AT338,Vacantes!$A:$A,0)),"")</f>
        <v>22 de octubre de 2026</v>
      </c>
      <c r="BA338" t="str">
        <f>IFERROR(INDEX(Vacantes!$E:$E,MATCH(AT338,Vacantes!$A:$A,0)),"")</f>
        <v>8:30 a.m. a 12:00 p.m.</v>
      </c>
    </row>
    <row r="339" spans="1:53" x14ac:dyDescent="0.15">
      <c r="A339" t="s">
        <v>1166</v>
      </c>
      <c r="B339" t="s">
        <v>1167</v>
      </c>
      <c r="C339" t="s">
        <v>55</v>
      </c>
      <c r="D339">
        <v>1005626243</v>
      </c>
      <c r="E339" t="s">
        <v>76</v>
      </c>
      <c r="F339">
        <v>23</v>
      </c>
      <c r="G339" t="b">
        <v>1</v>
      </c>
      <c r="H339" t="s">
        <v>1168</v>
      </c>
      <c r="I339" t="s">
        <v>168</v>
      </c>
      <c r="J339" t="s">
        <v>132</v>
      </c>
      <c r="K339" t="s">
        <v>1169</v>
      </c>
      <c r="L339" t="s">
        <v>521</v>
      </c>
      <c r="N339" t="b">
        <v>0</v>
      </c>
      <c r="O339" t="b">
        <v>0</v>
      </c>
      <c r="P339" t="s">
        <v>60</v>
      </c>
      <c r="Q339" t="s">
        <v>60</v>
      </c>
      <c r="R339" t="s">
        <v>108</v>
      </c>
      <c r="W339" t="s">
        <v>113</v>
      </c>
      <c r="AB339" t="b">
        <v>0</v>
      </c>
      <c r="AC339" t="b">
        <v>0</v>
      </c>
      <c r="AE339" t="b">
        <v>0</v>
      </c>
      <c r="AG339" t="b">
        <v>0</v>
      </c>
      <c r="AI339" t="b">
        <v>0</v>
      </c>
      <c r="AK339" t="s">
        <v>94</v>
      </c>
      <c r="AL339" t="s">
        <v>66</v>
      </c>
      <c r="AM339" s="3">
        <v>46258</v>
      </c>
      <c r="AN339" s="4">
        <v>0.54592592592592593</v>
      </c>
      <c r="AO339" t="s">
        <v>1170</v>
      </c>
      <c r="AP339" t="s">
        <v>1171</v>
      </c>
      <c r="AQ339" t="s">
        <v>69</v>
      </c>
      <c r="AR339">
        <v>95.7</v>
      </c>
      <c r="AS339" t="s">
        <v>70</v>
      </c>
      <c r="AT339" t="s">
        <v>171</v>
      </c>
      <c r="AU339" t="s">
        <v>221</v>
      </c>
      <c r="AV339" t="s">
        <v>73</v>
      </c>
      <c r="AW339" t="str">
        <f t="shared" si="10"/>
        <v>Comunicación social</v>
      </c>
      <c r="AX339" t="str">
        <f t="shared" si="11"/>
        <v>323 9118228</v>
      </c>
      <c r="AY339" t="str">
        <f>IFERROR(INDEX(Vacantes!$C:$C,MATCH(AT339,Vacantes!$A:$A,0)),"")</f>
        <v>Cervecería de Barranquilla</v>
      </c>
      <c r="AZ339" t="str">
        <f>IFERROR(INDEX(Vacantes!$D:$D,MATCH(AT339,Vacantes!$A:$A,0)),"")</f>
        <v>22 de octubre de 2026</v>
      </c>
      <c r="BA339" t="str">
        <f>IFERROR(INDEX(Vacantes!$E:$E,MATCH(AT339,Vacantes!$A:$A,0)),"")</f>
        <v>12:30 p.m. a 5:00 p.m.</v>
      </c>
    </row>
    <row r="340" spans="1:53" x14ac:dyDescent="0.15">
      <c r="A340" t="s">
        <v>1172</v>
      </c>
      <c r="B340" t="s">
        <v>1173</v>
      </c>
      <c r="C340" t="s">
        <v>55</v>
      </c>
      <c r="D340">
        <v>1043964085</v>
      </c>
      <c r="E340" t="s">
        <v>76</v>
      </c>
      <c r="F340">
        <v>21</v>
      </c>
      <c r="G340" t="b">
        <v>1</v>
      </c>
      <c r="H340" t="s">
        <v>174</v>
      </c>
      <c r="I340" t="s">
        <v>168</v>
      </c>
      <c r="J340" t="s">
        <v>319</v>
      </c>
      <c r="L340" t="s">
        <v>143</v>
      </c>
      <c r="N340" t="b">
        <v>1</v>
      </c>
      <c r="O340" t="b">
        <v>0</v>
      </c>
      <c r="P340" t="s">
        <v>60</v>
      </c>
      <c r="Q340" t="s">
        <v>61</v>
      </c>
      <c r="R340" t="s">
        <v>125</v>
      </c>
      <c r="W340" t="s">
        <v>125</v>
      </c>
      <c r="X340" t="s">
        <v>64</v>
      </c>
      <c r="AB340" t="b">
        <v>0</v>
      </c>
      <c r="AC340" t="b">
        <v>0</v>
      </c>
      <c r="AE340" t="b">
        <v>0</v>
      </c>
      <c r="AG340" t="b">
        <v>0</v>
      </c>
      <c r="AI340" t="b">
        <v>0</v>
      </c>
      <c r="AK340" t="s">
        <v>65</v>
      </c>
      <c r="AL340" t="s">
        <v>66</v>
      </c>
      <c r="AM340" s="3">
        <v>46269</v>
      </c>
      <c r="AN340" s="4">
        <v>0.24945601851851851</v>
      </c>
      <c r="AO340" t="s">
        <v>1174</v>
      </c>
      <c r="AP340" t="s">
        <v>1175</v>
      </c>
      <c r="AQ340" t="s">
        <v>69</v>
      </c>
      <c r="AR340">
        <v>88.1</v>
      </c>
      <c r="AS340" t="s">
        <v>70</v>
      </c>
      <c r="AT340" t="s">
        <v>171</v>
      </c>
      <c r="AU340" t="s">
        <v>221</v>
      </c>
      <c r="AV340" t="s">
        <v>184</v>
      </c>
      <c r="AW340" t="str">
        <f t="shared" si="10"/>
        <v>Ingeniería Industrial</v>
      </c>
      <c r="AX340" t="str">
        <f t="shared" si="11"/>
        <v>321 7227862</v>
      </c>
      <c r="AY340" t="str">
        <f>IFERROR(INDEX(Vacantes!$C:$C,MATCH(AT340,Vacantes!$A:$A,0)),"")</f>
        <v>Cervecería de Barranquilla</v>
      </c>
      <c r="AZ340" t="str">
        <f>IFERROR(INDEX(Vacantes!$D:$D,MATCH(AT340,Vacantes!$A:$A,0)),"")</f>
        <v>22 de octubre de 2026</v>
      </c>
      <c r="BA340" t="str">
        <f>IFERROR(INDEX(Vacantes!$E:$E,MATCH(AT340,Vacantes!$A:$A,0)),"")</f>
        <v>12:30 p.m. a 5:00 p.m.</v>
      </c>
    </row>
    <row r="341" spans="1:53" x14ac:dyDescent="0.15">
      <c r="A341" t="s">
        <v>1176</v>
      </c>
      <c r="B341" t="s">
        <v>1177</v>
      </c>
      <c r="C341" t="s">
        <v>55</v>
      </c>
      <c r="D341">
        <v>1043296135</v>
      </c>
      <c r="E341" t="s">
        <v>76</v>
      </c>
      <c r="F341">
        <v>21</v>
      </c>
      <c r="G341" t="b">
        <v>1</v>
      </c>
      <c r="H341" t="s">
        <v>716</v>
      </c>
      <c r="I341" t="s">
        <v>168</v>
      </c>
      <c r="J341" t="s">
        <v>298</v>
      </c>
      <c r="L341" t="s">
        <v>107</v>
      </c>
      <c r="N341" t="b">
        <v>1</v>
      </c>
      <c r="O341" t="b">
        <v>0</v>
      </c>
      <c r="P341" t="s">
        <v>60</v>
      </c>
      <c r="Q341" t="s">
        <v>144</v>
      </c>
      <c r="R341" t="s">
        <v>108</v>
      </c>
      <c r="U341" t="s">
        <v>151</v>
      </c>
      <c r="W341" t="s">
        <v>64</v>
      </c>
      <c r="AB341" t="b">
        <v>0</v>
      </c>
      <c r="AC341" t="b">
        <v>0</v>
      </c>
      <c r="AE341" t="b">
        <v>0</v>
      </c>
      <c r="AG341" t="b">
        <v>0</v>
      </c>
      <c r="AI341" t="b">
        <v>0</v>
      </c>
      <c r="AK341" t="s">
        <v>94</v>
      </c>
      <c r="AL341" t="s">
        <v>66</v>
      </c>
      <c r="AM341" s="3">
        <v>46258</v>
      </c>
      <c r="AN341" s="4">
        <v>0.54592592592592593</v>
      </c>
      <c r="AO341" t="s">
        <v>1178</v>
      </c>
      <c r="AP341" t="s">
        <v>1179</v>
      </c>
      <c r="AQ341" t="s">
        <v>69</v>
      </c>
      <c r="AR341">
        <v>84.7</v>
      </c>
      <c r="AS341" t="s">
        <v>70</v>
      </c>
      <c r="AT341" t="s">
        <v>171</v>
      </c>
      <c r="AU341" t="s">
        <v>221</v>
      </c>
      <c r="AV341" t="s">
        <v>184</v>
      </c>
      <c r="AW341" t="str">
        <f t="shared" si="10"/>
        <v>Administración de Empresas</v>
      </c>
      <c r="AX341" t="str">
        <f t="shared" si="11"/>
        <v>322 7943599</v>
      </c>
      <c r="AY341" t="str">
        <f>IFERROR(INDEX(Vacantes!$C:$C,MATCH(AT341,Vacantes!$A:$A,0)),"")</f>
        <v>Cervecería de Barranquilla</v>
      </c>
      <c r="AZ341" t="str">
        <f>IFERROR(INDEX(Vacantes!$D:$D,MATCH(AT341,Vacantes!$A:$A,0)),"")</f>
        <v>22 de octubre de 2026</v>
      </c>
      <c r="BA341" t="str">
        <f>IFERROR(INDEX(Vacantes!$E:$E,MATCH(AT341,Vacantes!$A:$A,0)),"")</f>
        <v>12:30 p.m. a 5:00 p.m.</v>
      </c>
    </row>
    <row r="342" spans="1:53" x14ac:dyDescent="0.15">
      <c r="A342" t="s">
        <v>1180</v>
      </c>
      <c r="B342" t="s">
        <v>1181</v>
      </c>
      <c r="C342" t="s">
        <v>55</v>
      </c>
      <c r="D342">
        <v>1102840967</v>
      </c>
      <c r="E342" t="s">
        <v>76</v>
      </c>
      <c r="F342">
        <v>18</v>
      </c>
      <c r="G342" t="b">
        <v>1</v>
      </c>
      <c r="I342" t="s">
        <v>168</v>
      </c>
      <c r="J342" t="s">
        <v>1182</v>
      </c>
      <c r="L342" t="s">
        <v>277</v>
      </c>
      <c r="N342" t="b">
        <v>1</v>
      </c>
      <c r="O342" t="b">
        <v>0</v>
      </c>
      <c r="P342" t="s">
        <v>60</v>
      </c>
      <c r="Q342" t="s">
        <v>144</v>
      </c>
      <c r="R342" t="s">
        <v>64</v>
      </c>
      <c r="W342" t="s">
        <v>62</v>
      </c>
      <c r="Z342" t="s">
        <v>151</v>
      </c>
      <c r="AB342" t="b">
        <v>0</v>
      </c>
      <c r="AC342" t="b">
        <v>0</v>
      </c>
      <c r="AE342" t="b">
        <v>0</v>
      </c>
      <c r="AG342" t="b">
        <v>0</v>
      </c>
      <c r="AI342" t="b">
        <v>0</v>
      </c>
      <c r="AK342" t="s">
        <v>94</v>
      </c>
      <c r="AL342" t="s">
        <v>66</v>
      </c>
      <c r="AM342" s="3">
        <v>46277</v>
      </c>
      <c r="AN342" s="4">
        <v>0.4896759259259259</v>
      </c>
      <c r="AO342">
        <v>3006655965</v>
      </c>
      <c r="AP342" t="s">
        <v>321</v>
      </c>
      <c r="AQ342" t="s">
        <v>69</v>
      </c>
      <c r="AR342">
        <v>89.5</v>
      </c>
      <c r="AS342" t="s">
        <v>70</v>
      </c>
      <c r="AT342" t="s">
        <v>171</v>
      </c>
      <c r="AU342" t="s">
        <v>221</v>
      </c>
      <c r="AV342" t="s">
        <v>184</v>
      </c>
      <c r="AW342" t="str">
        <f t="shared" si="10"/>
        <v>Psicología</v>
      </c>
      <c r="AX342" t="str">
        <f t="shared" si="11"/>
        <v>3006655965</v>
      </c>
      <c r="AY342" t="str">
        <f>IFERROR(INDEX(Vacantes!$C:$C,MATCH(AT342,Vacantes!$A:$A,0)),"")</f>
        <v>Cervecería de Barranquilla</v>
      </c>
      <c r="AZ342" t="str">
        <f>IFERROR(INDEX(Vacantes!$D:$D,MATCH(AT342,Vacantes!$A:$A,0)),"")</f>
        <v>22 de octubre de 2026</v>
      </c>
      <c r="BA342" t="str">
        <f>IFERROR(INDEX(Vacantes!$E:$E,MATCH(AT342,Vacantes!$A:$A,0)),"")</f>
        <v>12:30 p.m. a 5:00 p.m.</v>
      </c>
    </row>
    <row r="343" spans="1:53" x14ac:dyDescent="0.15">
      <c r="A343" t="s">
        <v>1183</v>
      </c>
      <c r="B343" t="s">
        <v>1184</v>
      </c>
      <c r="C343" t="s">
        <v>55</v>
      </c>
      <c r="D343">
        <v>1001945971</v>
      </c>
      <c r="E343" t="s">
        <v>76</v>
      </c>
      <c r="F343">
        <v>23</v>
      </c>
      <c r="G343" t="b">
        <v>1</v>
      </c>
      <c r="H343" t="s">
        <v>168</v>
      </c>
      <c r="I343" t="s">
        <v>168</v>
      </c>
      <c r="J343" t="s">
        <v>314</v>
      </c>
      <c r="L343" t="s">
        <v>79</v>
      </c>
      <c r="N343" t="b">
        <v>0</v>
      </c>
      <c r="O343" t="b">
        <v>0</v>
      </c>
      <c r="P343" t="s">
        <v>144</v>
      </c>
      <c r="Q343" t="s">
        <v>60</v>
      </c>
      <c r="R343" t="s">
        <v>64</v>
      </c>
      <c r="T343" t="s">
        <v>82</v>
      </c>
      <c r="W343" t="s">
        <v>80</v>
      </c>
      <c r="Z343" t="s">
        <v>63</v>
      </c>
      <c r="AB343" t="b">
        <v>0</v>
      </c>
      <c r="AC343" t="b">
        <v>0</v>
      </c>
      <c r="AE343" t="b">
        <v>0</v>
      </c>
      <c r="AG343" t="b">
        <v>0</v>
      </c>
      <c r="AI343" t="b">
        <v>0</v>
      </c>
      <c r="AK343" t="s">
        <v>94</v>
      </c>
      <c r="AL343" t="s">
        <v>66</v>
      </c>
      <c r="AM343" s="3">
        <v>46278</v>
      </c>
      <c r="AN343" s="4">
        <v>0.49471064814814808</v>
      </c>
      <c r="AO343" t="s">
        <v>1185</v>
      </c>
      <c r="AP343" t="s">
        <v>1186</v>
      </c>
      <c r="AQ343" t="s">
        <v>69</v>
      </c>
      <c r="AR343">
        <v>72.7</v>
      </c>
      <c r="AS343" t="s">
        <v>70</v>
      </c>
      <c r="AT343" t="s">
        <v>171</v>
      </c>
      <c r="AU343" t="s">
        <v>221</v>
      </c>
      <c r="AV343" t="s">
        <v>184</v>
      </c>
      <c r="AW343" t="str">
        <f t="shared" si="10"/>
        <v>Economía</v>
      </c>
      <c r="AX343" t="str">
        <f t="shared" si="11"/>
        <v>314 6441933</v>
      </c>
      <c r="AY343" t="str">
        <f>IFERROR(INDEX(Vacantes!$C:$C,MATCH(AT343,Vacantes!$A:$A,0)),"")</f>
        <v>Cervecería de Barranquilla</v>
      </c>
      <c r="AZ343" t="str">
        <f>IFERROR(INDEX(Vacantes!$D:$D,MATCH(AT343,Vacantes!$A:$A,0)),"")</f>
        <v>22 de octubre de 2026</v>
      </c>
      <c r="BA343" t="str">
        <f>IFERROR(INDEX(Vacantes!$E:$E,MATCH(AT343,Vacantes!$A:$A,0)),"")</f>
        <v>12:30 p.m. a 5:00 p.m.</v>
      </c>
    </row>
    <row r="344" spans="1:53" x14ac:dyDescent="0.15">
      <c r="A344" t="s">
        <v>1187</v>
      </c>
      <c r="B344" t="s">
        <v>1188</v>
      </c>
      <c r="C344" t="s">
        <v>55</v>
      </c>
      <c r="D344">
        <v>1129539518</v>
      </c>
      <c r="E344" t="s">
        <v>56</v>
      </c>
      <c r="F344">
        <v>21</v>
      </c>
      <c r="G344" t="b">
        <v>1</v>
      </c>
      <c r="I344" t="s">
        <v>168</v>
      </c>
      <c r="J344" t="s">
        <v>314</v>
      </c>
      <c r="L344" t="s">
        <v>107</v>
      </c>
      <c r="N344" t="b">
        <v>1</v>
      </c>
      <c r="O344" t="b">
        <v>0</v>
      </c>
      <c r="P344" t="s">
        <v>60</v>
      </c>
      <c r="Q344" t="s">
        <v>60</v>
      </c>
      <c r="R344" t="s">
        <v>244</v>
      </c>
      <c r="U344" t="s">
        <v>93</v>
      </c>
      <c r="W344" t="s">
        <v>64</v>
      </c>
      <c r="AB344" t="b">
        <v>0</v>
      </c>
      <c r="AC344" t="b">
        <v>0</v>
      </c>
      <c r="AE344" t="b">
        <v>0</v>
      </c>
      <c r="AG344" t="b">
        <v>0</v>
      </c>
      <c r="AI344" t="b">
        <v>0</v>
      </c>
      <c r="AK344" t="s">
        <v>202</v>
      </c>
      <c r="AL344" t="s">
        <v>66</v>
      </c>
      <c r="AM344" s="3">
        <v>46277</v>
      </c>
      <c r="AN344" s="4">
        <v>0.66189814814814818</v>
      </c>
      <c r="AO344" t="s">
        <v>1189</v>
      </c>
      <c r="AP344" t="s">
        <v>1190</v>
      </c>
      <c r="AQ344" t="s">
        <v>69</v>
      </c>
      <c r="AR344">
        <v>72.2</v>
      </c>
      <c r="AS344" t="s">
        <v>70</v>
      </c>
      <c r="AT344" t="s">
        <v>171</v>
      </c>
      <c r="AU344" t="s">
        <v>221</v>
      </c>
      <c r="AV344" t="s">
        <v>184</v>
      </c>
      <c r="AW344" t="str">
        <f t="shared" si="10"/>
        <v>Administración de Empresas</v>
      </c>
      <c r="AX344" t="str">
        <f t="shared" si="11"/>
        <v>301 5176294</v>
      </c>
      <c r="AY344" t="str">
        <f>IFERROR(INDEX(Vacantes!$C:$C,MATCH(AT344,Vacantes!$A:$A,0)),"")</f>
        <v>Cervecería de Barranquilla</v>
      </c>
      <c r="AZ344" t="str">
        <f>IFERROR(INDEX(Vacantes!$D:$D,MATCH(AT344,Vacantes!$A:$A,0)),"")</f>
        <v>22 de octubre de 2026</v>
      </c>
      <c r="BA344" t="str">
        <f>IFERROR(INDEX(Vacantes!$E:$E,MATCH(AT344,Vacantes!$A:$A,0)),"")</f>
        <v>12:30 p.m. a 5:00 p.m.</v>
      </c>
    </row>
    <row r="345" spans="1:53" x14ac:dyDescent="0.15">
      <c r="A345" t="s">
        <v>1191</v>
      </c>
      <c r="B345" t="s">
        <v>1192</v>
      </c>
      <c r="C345" t="s">
        <v>55</v>
      </c>
      <c r="D345">
        <v>1050839158</v>
      </c>
      <c r="E345" t="s">
        <v>76</v>
      </c>
      <c r="F345">
        <v>20</v>
      </c>
      <c r="G345" t="b">
        <v>1</v>
      </c>
      <c r="H345" t="s">
        <v>174</v>
      </c>
      <c r="I345" t="s">
        <v>168</v>
      </c>
      <c r="J345" t="s">
        <v>314</v>
      </c>
      <c r="L345" t="s">
        <v>107</v>
      </c>
      <c r="N345" t="b">
        <v>0</v>
      </c>
      <c r="O345" t="b">
        <v>0</v>
      </c>
      <c r="P345" t="s">
        <v>60</v>
      </c>
      <c r="Q345" t="s">
        <v>60</v>
      </c>
      <c r="R345" t="s">
        <v>109</v>
      </c>
      <c r="U345" t="s">
        <v>152</v>
      </c>
      <c r="V345" t="s">
        <v>176</v>
      </c>
      <c r="W345" t="s">
        <v>64</v>
      </c>
      <c r="AB345" t="b">
        <v>0</v>
      </c>
      <c r="AC345" t="b">
        <v>0</v>
      </c>
      <c r="AE345" t="b">
        <v>0</v>
      </c>
      <c r="AG345" t="b">
        <v>0</v>
      </c>
      <c r="AI345" t="b">
        <v>0</v>
      </c>
      <c r="AK345" t="s">
        <v>153</v>
      </c>
      <c r="AL345" t="s">
        <v>66</v>
      </c>
      <c r="AM345" s="3">
        <v>46267</v>
      </c>
      <c r="AN345" s="4">
        <v>0.55072916666666671</v>
      </c>
      <c r="AO345" t="s">
        <v>1193</v>
      </c>
      <c r="AP345" t="s">
        <v>1186</v>
      </c>
      <c r="AQ345" t="s">
        <v>69</v>
      </c>
      <c r="AR345">
        <v>94.1</v>
      </c>
      <c r="AS345" t="s">
        <v>70</v>
      </c>
      <c r="AT345" t="s">
        <v>171</v>
      </c>
      <c r="AU345" t="s">
        <v>221</v>
      </c>
      <c r="AV345" t="s">
        <v>184</v>
      </c>
      <c r="AW345" t="str">
        <f t="shared" si="10"/>
        <v>Administración de Empresas</v>
      </c>
      <c r="AX345" t="str">
        <f t="shared" si="11"/>
        <v>324 5087460</v>
      </c>
      <c r="AY345" t="str">
        <f>IFERROR(INDEX(Vacantes!$C:$C,MATCH(AT345,Vacantes!$A:$A,0)),"")</f>
        <v>Cervecería de Barranquilla</v>
      </c>
      <c r="AZ345" t="str">
        <f>IFERROR(INDEX(Vacantes!$D:$D,MATCH(AT345,Vacantes!$A:$A,0)),"")</f>
        <v>22 de octubre de 2026</v>
      </c>
      <c r="BA345" t="str">
        <f>IFERROR(INDEX(Vacantes!$E:$E,MATCH(AT345,Vacantes!$A:$A,0)),"")</f>
        <v>12:30 p.m. a 5:00 p.m.</v>
      </c>
    </row>
    <row r="346" spans="1:53" x14ac:dyDescent="0.15">
      <c r="A346" t="s">
        <v>1194</v>
      </c>
      <c r="B346" t="s">
        <v>1195</v>
      </c>
      <c r="C346" t="s">
        <v>55</v>
      </c>
      <c r="D346">
        <v>1044210712</v>
      </c>
      <c r="E346" t="s">
        <v>76</v>
      </c>
      <c r="F346">
        <v>22</v>
      </c>
      <c r="G346" t="b">
        <v>1</v>
      </c>
      <c r="I346" t="s">
        <v>168</v>
      </c>
      <c r="J346" t="s">
        <v>234</v>
      </c>
      <c r="L346" t="s">
        <v>107</v>
      </c>
      <c r="N346" t="b">
        <v>0</v>
      </c>
      <c r="O346" t="b">
        <v>0</v>
      </c>
      <c r="P346" t="s">
        <v>60</v>
      </c>
      <c r="Q346" t="s">
        <v>60</v>
      </c>
      <c r="R346" t="s">
        <v>64</v>
      </c>
      <c r="W346" t="s">
        <v>109</v>
      </c>
      <c r="Z346" t="s">
        <v>152</v>
      </c>
      <c r="AA346" t="s">
        <v>283</v>
      </c>
      <c r="AB346" t="b">
        <v>0</v>
      </c>
      <c r="AC346" t="b">
        <v>0</v>
      </c>
      <c r="AE346" t="b">
        <v>0</v>
      </c>
      <c r="AG346" t="b">
        <v>0</v>
      </c>
      <c r="AI346" t="b">
        <v>0</v>
      </c>
      <c r="AK346" t="s">
        <v>94</v>
      </c>
      <c r="AL346" t="s">
        <v>66</v>
      </c>
      <c r="AM346" s="3">
        <v>46255</v>
      </c>
      <c r="AN346" s="4">
        <v>0.60768518518518522</v>
      </c>
      <c r="AO346" t="s">
        <v>1196</v>
      </c>
      <c r="AP346" t="s">
        <v>1186</v>
      </c>
      <c r="AQ346" t="s">
        <v>69</v>
      </c>
      <c r="AR346">
        <v>92.6</v>
      </c>
      <c r="AS346" t="s">
        <v>85</v>
      </c>
      <c r="AT346" t="s">
        <v>171</v>
      </c>
      <c r="AU346" t="s">
        <v>221</v>
      </c>
      <c r="AV346" t="s">
        <v>184</v>
      </c>
      <c r="AW346" t="str">
        <f t="shared" si="10"/>
        <v>Administración de Empresas</v>
      </c>
      <c r="AX346" t="str">
        <f t="shared" si="11"/>
        <v>301 3893660</v>
      </c>
      <c r="AY346" t="str">
        <f>IFERROR(INDEX(Vacantes!$C:$C,MATCH(AT346,Vacantes!$A:$A,0)),"")</f>
        <v>Cervecería de Barranquilla</v>
      </c>
      <c r="AZ346" t="str">
        <f>IFERROR(INDEX(Vacantes!$D:$D,MATCH(AT346,Vacantes!$A:$A,0)),"")</f>
        <v>22 de octubre de 2026</v>
      </c>
      <c r="BA346" t="str">
        <f>IFERROR(INDEX(Vacantes!$E:$E,MATCH(AT346,Vacantes!$A:$A,0)),"")</f>
        <v>12:30 p.m. a 5:00 p.m.</v>
      </c>
    </row>
    <row r="347" spans="1:53" x14ac:dyDescent="0.15">
      <c r="A347" t="s">
        <v>1222</v>
      </c>
      <c r="B347" t="s">
        <v>1223</v>
      </c>
      <c r="C347" t="s">
        <v>55</v>
      </c>
      <c r="D347">
        <v>1082873539</v>
      </c>
      <c r="E347" t="s">
        <v>76</v>
      </c>
      <c r="F347">
        <v>20</v>
      </c>
      <c r="G347" t="b">
        <v>1</v>
      </c>
      <c r="H347" t="s">
        <v>167</v>
      </c>
      <c r="I347" t="s">
        <v>168</v>
      </c>
      <c r="J347" t="s">
        <v>169</v>
      </c>
      <c r="L347" t="s">
        <v>143</v>
      </c>
      <c r="N347" t="b">
        <v>0</v>
      </c>
      <c r="O347" t="b">
        <v>0</v>
      </c>
      <c r="P347" t="s">
        <v>60</v>
      </c>
      <c r="Q347" t="s">
        <v>61</v>
      </c>
      <c r="R347" t="s">
        <v>108</v>
      </c>
      <c r="W347" t="s">
        <v>109</v>
      </c>
      <c r="AA347" t="s">
        <v>110</v>
      </c>
      <c r="AB347" t="b">
        <v>0</v>
      </c>
      <c r="AC347" t="b">
        <v>0</v>
      </c>
      <c r="AE347" t="b">
        <v>0</v>
      </c>
      <c r="AG347" t="b">
        <v>0</v>
      </c>
      <c r="AI347" t="b">
        <v>0</v>
      </c>
      <c r="AK347" t="s">
        <v>94</v>
      </c>
      <c r="AL347" t="s">
        <v>66</v>
      </c>
      <c r="AM347" s="3">
        <v>46276</v>
      </c>
      <c r="AN347" s="4">
        <v>0.43269675925925932</v>
      </c>
      <c r="AO347">
        <v>3176940867</v>
      </c>
      <c r="AP347" t="s">
        <v>1004</v>
      </c>
      <c r="AQ347" t="s">
        <v>69</v>
      </c>
      <c r="AR347">
        <v>89.9</v>
      </c>
      <c r="AS347" t="s">
        <v>70</v>
      </c>
      <c r="AT347" t="s">
        <v>178</v>
      </c>
      <c r="AU347" t="s">
        <v>221</v>
      </c>
      <c r="AV347" t="s">
        <v>73</v>
      </c>
      <c r="AW347" t="str">
        <f t="shared" si="10"/>
        <v>Ingeniería Industrial</v>
      </c>
      <c r="AX347" t="str">
        <f t="shared" si="11"/>
        <v>3176940867</v>
      </c>
      <c r="AY347" t="str">
        <f>IFERROR(INDEX(Vacantes!$C:$C,MATCH(AT347,Vacantes!$A:$A,0)),"")</f>
        <v>Regional Norte</v>
      </c>
      <c r="AZ347" t="str">
        <f>IFERROR(INDEX(Vacantes!$D:$D,MATCH(AT347,Vacantes!$A:$A,0)),"")</f>
        <v>22 de octubre de 2026</v>
      </c>
      <c r="BA347" t="str">
        <f>IFERROR(INDEX(Vacantes!$E:$E,MATCH(AT347,Vacantes!$A:$A,0)),"")</f>
        <v>1:30 p.m. a 5:00 p.m.</v>
      </c>
    </row>
    <row r="348" spans="1:53" x14ac:dyDescent="0.15">
      <c r="A348" t="s">
        <v>1224</v>
      </c>
      <c r="B348" t="s">
        <v>1225</v>
      </c>
      <c r="C348" t="s">
        <v>55</v>
      </c>
      <c r="D348">
        <v>1000951426</v>
      </c>
      <c r="E348" t="s">
        <v>56</v>
      </c>
      <c r="F348">
        <v>23</v>
      </c>
      <c r="G348" t="b">
        <v>1</v>
      </c>
      <c r="H348" t="s">
        <v>168</v>
      </c>
      <c r="I348" t="s">
        <v>168</v>
      </c>
      <c r="J348" t="s">
        <v>319</v>
      </c>
      <c r="L348" t="s">
        <v>107</v>
      </c>
      <c r="N348" t="b">
        <v>0</v>
      </c>
      <c r="O348" t="b">
        <v>0</v>
      </c>
      <c r="P348" t="s">
        <v>61</v>
      </c>
      <c r="Q348" t="s">
        <v>60</v>
      </c>
      <c r="R348" t="s">
        <v>80</v>
      </c>
      <c r="U348" t="s">
        <v>63</v>
      </c>
      <c r="W348" t="s">
        <v>64</v>
      </c>
      <c r="Y348" t="s">
        <v>82</v>
      </c>
      <c r="AB348" t="b">
        <v>0</v>
      </c>
      <c r="AC348" t="b">
        <v>0</v>
      </c>
      <c r="AE348" t="b">
        <v>0</v>
      </c>
      <c r="AG348" t="b">
        <v>0</v>
      </c>
      <c r="AI348" t="b">
        <v>0</v>
      </c>
      <c r="AK348" t="s">
        <v>202</v>
      </c>
      <c r="AL348" t="s">
        <v>66</v>
      </c>
      <c r="AM348" s="3">
        <v>46274</v>
      </c>
      <c r="AN348" s="4">
        <v>0.95421296296296299</v>
      </c>
      <c r="AO348" t="s">
        <v>1226</v>
      </c>
      <c r="AP348" t="s">
        <v>1227</v>
      </c>
      <c r="AQ348" t="s">
        <v>69</v>
      </c>
      <c r="AR348">
        <v>82.4</v>
      </c>
      <c r="AS348" t="s">
        <v>70</v>
      </c>
      <c r="AT348" t="s">
        <v>178</v>
      </c>
      <c r="AU348" t="s">
        <v>221</v>
      </c>
      <c r="AV348" t="s">
        <v>73</v>
      </c>
      <c r="AW348" t="str">
        <f t="shared" si="10"/>
        <v>Administración de Empresas</v>
      </c>
      <c r="AX348" t="str">
        <f t="shared" si="11"/>
        <v>321 8076611</v>
      </c>
      <c r="AY348" t="str">
        <f>IFERROR(INDEX(Vacantes!$C:$C,MATCH(AT348,Vacantes!$A:$A,0)),"")</f>
        <v>Regional Norte</v>
      </c>
      <c r="AZ348" t="str">
        <f>IFERROR(INDEX(Vacantes!$D:$D,MATCH(AT348,Vacantes!$A:$A,0)),"")</f>
        <v>22 de octubre de 2026</v>
      </c>
      <c r="BA348" t="str">
        <f>IFERROR(INDEX(Vacantes!$E:$E,MATCH(AT348,Vacantes!$A:$A,0)),"")</f>
        <v>1:30 p.m. a 5:00 p.m.</v>
      </c>
    </row>
    <row r="349" spans="1:53" x14ac:dyDescent="0.15">
      <c r="A349" t="s">
        <v>1228</v>
      </c>
      <c r="B349" t="s">
        <v>1229</v>
      </c>
      <c r="C349" t="s">
        <v>55</v>
      </c>
      <c r="D349">
        <v>1042243295</v>
      </c>
      <c r="E349" t="s">
        <v>56</v>
      </c>
      <c r="F349">
        <v>21</v>
      </c>
      <c r="G349" t="b">
        <v>1</v>
      </c>
      <c r="H349" t="s">
        <v>174</v>
      </c>
      <c r="I349" t="s">
        <v>168</v>
      </c>
      <c r="J349" t="s">
        <v>319</v>
      </c>
      <c r="L349" t="s">
        <v>134</v>
      </c>
      <c r="N349" t="b">
        <v>1</v>
      </c>
      <c r="O349" t="b">
        <v>0</v>
      </c>
      <c r="P349" t="s">
        <v>61</v>
      </c>
      <c r="Q349" t="s">
        <v>61</v>
      </c>
      <c r="R349" t="s">
        <v>109</v>
      </c>
      <c r="V349" t="s">
        <v>176</v>
      </c>
      <c r="W349" t="s">
        <v>135</v>
      </c>
      <c r="AB349" t="b">
        <v>0</v>
      </c>
      <c r="AC349" t="b">
        <v>0</v>
      </c>
      <c r="AE349" t="b">
        <v>0</v>
      </c>
      <c r="AG349" t="b">
        <v>0</v>
      </c>
      <c r="AI349" t="b">
        <v>0</v>
      </c>
      <c r="AK349" t="s">
        <v>153</v>
      </c>
      <c r="AL349" t="s">
        <v>66</v>
      </c>
      <c r="AM349" s="3">
        <v>46278</v>
      </c>
      <c r="AN349" s="4">
        <v>0.54530092592592594</v>
      </c>
      <c r="AO349" t="s">
        <v>1230</v>
      </c>
      <c r="AP349" t="s">
        <v>1231</v>
      </c>
      <c r="AQ349" t="s">
        <v>69</v>
      </c>
      <c r="AR349">
        <v>76</v>
      </c>
      <c r="AS349" t="s">
        <v>70</v>
      </c>
      <c r="AT349" t="s">
        <v>178</v>
      </c>
      <c r="AU349" t="s">
        <v>221</v>
      </c>
      <c r="AV349" t="s">
        <v>73</v>
      </c>
      <c r="AW349" t="str">
        <f t="shared" si="10"/>
        <v>Negocios Internacionales</v>
      </c>
      <c r="AX349" t="str">
        <f t="shared" si="11"/>
        <v>301 3969374</v>
      </c>
      <c r="AY349" t="str">
        <f>IFERROR(INDEX(Vacantes!$C:$C,MATCH(AT349,Vacantes!$A:$A,0)),"")</f>
        <v>Regional Norte</v>
      </c>
      <c r="AZ349" t="str">
        <f>IFERROR(INDEX(Vacantes!$D:$D,MATCH(AT349,Vacantes!$A:$A,0)),"")</f>
        <v>22 de octubre de 2026</v>
      </c>
      <c r="BA349" t="str">
        <f>IFERROR(INDEX(Vacantes!$E:$E,MATCH(AT349,Vacantes!$A:$A,0)),"")</f>
        <v>1:30 p.m. a 5:00 p.m.</v>
      </c>
    </row>
    <row r="350" spans="1:53" x14ac:dyDescent="0.15">
      <c r="A350" t="s">
        <v>1232</v>
      </c>
      <c r="B350" t="s">
        <v>1233</v>
      </c>
      <c r="C350" t="s">
        <v>55</v>
      </c>
      <c r="D350">
        <v>1043652925</v>
      </c>
      <c r="E350" t="s">
        <v>76</v>
      </c>
      <c r="F350">
        <v>19</v>
      </c>
      <c r="G350" t="b">
        <v>1</v>
      </c>
      <c r="H350" t="s">
        <v>174</v>
      </c>
      <c r="I350" t="s">
        <v>168</v>
      </c>
      <c r="J350" t="s">
        <v>132</v>
      </c>
      <c r="K350" t="s">
        <v>618</v>
      </c>
      <c r="L350" t="s">
        <v>134</v>
      </c>
      <c r="N350" t="b">
        <v>0</v>
      </c>
      <c r="O350" t="b">
        <v>0</v>
      </c>
      <c r="P350" t="s">
        <v>60</v>
      </c>
      <c r="Q350" t="s">
        <v>60</v>
      </c>
      <c r="R350" t="s">
        <v>109</v>
      </c>
      <c r="V350" t="s">
        <v>110</v>
      </c>
      <c r="W350" t="s">
        <v>108</v>
      </c>
      <c r="AB350" t="b">
        <v>0</v>
      </c>
      <c r="AC350" t="b">
        <v>0</v>
      </c>
      <c r="AE350" t="b">
        <v>0</v>
      </c>
      <c r="AG350" t="b">
        <v>0</v>
      </c>
      <c r="AI350" t="b">
        <v>0</v>
      </c>
      <c r="AK350" t="s">
        <v>202</v>
      </c>
      <c r="AL350" t="s">
        <v>66</v>
      </c>
      <c r="AM350" s="3">
        <v>46267</v>
      </c>
      <c r="AN350" s="4">
        <v>0.92652777777777773</v>
      </c>
      <c r="AO350" t="s">
        <v>1234</v>
      </c>
      <c r="AP350" t="s">
        <v>1235</v>
      </c>
      <c r="AQ350" t="s">
        <v>69</v>
      </c>
      <c r="AR350">
        <v>91.8</v>
      </c>
      <c r="AS350" t="s">
        <v>85</v>
      </c>
      <c r="AT350" t="s">
        <v>178</v>
      </c>
      <c r="AU350" t="s">
        <v>221</v>
      </c>
      <c r="AV350" t="s">
        <v>73</v>
      </c>
      <c r="AW350" t="str">
        <f t="shared" si="10"/>
        <v>Negocios Internacionales</v>
      </c>
      <c r="AX350" t="str">
        <f t="shared" si="11"/>
        <v>302 4118837</v>
      </c>
      <c r="AY350" t="str">
        <f>IFERROR(INDEX(Vacantes!$C:$C,MATCH(AT350,Vacantes!$A:$A,0)),"")</f>
        <v>Regional Norte</v>
      </c>
      <c r="AZ350" t="str">
        <f>IFERROR(INDEX(Vacantes!$D:$D,MATCH(AT350,Vacantes!$A:$A,0)),"")</f>
        <v>22 de octubre de 2026</v>
      </c>
      <c r="BA350" t="str">
        <f>IFERROR(INDEX(Vacantes!$E:$E,MATCH(AT350,Vacantes!$A:$A,0)),"")</f>
        <v>1:30 p.m. a 5:00 p.m.</v>
      </c>
    </row>
    <row r="351" spans="1:53" x14ac:dyDescent="0.15">
      <c r="A351" t="s">
        <v>1236</v>
      </c>
      <c r="B351" t="s">
        <v>1237</v>
      </c>
      <c r="C351" t="s">
        <v>55</v>
      </c>
      <c r="D351">
        <v>1047036295</v>
      </c>
      <c r="E351" t="s">
        <v>76</v>
      </c>
      <c r="F351">
        <v>22</v>
      </c>
      <c r="G351" t="b">
        <v>1</v>
      </c>
      <c r="I351" t="s">
        <v>168</v>
      </c>
      <c r="J351" t="s">
        <v>319</v>
      </c>
      <c r="L351" t="s">
        <v>277</v>
      </c>
      <c r="N351" t="b">
        <v>0</v>
      </c>
      <c r="O351" t="b">
        <v>0</v>
      </c>
      <c r="P351" t="s">
        <v>61</v>
      </c>
      <c r="Q351" t="s">
        <v>144</v>
      </c>
      <c r="R351" t="s">
        <v>64</v>
      </c>
      <c r="W351" t="s">
        <v>108</v>
      </c>
      <c r="Z351" t="s">
        <v>151</v>
      </c>
      <c r="AB351" t="b">
        <v>0</v>
      </c>
      <c r="AC351" t="b">
        <v>0</v>
      </c>
      <c r="AE351" t="b">
        <v>0</v>
      </c>
      <c r="AG351" t="b">
        <v>0</v>
      </c>
      <c r="AI351" t="b">
        <v>0</v>
      </c>
      <c r="AK351" t="s">
        <v>94</v>
      </c>
      <c r="AL351" t="s">
        <v>66</v>
      </c>
      <c r="AM351" s="3">
        <v>46278</v>
      </c>
      <c r="AN351" s="4">
        <v>0.67833333333333334</v>
      </c>
      <c r="AO351">
        <v>3021253692</v>
      </c>
      <c r="AP351" t="s">
        <v>1238</v>
      </c>
      <c r="AQ351" t="s">
        <v>69</v>
      </c>
      <c r="AR351">
        <v>73.599999999999994</v>
      </c>
      <c r="AS351" t="s">
        <v>70</v>
      </c>
      <c r="AT351" t="s">
        <v>178</v>
      </c>
      <c r="AU351" t="s">
        <v>72</v>
      </c>
      <c r="AV351" t="s">
        <v>73</v>
      </c>
      <c r="AW351" t="str">
        <f t="shared" si="10"/>
        <v>Psicología</v>
      </c>
      <c r="AX351" t="str">
        <f t="shared" si="11"/>
        <v>3021253692</v>
      </c>
      <c r="AY351" t="str">
        <f>IFERROR(INDEX(Vacantes!$C:$C,MATCH(AT351,Vacantes!$A:$A,0)),"")</f>
        <v>Regional Norte</v>
      </c>
      <c r="AZ351" t="str">
        <f>IFERROR(INDEX(Vacantes!$D:$D,MATCH(AT351,Vacantes!$A:$A,0)),"")</f>
        <v>22 de octubre de 2026</v>
      </c>
      <c r="BA351" t="str">
        <f>IFERROR(INDEX(Vacantes!$E:$E,MATCH(AT351,Vacantes!$A:$A,0)),"")</f>
        <v>1:30 p.m. a 5:00 p.m.</v>
      </c>
    </row>
    <row r="352" spans="1:53" x14ac:dyDescent="0.15">
      <c r="A352" t="s">
        <v>1312</v>
      </c>
      <c r="B352" t="s">
        <v>1313</v>
      </c>
      <c r="C352" t="s">
        <v>55</v>
      </c>
      <c r="D352">
        <v>1105365016</v>
      </c>
      <c r="E352" t="s">
        <v>76</v>
      </c>
      <c r="F352">
        <v>21</v>
      </c>
      <c r="G352" t="b">
        <v>1</v>
      </c>
      <c r="H352" t="s">
        <v>397</v>
      </c>
      <c r="I352" t="s">
        <v>160</v>
      </c>
      <c r="J352" t="s">
        <v>132</v>
      </c>
      <c r="K352" t="s">
        <v>385</v>
      </c>
      <c r="L352" t="s">
        <v>117</v>
      </c>
      <c r="N352" t="b">
        <v>1</v>
      </c>
      <c r="O352" t="b">
        <v>0</v>
      </c>
      <c r="P352" t="s">
        <v>61</v>
      </c>
      <c r="Q352" t="s">
        <v>60</v>
      </c>
      <c r="R352" t="s">
        <v>108</v>
      </c>
      <c r="W352" t="s">
        <v>109</v>
      </c>
      <c r="AA352" t="s">
        <v>439</v>
      </c>
      <c r="AB352" t="b">
        <v>0</v>
      </c>
      <c r="AC352" t="b">
        <v>0</v>
      </c>
      <c r="AE352" t="b">
        <v>0</v>
      </c>
      <c r="AG352" t="b">
        <v>0</v>
      </c>
      <c r="AI352" t="b">
        <v>0</v>
      </c>
      <c r="AK352" t="s">
        <v>94</v>
      </c>
      <c r="AL352" t="s">
        <v>66</v>
      </c>
      <c r="AM352" s="3">
        <v>46264</v>
      </c>
      <c r="AN352" s="4">
        <v>0.86815972222222226</v>
      </c>
      <c r="AO352" t="s">
        <v>1314</v>
      </c>
      <c r="AP352" t="s">
        <v>1315</v>
      </c>
      <c r="AQ352" t="s">
        <v>69</v>
      </c>
      <c r="AR352">
        <v>74.2</v>
      </c>
      <c r="AS352" t="s">
        <v>70</v>
      </c>
      <c r="AT352" t="s">
        <v>1316</v>
      </c>
      <c r="AU352" t="s">
        <v>221</v>
      </c>
      <c r="AV352" t="s">
        <v>73</v>
      </c>
      <c r="AW352" t="str">
        <f t="shared" si="10"/>
        <v>Marketing / Mercadeo</v>
      </c>
      <c r="AX352" t="str">
        <f t="shared" si="11"/>
        <v>300 2439716</v>
      </c>
      <c r="AY352" t="str">
        <f>IFERROR(INDEX(Vacantes!$C:$C,MATCH(AT352,Vacantes!$A:$A,0)),"")</f>
        <v>Regional Sur</v>
      </c>
      <c r="AZ352" t="str">
        <f>IFERROR(INDEX(Vacantes!$D:$D,MATCH(AT352,Vacantes!$A:$A,0)),"")</f>
        <v>22 de octubre de 2026</v>
      </c>
      <c r="BA352" t="str">
        <f>IFERROR(INDEX(Vacantes!$E:$E,MATCH(AT352,Vacantes!$A:$A,0)),"")</f>
        <v>8:30 a.m. a 12:00 p.m.</v>
      </c>
    </row>
    <row r="353" spans="1:53" x14ac:dyDescent="0.15">
      <c r="A353" t="s">
        <v>1317</v>
      </c>
      <c r="B353" t="s">
        <v>1318</v>
      </c>
      <c r="C353" t="s">
        <v>55</v>
      </c>
      <c r="D353">
        <v>1109185610</v>
      </c>
      <c r="E353" t="s">
        <v>76</v>
      </c>
      <c r="F353">
        <v>21</v>
      </c>
      <c r="G353" t="b">
        <v>1</v>
      </c>
      <c r="H353" t="s">
        <v>1319</v>
      </c>
      <c r="I353" t="s">
        <v>160</v>
      </c>
      <c r="J353" t="s">
        <v>132</v>
      </c>
      <c r="K353" t="s">
        <v>1320</v>
      </c>
      <c r="L353" t="s">
        <v>107</v>
      </c>
      <c r="N353" t="b">
        <v>0</v>
      </c>
      <c r="O353" t="b">
        <v>0</v>
      </c>
      <c r="P353" t="s">
        <v>60</v>
      </c>
      <c r="Q353" t="s">
        <v>144</v>
      </c>
      <c r="R353" t="s">
        <v>108</v>
      </c>
      <c r="W353" t="s">
        <v>109</v>
      </c>
      <c r="AA353" t="s">
        <v>110</v>
      </c>
      <c r="AB353" t="b">
        <v>0</v>
      </c>
      <c r="AC353" t="b">
        <v>0</v>
      </c>
      <c r="AE353" t="b">
        <v>0</v>
      </c>
      <c r="AG353" t="b">
        <v>0</v>
      </c>
      <c r="AI353" t="b">
        <v>0</v>
      </c>
      <c r="AK353" t="s">
        <v>65</v>
      </c>
      <c r="AL353" t="s">
        <v>66</v>
      </c>
      <c r="AM353" s="3">
        <v>46277</v>
      </c>
      <c r="AN353" s="4">
        <v>0.65708333333333335</v>
      </c>
      <c r="AO353" t="s">
        <v>1321</v>
      </c>
      <c r="AP353" t="s">
        <v>1322</v>
      </c>
      <c r="AQ353" t="s">
        <v>69</v>
      </c>
      <c r="AR353">
        <v>71.7</v>
      </c>
      <c r="AS353" t="s">
        <v>70</v>
      </c>
      <c r="AT353" t="s">
        <v>1316</v>
      </c>
      <c r="AU353" t="s">
        <v>221</v>
      </c>
      <c r="AV353" t="s">
        <v>73</v>
      </c>
      <c r="AW353" t="str">
        <f t="shared" si="10"/>
        <v>Administración de Empresas</v>
      </c>
      <c r="AX353" t="str">
        <f t="shared" si="11"/>
        <v>314 3490138</v>
      </c>
      <c r="AY353" t="str">
        <f>IFERROR(INDEX(Vacantes!$C:$C,MATCH(AT353,Vacantes!$A:$A,0)),"")</f>
        <v>Regional Sur</v>
      </c>
      <c r="AZ353" t="str">
        <f>IFERROR(INDEX(Vacantes!$D:$D,MATCH(AT353,Vacantes!$A:$A,0)),"")</f>
        <v>22 de octubre de 2026</v>
      </c>
      <c r="BA353" t="str">
        <f>IFERROR(INDEX(Vacantes!$E:$E,MATCH(AT353,Vacantes!$A:$A,0)),"")</f>
        <v>8:30 a.m. a 12:00 p.m.</v>
      </c>
    </row>
    <row r="354" spans="1:53" x14ac:dyDescent="0.15">
      <c r="A354" t="s">
        <v>1323</v>
      </c>
      <c r="B354" t="s">
        <v>1324</v>
      </c>
      <c r="C354" t="s">
        <v>55</v>
      </c>
      <c r="D354">
        <v>1006016564</v>
      </c>
      <c r="E354" t="s">
        <v>76</v>
      </c>
      <c r="F354">
        <v>23</v>
      </c>
      <c r="G354" t="b">
        <v>1</v>
      </c>
      <c r="H354" t="s">
        <v>159</v>
      </c>
      <c r="I354" t="s">
        <v>160</v>
      </c>
      <c r="J354" t="s">
        <v>738</v>
      </c>
      <c r="L354" t="s">
        <v>117</v>
      </c>
      <c r="N354" t="b">
        <v>1</v>
      </c>
      <c r="O354" t="b">
        <v>0</v>
      </c>
      <c r="P354" t="s">
        <v>60</v>
      </c>
      <c r="Q354" t="s">
        <v>144</v>
      </c>
      <c r="R354" t="s">
        <v>108</v>
      </c>
      <c r="W354" t="s">
        <v>109</v>
      </c>
      <c r="AA354" t="s">
        <v>176</v>
      </c>
      <c r="AB354" t="b">
        <v>0</v>
      </c>
      <c r="AC354" t="b">
        <v>0</v>
      </c>
      <c r="AE354" t="b">
        <v>0</v>
      </c>
      <c r="AG354" t="b">
        <v>0</v>
      </c>
      <c r="AI354" t="b">
        <v>0</v>
      </c>
      <c r="AK354" t="s">
        <v>94</v>
      </c>
      <c r="AL354" t="s">
        <v>66</v>
      </c>
      <c r="AM354" s="3">
        <v>46262</v>
      </c>
      <c r="AN354" s="4">
        <v>0.46675925925925932</v>
      </c>
      <c r="AO354" t="s">
        <v>1325</v>
      </c>
      <c r="AP354" t="s">
        <v>1326</v>
      </c>
      <c r="AQ354" t="s">
        <v>69</v>
      </c>
      <c r="AR354">
        <v>92.6</v>
      </c>
      <c r="AS354" t="s">
        <v>70</v>
      </c>
      <c r="AT354" t="s">
        <v>1316</v>
      </c>
      <c r="AU354" t="s">
        <v>221</v>
      </c>
      <c r="AV354" t="s">
        <v>184</v>
      </c>
      <c r="AW354" t="str">
        <f t="shared" si="10"/>
        <v>Marketing / Mercadeo</v>
      </c>
      <c r="AX354" t="str">
        <f t="shared" si="11"/>
        <v>318 2468842</v>
      </c>
      <c r="AY354" t="str">
        <f>IFERROR(INDEX(Vacantes!$C:$C,MATCH(AT354,Vacantes!$A:$A,0)),"")</f>
        <v>Regional Sur</v>
      </c>
      <c r="AZ354" t="str">
        <f>IFERROR(INDEX(Vacantes!$D:$D,MATCH(AT354,Vacantes!$A:$A,0)),"")</f>
        <v>22 de octubre de 2026</v>
      </c>
      <c r="BA354" t="str">
        <f>IFERROR(INDEX(Vacantes!$E:$E,MATCH(AT354,Vacantes!$A:$A,0)),"")</f>
        <v>8:30 a.m. a 12:00 p.m.</v>
      </c>
    </row>
    <row r="355" spans="1:53" x14ac:dyDescent="0.15">
      <c r="A355" t="s">
        <v>1327</v>
      </c>
      <c r="B355" t="s">
        <v>1328</v>
      </c>
      <c r="C355" t="s">
        <v>55</v>
      </c>
      <c r="D355">
        <v>1010960473</v>
      </c>
      <c r="E355" t="s">
        <v>56</v>
      </c>
      <c r="F355">
        <v>22</v>
      </c>
      <c r="G355" t="b">
        <v>1</v>
      </c>
      <c r="H355" t="s">
        <v>159</v>
      </c>
      <c r="I355" t="s">
        <v>160</v>
      </c>
      <c r="J355" t="s">
        <v>161</v>
      </c>
      <c r="L355" t="s">
        <v>107</v>
      </c>
      <c r="N355" t="b">
        <v>0</v>
      </c>
      <c r="O355" t="b">
        <v>0</v>
      </c>
      <c r="P355" t="s">
        <v>60</v>
      </c>
      <c r="Q355" t="s">
        <v>60</v>
      </c>
      <c r="R355" t="s">
        <v>109</v>
      </c>
      <c r="V355" t="s">
        <v>188</v>
      </c>
      <c r="W355" t="s">
        <v>135</v>
      </c>
      <c r="AB355" t="b">
        <v>0</v>
      </c>
      <c r="AC355" t="b">
        <v>0</v>
      </c>
      <c r="AE355" t="b">
        <v>0</v>
      </c>
      <c r="AG355" t="b">
        <v>0</v>
      </c>
      <c r="AI355" t="b">
        <v>0</v>
      </c>
      <c r="AK355" t="s">
        <v>153</v>
      </c>
      <c r="AL355" t="s">
        <v>66</v>
      </c>
      <c r="AM355" s="3">
        <v>46261</v>
      </c>
      <c r="AN355" s="4">
        <v>0.44657407407407412</v>
      </c>
      <c r="AO355" t="s">
        <v>1329</v>
      </c>
      <c r="AP355" t="s">
        <v>1330</v>
      </c>
      <c r="AQ355" t="s">
        <v>69</v>
      </c>
      <c r="AR355">
        <v>94.9</v>
      </c>
      <c r="AS355" t="s">
        <v>70</v>
      </c>
      <c r="AT355" t="s">
        <v>1316</v>
      </c>
      <c r="AU355" t="s">
        <v>221</v>
      </c>
      <c r="AV355" t="s">
        <v>184</v>
      </c>
      <c r="AW355" t="str">
        <f t="shared" si="10"/>
        <v>Administración de Empresas</v>
      </c>
      <c r="AX355" t="str">
        <f t="shared" si="11"/>
        <v>318 6029672</v>
      </c>
      <c r="AY355" t="str">
        <f>IFERROR(INDEX(Vacantes!$C:$C,MATCH(AT355,Vacantes!$A:$A,0)),"")</f>
        <v>Regional Sur</v>
      </c>
      <c r="AZ355" t="str">
        <f>IFERROR(INDEX(Vacantes!$D:$D,MATCH(AT355,Vacantes!$A:$A,0)),"")</f>
        <v>22 de octubre de 2026</v>
      </c>
      <c r="BA355" t="str">
        <f>IFERROR(INDEX(Vacantes!$E:$E,MATCH(AT355,Vacantes!$A:$A,0)),"")</f>
        <v>8:30 a.m. a 12:00 p.m.</v>
      </c>
    </row>
    <row r="356" spans="1:53" x14ac:dyDescent="0.15">
      <c r="A356" t="s">
        <v>1386</v>
      </c>
      <c r="B356" t="s">
        <v>1387</v>
      </c>
      <c r="C356" t="s">
        <v>55</v>
      </c>
      <c r="D356">
        <v>1043644222</v>
      </c>
      <c r="E356" t="s">
        <v>76</v>
      </c>
      <c r="F356">
        <v>21</v>
      </c>
      <c r="G356" t="b">
        <v>1</v>
      </c>
      <c r="I356" t="s">
        <v>168</v>
      </c>
      <c r="J356" t="s">
        <v>298</v>
      </c>
      <c r="L356" t="s">
        <v>132</v>
      </c>
      <c r="M356" t="s">
        <v>1388</v>
      </c>
      <c r="N356" t="b">
        <v>0</v>
      </c>
      <c r="O356" t="b">
        <v>0</v>
      </c>
      <c r="P356" t="s">
        <v>60</v>
      </c>
      <c r="Q356" t="s">
        <v>144</v>
      </c>
      <c r="R356" t="s">
        <v>125</v>
      </c>
      <c r="W356" t="s">
        <v>125</v>
      </c>
      <c r="X356" t="s">
        <v>315</v>
      </c>
      <c r="AB356" t="b">
        <v>0</v>
      </c>
      <c r="AC356" t="b">
        <v>0</v>
      </c>
      <c r="AE356" t="b">
        <v>0</v>
      </c>
      <c r="AG356" t="b">
        <v>0</v>
      </c>
      <c r="AI356" t="b">
        <v>0</v>
      </c>
      <c r="AK356" t="s">
        <v>94</v>
      </c>
      <c r="AL356" t="s">
        <v>66</v>
      </c>
      <c r="AM356" s="3">
        <v>46257</v>
      </c>
      <c r="AN356" s="4">
        <v>0.77712962962962961</v>
      </c>
      <c r="AO356" t="s">
        <v>1389</v>
      </c>
      <c r="AP356" t="s">
        <v>1390</v>
      </c>
      <c r="AQ356" t="s">
        <v>69</v>
      </c>
      <c r="AR356">
        <v>96.5</v>
      </c>
      <c r="AS356" t="s">
        <v>70</v>
      </c>
      <c r="AT356" t="s">
        <v>609</v>
      </c>
      <c r="AU356" t="s">
        <v>221</v>
      </c>
      <c r="AV356" t="s">
        <v>73</v>
      </c>
      <c r="AW356" t="str">
        <f t="shared" si="10"/>
        <v>Administración Industrial</v>
      </c>
      <c r="AX356" t="str">
        <f t="shared" si="11"/>
        <v>320 5809488</v>
      </c>
      <c r="AY356" t="str">
        <f>IFERROR(INDEX(Vacantes!$C:$C,MATCH(AT356,Vacantes!$A:$A,0)),"")</f>
        <v>Cervecería de Barranquilla</v>
      </c>
      <c r="AZ356" t="str">
        <f>IFERROR(INDEX(Vacantes!$D:$D,MATCH(AT356,Vacantes!$A:$A,0)),"")</f>
        <v>22 de octubre de 2026</v>
      </c>
      <c r="BA356" t="str">
        <f>IFERROR(INDEX(Vacantes!$E:$E,MATCH(AT356,Vacantes!$A:$A,0)),"")</f>
        <v>12:30 p.m. a 5:00 p.m.</v>
      </c>
    </row>
    <row r="357" spans="1:53" x14ac:dyDescent="0.15">
      <c r="A357" t="s">
        <v>1476</v>
      </c>
      <c r="B357" t="s">
        <v>1477</v>
      </c>
      <c r="C357" t="s">
        <v>55</v>
      </c>
      <c r="D357">
        <v>1193290817</v>
      </c>
      <c r="E357" t="s">
        <v>76</v>
      </c>
      <c r="F357">
        <v>23</v>
      </c>
      <c r="G357" t="b">
        <v>1</v>
      </c>
      <c r="H357" t="s">
        <v>397</v>
      </c>
      <c r="I357" t="s">
        <v>160</v>
      </c>
      <c r="J357" t="s">
        <v>401</v>
      </c>
      <c r="L357" t="s">
        <v>772</v>
      </c>
      <c r="N357" t="b">
        <v>0</v>
      </c>
      <c r="O357" t="b">
        <v>0</v>
      </c>
      <c r="P357" t="s">
        <v>60</v>
      </c>
      <c r="Q357" t="s">
        <v>60</v>
      </c>
      <c r="R357" t="s">
        <v>81</v>
      </c>
      <c r="W357" t="s">
        <v>113</v>
      </c>
      <c r="AB357" t="b">
        <v>0</v>
      </c>
      <c r="AC357" t="b">
        <v>0</v>
      </c>
      <c r="AE357" t="b">
        <v>0</v>
      </c>
      <c r="AG357" t="b">
        <v>0</v>
      </c>
      <c r="AI357" t="b">
        <v>0</v>
      </c>
      <c r="AK357" t="s">
        <v>202</v>
      </c>
      <c r="AL357" t="s">
        <v>66</v>
      </c>
      <c r="AM357" s="3">
        <v>46277</v>
      </c>
      <c r="AN357" s="4">
        <v>0.96452546296296293</v>
      </c>
      <c r="AO357" t="s">
        <v>1478</v>
      </c>
      <c r="AP357" t="s">
        <v>1479</v>
      </c>
      <c r="AQ357" t="s">
        <v>69</v>
      </c>
      <c r="AR357">
        <v>90.4</v>
      </c>
      <c r="AS357" t="s">
        <v>70</v>
      </c>
      <c r="AT357" t="s">
        <v>164</v>
      </c>
      <c r="AU357" t="s">
        <v>221</v>
      </c>
      <c r="AV357" t="s">
        <v>73</v>
      </c>
      <c r="AW357" t="str">
        <f t="shared" si="10"/>
        <v>Comercio Internacional</v>
      </c>
      <c r="AX357" t="str">
        <f t="shared" si="11"/>
        <v>317 2129349</v>
      </c>
      <c r="AY357" t="str">
        <f>IFERROR(INDEX(Vacantes!$C:$C,MATCH(AT357,Vacantes!$A:$A,0)),"")</f>
        <v>Regional Sur</v>
      </c>
      <c r="AZ357" t="str">
        <f>IFERROR(INDEX(Vacantes!$D:$D,MATCH(AT357,Vacantes!$A:$A,0)),"")</f>
        <v>22 de octubre de 2026</v>
      </c>
      <c r="BA357" t="str">
        <f>IFERROR(INDEX(Vacantes!$E:$E,MATCH(AT357,Vacantes!$A:$A,0)),"")</f>
        <v>8:30 a.m. a 12:00 p.m.</v>
      </c>
    </row>
    <row r="358" spans="1:53" x14ac:dyDescent="0.15">
      <c r="A358" t="s">
        <v>1485</v>
      </c>
      <c r="B358" t="s">
        <v>1486</v>
      </c>
      <c r="C358" t="s">
        <v>55</v>
      </c>
      <c r="D358">
        <v>1047034256</v>
      </c>
      <c r="E358" t="s">
        <v>76</v>
      </c>
      <c r="F358">
        <v>22</v>
      </c>
      <c r="G358" t="b">
        <v>1</v>
      </c>
      <c r="H358" t="s">
        <v>168</v>
      </c>
      <c r="I358" t="s">
        <v>168</v>
      </c>
      <c r="J358" t="s">
        <v>132</v>
      </c>
      <c r="K358" t="s">
        <v>1487</v>
      </c>
      <c r="L358" t="s">
        <v>277</v>
      </c>
      <c r="N358" t="b">
        <v>1</v>
      </c>
      <c r="O358" t="b">
        <v>0</v>
      </c>
      <c r="P358" t="s">
        <v>61</v>
      </c>
      <c r="Q358" t="s">
        <v>60</v>
      </c>
      <c r="R358" t="s">
        <v>64</v>
      </c>
      <c r="U358" t="s">
        <v>93</v>
      </c>
      <c r="W358" t="s">
        <v>64</v>
      </c>
      <c r="Z358" t="s">
        <v>151</v>
      </c>
      <c r="AB358" t="b">
        <v>0</v>
      </c>
      <c r="AC358" t="b">
        <v>0</v>
      </c>
      <c r="AE358" t="b">
        <v>0</v>
      </c>
      <c r="AG358" t="b">
        <v>0</v>
      </c>
      <c r="AI358" t="b">
        <v>0</v>
      </c>
      <c r="AK358" t="s">
        <v>94</v>
      </c>
      <c r="AL358" t="s">
        <v>66</v>
      </c>
      <c r="AM358" s="3">
        <v>46266</v>
      </c>
      <c r="AN358" s="4">
        <v>0.75907407407407412</v>
      </c>
      <c r="AO358" t="s">
        <v>1488</v>
      </c>
      <c r="AP358" t="s">
        <v>1489</v>
      </c>
      <c r="AQ358" t="s">
        <v>69</v>
      </c>
      <c r="AR358">
        <v>93.5</v>
      </c>
      <c r="AS358" t="s">
        <v>70</v>
      </c>
      <c r="AT358" t="s">
        <v>171</v>
      </c>
      <c r="AU358" t="s">
        <v>221</v>
      </c>
      <c r="AV358" t="s">
        <v>73</v>
      </c>
      <c r="AW358" t="str">
        <f t="shared" si="10"/>
        <v>Psicología</v>
      </c>
      <c r="AX358" t="str">
        <f t="shared" si="11"/>
        <v>314 5091990</v>
      </c>
      <c r="AY358" t="str">
        <f>IFERROR(INDEX(Vacantes!$C:$C,MATCH(AT358,Vacantes!$A:$A,0)),"")</f>
        <v>Cervecería de Barranquilla</v>
      </c>
      <c r="AZ358" t="str">
        <f>IFERROR(INDEX(Vacantes!$D:$D,MATCH(AT358,Vacantes!$A:$A,0)),"")</f>
        <v>22 de octubre de 2026</v>
      </c>
      <c r="BA358" t="str">
        <f>IFERROR(INDEX(Vacantes!$E:$E,MATCH(AT358,Vacantes!$A:$A,0)),"")</f>
        <v>12:30 p.m. a 5:00 p.m.</v>
      </c>
    </row>
    <row r="359" spans="1:53" x14ac:dyDescent="0.15">
      <c r="A359" t="s">
        <v>1493</v>
      </c>
      <c r="B359" t="s">
        <v>1494</v>
      </c>
      <c r="C359" t="s">
        <v>55</v>
      </c>
      <c r="D359">
        <v>1082856658</v>
      </c>
      <c r="E359" t="s">
        <v>56</v>
      </c>
      <c r="F359">
        <v>21</v>
      </c>
      <c r="G359" t="b">
        <v>1</v>
      </c>
      <c r="H359" t="s">
        <v>1446</v>
      </c>
      <c r="I359" t="s">
        <v>168</v>
      </c>
      <c r="J359" t="s">
        <v>1003</v>
      </c>
      <c r="L359" t="s">
        <v>134</v>
      </c>
      <c r="N359" t="b">
        <v>0</v>
      </c>
      <c r="O359" t="b">
        <v>0</v>
      </c>
      <c r="P359" t="s">
        <v>61</v>
      </c>
      <c r="Q359" t="s">
        <v>60</v>
      </c>
      <c r="R359" t="s">
        <v>109</v>
      </c>
      <c r="U359" t="s">
        <v>63</v>
      </c>
      <c r="V359" t="s">
        <v>283</v>
      </c>
      <c r="W359" t="s">
        <v>64</v>
      </c>
      <c r="AB359" t="b">
        <v>0</v>
      </c>
      <c r="AC359" t="b">
        <v>0</v>
      </c>
      <c r="AE359" t="b">
        <v>0</v>
      </c>
      <c r="AG359" t="b">
        <v>1</v>
      </c>
      <c r="AI359" t="b">
        <v>0</v>
      </c>
      <c r="AK359" t="s">
        <v>153</v>
      </c>
      <c r="AL359" t="s">
        <v>66</v>
      </c>
      <c r="AM359" s="3">
        <v>46276</v>
      </c>
      <c r="AN359" s="4">
        <v>0.65216435185185184</v>
      </c>
      <c r="AO359" t="s">
        <v>1495</v>
      </c>
      <c r="AP359" t="s">
        <v>1004</v>
      </c>
      <c r="AQ359" t="s">
        <v>69</v>
      </c>
      <c r="AR359">
        <v>95.1</v>
      </c>
      <c r="AS359" t="s">
        <v>70</v>
      </c>
      <c r="AT359" t="s">
        <v>178</v>
      </c>
      <c r="AU359" t="s">
        <v>221</v>
      </c>
      <c r="AV359" t="s">
        <v>73</v>
      </c>
      <c r="AW359" t="str">
        <f t="shared" si="10"/>
        <v>Negocios Internacionales</v>
      </c>
      <c r="AX359" t="str">
        <f t="shared" si="11"/>
        <v>314 7902917</v>
      </c>
      <c r="AY359" t="str">
        <f>IFERROR(INDEX(Vacantes!$C:$C,MATCH(AT359,Vacantes!$A:$A,0)),"")</f>
        <v>Regional Norte</v>
      </c>
      <c r="AZ359" t="str">
        <f>IFERROR(INDEX(Vacantes!$D:$D,MATCH(AT359,Vacantes!$A:$A,0)),"")</f>
        <v>22 de octubre de 2026</v>
      </c>
      <c r="BA359" t="str">
        <f>IFERROR(INDEX(Vacantes!$E:$E,MATCH(AT359,Vacantes!$A:$A,0)),"")</f>
        <v>1:30 p.m. a 5:00 p.m.</v>
      </c>
    </row>
    <row r="360" spans="1:53" x14ac:dyDescent="0.15">
      <c r="A360" t="s">
        <v>1505</v>
      </c>
      <c r="B360" t="s">
        <v>1506</v>
      </c>
      <c r="C360" t="s">
        <v>55</v>
      </c>
      <c r="D360">
        <v>1105364869</v>
      </c>
      <c r="E360" t="s">
        <v>76</v>
      </c>
      <c r="F360">
        <v>21</v>
      </c>
      <c r="G360" t="b">
        <v>1</v>
      </c>
      <c r="H360" t="s">
        <v>397</v>
      </c>
      <c r="I360" t="s">
        <v>160</v>
      </c>
      <c r="J360" t="s">
        <v>401</v>
      </c>
      <c r="L360" t="s">
        <v>132</v>
      </c>
      <c r="M360" t="s">
        <v>1507</v>
      </c>
      <c r="N360" t="b">
        <v>1</v>
      </c>
      <c r="O360" t="b">
        <v>0</v>
      </c>
      <c r="P360" t="s">
        <v>60</v>
      </c>
      <c r="Q360" t="s">
        <v>60</v>
      </c>
      <c r="R360" t="s">
        <v>109</v>
      </c>
      <c r="V360" t="s">
        <v>176</v>
      </c>
      <c r="W360" t="s">
        <v>125</v>
      </c>
      <c r="X360" t="s">
        <v>64</v>
      </c>
      <c r="AB360" t="b">
        <v>0</v>
      </c>
      <c r="AC360" t="b">
        <v>0</v>
      </c>
      <c r="AE360" t="b">
        <v>0</v>
      </c>
      <c r="AG360" t="b">
        <v>0</v>
      </c>
      <c r="AI360" t="b">
        <v>0</v>
      </c>
      <c r="AK360" t="s">
        <v>94</v>
      </c>
      <c r="AL360" t="s">
        <v>66</v>
      </c>
      <c r="AM360" s="3">
        <v>46277</v>
      </c>
      <c r="AN360" s="4">
        <v>0.49100694444444443</v>
      </c>
      <c r="AO360" t="s">
        <v>1508</v>
      </c>
      <c r="AP360" t="s">
        <v>1509</v>
      </c>
      <c r="AQ360" t="s">
        <v>69</v>
      </c>
      <c r="AR360">
        <v>83.4</v>
      </c>
      <c r="AS360" t="s">
        <v>70</v>
      </c>
      <c r="AT360" t="s">
        <v>1316</v>
      </c>
      <c r="AU360" t="s">
        <v>221</v>
      </c>
      <c r="AV360" t="s">
        <v>184</v>
      </c>
      <c r="AW360" t="str">
        <f t="shared" si="10"/>
        <v>Comercio Exterior</v>
      </c>
      <c r="AX360" t="str">
        <f t="shared" si="11"/>
        <v>311 3233801</v>
      </c>
      <c r="AY360" t="str">
        <f>IFERROR(INDEX(Vacantes!$C:$C,MATCH(AT360,Vacantes!$A:$A,0)),"")</f>
        <v>Regional Sur</v>
      </c>
      <c r="AZ360" t="str">
        <f>IFERROR(INDEX(Vacantes!$D:$D,MATCH(AT360,Vacantes!$A:$A,0)),"")</f>
        <v>22 de octubre de 2026</v>
      </c>
      <c r="BA360" t="str">
        <f>IFERROR(INDEX(Vacantes!$E:$E,MATCH(AT360,Vacantes!$A:$A,0)),"")</f>
        <v>8:30 a.m. a 12:00 p.m.</v>
      </c>
    </row>
    <row r="361" spans="1:53" x14ac:dyDescent="0.15">
      <c r="A361" t="s">
        <v>1510</v>
      </c>
      <c r="B361" t="s">
        <v>1511</v>
      </c>
      <c r="C361" t="s">
        <v>55</v>
      </c>
      <c r="D361">
        <v>1105928637</v>
      </c>
      <c r="E361" t="s">
        <v>56</v>
      </c>
      <c r="F361">
        <v>20</v>
      </c>
      <c r="G361" t="b">
        <v>1</v>
      </c>
      <c r="H361" t="s">
        <v>1512</v>
      </c>
      <c r="I361" t="s">
        <v>160</v>
      </c>
      <c r="J361" t="s">
        <v>132</v>
      </c>
      <c r="K361" t="s">
        <v>1513</v>
      </c>
      <c r="L361" t="s">
        <v>79</v>
      </c>
      <c r="N361" t="b">
        <v>0</v>
      </c>
      <c r="O361" t="b">
        <v>0</v>
      </c>
      <c r="P361" t="s">
        <v>60</v>
      </c>
      <c r="Q361" t="s">
        <v>60</v>
      </c>
      <c r="R361" t="s">
        <v>109</v>
      </c>
      <c r="V361" t="s">
        <v>176</v>
      </c>
      <c r="W361" t="s">
        <v>109</v>
      </c>
      <c r="AA361" t="s">
        <v>176</v>
      </c>
      <c r="AB361" t="b">
        <v>0</v>
      </c>
      <c r="AC361" t="b">
        <v>0</v>
      </c>
      <c r="AE361" t="b">
        <v>0</v>
      </c>
      <c r="AG361" t="b">
        <v>0</v>
      </c>
      <c r="AI361" t="b">
        <v>0</v>
      </c>
      <c r="AK361" t="s">
        <v>202</v>
      </c>
      <c r="AL361" t="s">
        <v>66</v>
      </c>
      <c r="AM361" s="3">
        <v>46278</v>
      </c>
      <c r="AN361" s="4">
        <v>0.47739583333333341</v>
      </c>
      <c r="AO361">
        <v>0</v>
      </c>
      <c r="AP361" t="s">
        <v>1514</v>
      </c>
      <c r="AQ361" t="s">
        <v>69</v>
      </c>
      <c r="AR361">
        <v>86</v>
      </c>
      <c r="AS361" t="s">
        <v>70</v>
      </c>
      <c r="AT361" t="s">
        <v>1316</v>
      </c>
      <c r="AU361" t="s">
        <v>221</v>
      </c>
      <c r="AV361" t="s">
        <v>184</v>
      </c>
      <c r="AW361" t="str">
        <f t="shared" si="10"/>
        <v>Economía</v>
      </c>
      <c r="AX361" t="str">
        <f t="shared" si="11"/>
        <v/>
      </c>
      <c r="AY361" t="str">
        <f>IFERROR(INDEX(Vacantes!$C:$C,MATCH(AT361,Vacantes!$A:$A,0)),"")</f>
        <v>Regional Sur</v>
      </c>
      <c r="AZ361" t="str">
        <f>IFERROR(INDEX(Vacantes!$D:$D,MATCH(AT361,Vacantes!$A:$A,0)),"")</f>
        <v>22 de octubre de 2026</v>
      </c>
      <c r="BA361" t="str">
        <f>IFERROR(INDEX(Vacantes!$E:$E,MATCH(AT361,Vacantes!$A:$A,0)),"")</f>
        <v>8:30 a.m. a 12:00 p.m.</v>
      </c>
    </row>
    <row r="362" spans="1:53" x14ac:dyDescent="0.15">
      <c r="A362" t="s">
        <v>1591</v>
      </c>
      <c r="B362" t="s">
        <v>1592</v>
      </c>
      <c r="C362" t="s">
        <v>55</v>
      </c>
      <c r="D362">
        <v>1048434816</v>
      </c>
      <c r="E362" t="s">
        <v>76</v>
      </c>
      <c r="F362">
        <v>22</v>
      </c>
      <c r="G362" t="b">
        <v>1</v>
      </c>
      <c r="H362" t="s">
        <v>174</v>
      </c>
      <c r="I362" t="s">
        <v>168</v>
      </c>
      <c r="J362" t="s">
        <v>319</v>
      </c>
      <c r="L362" t="s">
        <v>143</v>
      </c>
      <c r="N362" t="b">
        <v>1</v>
      </c>
      <c r="O362" t="b">
        <v>0</v>
      </c>
      <c r="P362" t="s">
        <v>60</v>
      </c>
      <c r="Q362" t="s">
        <v>61</v>
      </c>
      <c r="R362" t="s">
        <v>125</v>
      </c>
      <c r="W362" t="s">
        <v>125</v>
      </c>
      <c r="X362" t="s">
        <v>315</v>
      </c>
      <c r="AB362" t="b">
        <v>0</v>
      </c>
      <c r="AC362" t="b">
        <v>0</v>
      </c>
      <c r="AE362" t="b">
        <v>0</v>
      </c>
      <c r="AG362" t="b">
        <v>0</v>
      </c>
      <c r="AI362" t="b">
        <v>0</v>
      </c>
      <c r="AK362" t="s">
        <v>65</v>
      </c>
      <c r="AL362" t="s">
        <v>66</v>
      </c>
      <c r="AM362" s="3">
        <v>46270</v>
      </c>
      <c r="AN362" s="4">
        <v>0.3618865740740741</v>
      </c>
      <c r="AO362" t="s">
        <v>1593</v>
      </c>
      <c r="AP362" t="s">
        <v>1594</v>
      </c>
      <c r="AQ362" t="s">
        <v>69</v>
      </c>
      <c r="AR362">
        <v>90.6</v>
      </c>
      <c r="AS362" t="s">
        <v>70</v>
      </c>
      <c r="AT362" t="s">
        <v>302</v>
      </c>
      <c r="AU362" t="s">
        <v>221</v>
      </c>
      <c r="AV362" t="s">
        <v>73</v>
      </c>
      <c r="AW362" t="str">
        <f t="shared" si="10"/>
        <v>Ingeniería Industrial</v>
      </c>
      <c r="AX362" t="str">
        <f t="shared" si="11"/>
        <v>314 5227092</v>
      </c>
      <c r="AY362" t="str">
        <f>IFERROR(INDEX(Vacantes!$C:$C,MATCH(AT362,Vacantes!$A:$A,0)),"")</f>
        <v>Cervecería de Barranquilla</v>
      </c>
      <c r="AZ362" t="str">
        <f>IFERROR(INDEX(Vacantes!$D:$D,MATCH(AT362,Vacantes!$A:$A,0)),"")</f>
        <v>22 de octubre de 2026</v>
      </c>
      <c r="BA362" t="str">
        <f>IFERROR(INDEX(Vacantes!$E:$E,MATCH(AT362,Vacantes!$A:$A,0)),"")</f>
        <v>12:30 p.m. a 5:00 p.m.</v>
      </c>
    </row>
    <row r="363" spans="1:53" x14ac:dyDescent="0.15">
      <c r="A363" t="s">
        <v>1595</v>
      </c>
      <c r="B363" t="s">
        <v>1596</v>
      </c>
      <c r="C363" t="s">
        <v>55</v>
      </c>
      <c r="D363">
        <v>1010151670</v>
      </c>
      <c r="E363" t="s">
        <v>76</v>
      </c>
      <c r="F363">
        <v>25</v>
      </c>
      <c r="G363" t="b">
        <v>1</v>
      </c>
      <c r="H363" t="s">
        <v>207</v>
      </c>
      <c r="I363" t="s">
        <v>168</v>
      </c>
      <c r="J363" t="s">
        <v>1272</v>
      </c>
      <c r="L363" t="s">
        <v>393</v>
      </c>
      <c r="N363" t="b">
        <v>0</v>
      </c>
      <c r="O363" t="b">
        <v>0</v>
      </c>
      <c r="P363" t="s">
        <v>144</v>
      </c>
      <c r="Q363" t="s">
        <v>60</v>
      </c>
      <c r="R363" t="s">
        <v>125</v>
      </c>
      <c r="W363" t="s">
        <v>125</v>
      </c>
      <c r="X363" t="s">
        <v>306</v>
      </c>
      <c r="AB363" t="b">
        <v>0</v>
      </c>
      <c r="AC363" t="b">
        <v>0</v>
      </c>
      <c r="AE363" t="b">
        <v>0</v>
      </c>
      <c r="AG363" t="b">
        <v>0</v>
      </c>
      <c r="AI363" t="b">
        <v>0</v>
      </c>
      <c r="AK363" t="s">
        <v>94</v>
      </c>
      <c r="AL363" t="s">
        <v>66</v>
      </c>
      <c r="AM363" s="3">
        <v>46269</v>
      </c>
      <c r="AN363" s="4">
        <v>0.2494791666666667</v>
      </c>
      <c r="AO363" t="s">
        <v>1597</v>
      </c>
      <c r="AP363" t="s">
        <v>1598</v>
      </c>
      <c r="AQ363" t="s">
        <v>69</v>
      </c>
      <c r="AR363">
        <v>96</v>
      </c>
      <c r="AS363" t="s">
        <v>70</v>
      </c>
      <c r="AT363" t="s">
        <v>302</v>
      </c>
      <c r="AU363" t="s">
        <v>221</v>
      </c>
      <c r="AV363" t="s">
        <v>73</v>
      </c>
      <c r="AW363" t="str">
        <f t="shared" si="10"/>
        <v>Microbiología</v>
      </c>
      <c r="AX363" t="str">
        <f t="shared" si="11"/>
        <v>316 2503458</v>
      </c>
      <c r="AY363" t="str">
        <f>IFERROR(INDEX(Vacantes!$C:$C,MATCH(AT363,Vacantes!$A:$A,0)),"")</f>
        <v>Cervecería de Barranquilla</v>
      </c>
      <c r="AZ363" t="str">
        <f>IFERROR(INDEX(Vacantes!$D:$D,MATCH(AT363,Vacantes!$A:$A,0)),"")</f>
        <v>22 de octubre de 2026</v>
      </c>
      <c r="BA363" t="str">
        <f>IFERROR(INDEX(Vacantes!$E:$E,MATCH(AT363,Vacantes!$A:$A,0)),"")</f>
        <v>12:30 p.m. a 5:00 p.m.</v>
      </c>
    </row>
    <row r="364" spans="1:53" x14ac:dyDescent="0.15">
      <c r="A364" t="s">
        <v>1599</v>
      </c>
      <c r="B364" t="s">
        <v>1600</v>
      </c>
      <c r="C364" t="s">
        <v>55</v>
      </c>
      <c r="D364">
        <v>1001884244</v>
      </c>
      <c r="E364" t="s">
        <v>56</v>
      </c>
      <c r="F364">
        <v>24</v>
      </c>
      <c r="G364" t="b">
        <v>1</v>
      </c>
      <c r="H364" t="s">
        <v>168</v>
      </c>
      <c r="I364" t="s">
        <v>168</v>
      </c>
      <c r="J364" t="s">
        <v>495</v>
      </c>
      <c r="L364" t="s">
        <v>663</v>
      </c>
      <c r="N364" t="b">
        <v>1</v>
      </c>
      <c r="O364" t="b">
        <v>0</v>
      </c>
      <c r="P364" t="s">
        <v>60</v>
      </c>
      <c r="Q364" t="s">
        <v>61</v>
      </c>
      <c r="R364" t="s">
        <v>125</v>
      </c>
      <c r="W364" t="s">
        <v>125</v>
      </c>
      <c r="X364" t="s">
        <v>315</v>
      </c>
      <c r="AB364" t="b">
        <v>0</v>
      </c>
      <c r="AC364" t="b">
        <v>0</v>
      </c>
      <c r="AE364" t="b">
        <v>0</v>
      </c>
      <c r="AG364" t="b">
        <v>0</v>
      </c>
      <c r="AI364" t="b">
        <v>0</v>
      </c>
      <c r="AK364" t="s">
        <v>94</v>
      </c>
      <c r="AL364" t="s">
        <v>66</v>
      </c>
      <c r="AM364" s="3">
        <v>46260</v>
      </c>
      <c r="AN364" s="4">
        <v>0.2278240740740741</v>
      </c>
      <c r="AO364">
        <v>3017621408</v>
      </c>
      <c r="AP364" t="s">
        <v>1601</v>
      </c>
      <c r="AQ364" t="s">
        <v>69</v>
      </c>
      <c r="AR364">
        <v>82.5</v>
      </c>
      <c r="AS364" t="s">
        <v>70</v>
      </c>
      <c r="AT364" t="s">
        <v>302</v>
      </c>
      <c r="AV364" t="s">
        <v>73</v>
      </c>
      <c r="AW364" t="str">
        <f t="shared" si="10"/>
        <v>Ingeniería de Producción</v>
      </c>
      <c r="AX364" t="str">
        <f t="shared" si="11"/>
        <v>3017621408</v>
      </c>
      <c r="AY364" t="str">
        <f>IFERROR(INDEX(Vacantes!$C:$C,MATCH(AT364,Vacantes!$A:$A,0)),"")</f>
        <v>Cervecería de Barranquilla</v>
      </c>
      <c r="AZ364" t="str">
        <f>IFERROR(INDEX(Vacantes!$D:$D,MATCH(AT364,Vacantes!$A:$A,0)),"")</f>
        <v>22 de octubre de 2026</v>
      </c>
      <c r="BA364" t="str">
        <f>IFERROR(INDEX(Vacantes!$E:$E,MATCH(AT364,Vacantes!$A:$A,0)),"")</f>
        <v>12:30 p.m. a 5:00 p.m.</v>
      </c>
    </row>
    <row r="365" spans="1:53" x14ac:dyDescent="0.15">
      <c r="A365" t="s">
        <v>1798</v>
      </c>
      <c r="B365" t="s">
        <v>1799</v>
      </c>
      <c r="C365" t="s">
        <v>55</v>
      </c>
      <c r="D365">
        <v>1048064341</v>
      </c>
      <c r="E365" t="s">
        <v>56</v>
      </c>
      <c r="F365">
        <v>22</v>
      </c>
      <c r="G365" t="b">
        <v>1</v>
      </c>
      <c r="I365" t="s">
        <v>168</v>
      </c>
      <c r="L365" t="s">
        <v>612</v>
      </c>
      <c r="N365" t="b">
        <v>0</v>
      </c>
      <c r="O365" t="b">
        <v>0</v>
      </c>
      <c r="P365" t="s">
        <v>61</v>
      </c>
      <c r="Q365" t="s">
        <v>60</v>
      </c>
      <c r="R365" t="s">
        <v>62</v>
      </c>
      <c r="W365" t="s">
        <v>125</v>
      </c>
      <c r="X365" t="s">
        <v>145</v>
      </c>
      <c r="AB365" t="b">
        <v>0</v>
      </c>
      <c r="AC365" t="b">
        <v>0</v>
      </c>
      <c r="AE365" t="b">
        <v>0</v>
      </c>
      <c r="AG365" t="b">
        <v>0</v>
      </c>
      <c r="AI365" t="b">
        <v>0</v>
      </c>
      <c r="AK365" t="s">
        <v>94</v>
      </c>
      <c r="AL365" t="s">
        <v>66</v>
      </c>
      <c r="AM365" s="3">
        <v>46277</v>
      </c>
      <c r="AN365" s="4">
        <v>0.63134259259259262</v>
      </c>
      <c r="AO365" t="s">
        <v>1800</v>
      </c>
      <c r="AP365" t="s">
        <v>1801</v>
      </c>
      <c r="AQ365" t="s">
        <v>69</v>
      </c>
      <c r="AR365">
        <v>74.099999999999994</v>
      </c>
      <c r="AS365" t="s">
        <v>70</v>
      </c>
      <c r="AT365" t="s">
        <v>720</v>
      </c>
      <c r="AU365" t="s">
        <v>221</v>
      </c>
      <c r="AV365" t="s">
        <v>73</v>
      </c>
      <c r="AW365" t="str">
        <f t="shared" si="10"/>
        <v>Ingeniería Mecánica</v>
      </c>
      <c r="AX365" t="str">
        <f t="shared" si="11"/>
        <v>302 4511618</v>
      </c>
      <c r="AY365" t="str">
        <f>IFERROR(INDEX(Vacantes!$C:$C,MATCH(AT365,Vacantes!$A:$A,0)),"")</f>
        <v>Cervecería de Barranquilla</v>
      </c>
      <c r="AZ365" t="str">
        <f>IFERROR(INDEX(Vacantes!$D:$D,MATCH(AT365,Vacantes!$A:$A,0)),"")</f>
        <v>22 de octubre de 2026</v>
      </c>
      <c r="BA365" t="str">
        <f>IFERROR(INDEX(Vacantes!$E:$E,MATCH(AT365,Vacantes!$A:$A,0)),"")</f>
        <v>12:30 p.m. a 5:00 p.m.</v>
      </c>
    </row>
    <row r="366" spans="1:53" x14ac:dyDescent="0.15">
      <c r="A366" t="s">
        <v>1802</v>
      </c>
      <c r="B366" t="s">
        <v>1803</v>
      </c>
      <c r="C366" t="s">
        <v>55</v>
      </c>
      <c r="D366">
        <v>1043116135</v>
      </c>
      <c r="E366" t="s">
        <v>56</v>
      </c>
      <c r="F366">
        <v>22</v>
      </c>
      <c r="G366" t="b">
        <v>1</v>
      </c>
      <c r="H366" t="s">
        <v>626</v>
      </c>
      <c r="I366" t="s">
        <v>168</v>
      </c>
      <c r="J366" t="s">
        <v>132</v>
      </c>
      <c r="K366" t="s">
        <v>618</v>
      </c>
      <c r="L366" t="s">
        <v>612</v>
      </c>
      <c r="N366" t="b">
        <v>1</v>
      </c>
      <c r="O366" t="b">
        <v>0</v>
      </c>
      <c r="P366" t="s">
        <v>144</v>
      </c>
      <c r="Q366" t="s">
        <v>144</v>
      </c>
      <c r="R366" t="s">
        <v>125</v>
      </c>
      <c r="W366" t="s">
        <v>135</v>
      </c>
      <c r="AB366" t="b">
        <v>0</v>
      </c>
      <c r="AC366" t="b">
        <v>0</v>
      </c>
      <c r="AE366" t="b">
        <v>0</v>
      </c>
      <c r="AG366" t="b">
        <v>0</v>
      </c>
      <c r="AI366" t="b">
        <v>0</v>
      </c>
      <c r="AK366" t="s">
        <v>94</v>
      </c>
      <c r="AL366" t="s">
        <v>66</v>
      </c>
      <c r="AM366" s="3">
        <v>46265</v>
      </c>
      <c r="AN366" s="4">
        <v>0.5632638888888889</v>
      </c>
      <c r="AO366" t="s">
        <v>1804</v>
      </c>
      <c r="AP366" t="s">
        <v>1805</v>
      </c>
      <c r="AQ366" t="s">
        <v>69</v>
      </c>
      <c r="AR366">
        <v>77.7</v>
      </c>
      <c r="AS366" t="s">
        <v>85</v>
      </c>
      <c r="AT366" t="s">
        <v>609</v>
      </c>
      <c r="AU366" t="s">
        <v>221</v>
      </c>
      <c r="AV366" t="s">
        <v>73</v>
      </c>
      <c r="AW366" t="str">
        <f t="shared" si="10"/>
        <v>Ingeniería Mecánica</v>
      </c>
      <c r="AX366" t="str">
        <f t="shared" si="11"/>
        <v>315 5903994</v>
      </c>
      <c r="AY366" t="str">
        <f>IFERROR(INDEX(Vacantes!$C:$C,MATCH(AT366,Vacantes!$A:$A,0)),"")</f>
        <v>Cervecería de Barranquilla</v>
      </c>
      <c r="AZ366" t="str">
        <f>IFERROR(INDEX(Vacantes!$D:$D,MATCH(AT366,Vacantes!$A:$A,0)),"")</f>
        <v>22 de octubre de 2026</v>
      </c>
      <c r="BA366" t="str">
        <f>IFERROR(INDEX(Vacantes!$E:$E,MATCH(AT366,Vacantes!$A:$A,0)),"")</f>
        <v>12:30 p.m. a 5:00 p.m.</v>
      </c>
    </row>
    <row r="367" spans="1:53" x14ac:dyDescent="0.15">
      <c r="A367" t="s">
        <v>1806</v>
      </c>
      <c r="B367" t="s">
        <v>1807</v>
      </c>
      <c r="C367" t="s">
        <v>55</v>
      </c>
      <c r="D367">
        <v>1002159559</v>
      </c>
      <c r="E367" t="s">
        <v>76</v>
      </c>
      <c r="F367">
        <v>24</v>
      </c>
      <c r="G367" t="b">
        <v>1</v>
      </c>
      <c r="H367" t="s">
        <v>1808</v>
      </c>
      <c r="I367" t="s">
        <v>168</v>
      </c>
      <c r="J367" t="s">
        <v>298</v>
      </c>
      <c r="L367" t="s">
        <v>1809</v>
      </c>
      <c r="N367" t="b">
        <v>1</v>
      </c>
      <c r="O367" t="b">
        <v>0</v>
      </c>
      <c r="P367" t="s">
        <v>144</v>
      </c>
      <c r="Q367" t="s">
        <v>60</v>
      </c>
      <c r="R367" t="s">
        <v>125</v>
      </c>
      <c r="W367" t="s">
        <v>135</v>
      </c>
      <c r="AB367" t="b">
        <v>0</v>
      </c>
      <c r="AC367" t="b">
        <v>0</v>
      </c>
      <c r="AE367" t="b">
        <v>0</v>
      </c>
      <c r="AG367" t="b">
        <v>0</v>
      </c>
      <c r="AI367" t="b">
        <v>0</v>
      </c>
      <c r="AK367" t="s">
        <v>202</v>
      </c>
      <c r="AL367" t="s">
        <v>66</v>
      </c>
      <c r="AM367" s="3">
        <v>46263</v>
      </c>
      <c r="AN367" s="4">
        <v>0.50149305555555557</v>
      </c>
      <c r="AO367">
        <v>3006440631</v>
      </c>
      <c r="AP367" t="s">
        <v>1810</v>
      </c>
      <c r="AQ367" t="s">
        <v>69</v>
      </c>
      <c r="AR367">
        <v>91.2</v>
      </c>
      <c r="AS367" t="s">
        <v>70</v>
      </c>
      <c r="AT367" t="s">
        <v>609</v>
      </c>
      <c r="AV367" t="s">
        <v>73</v>
      </c>
      <c r="AW367" t="str">
        <f t="shared" si="10"/>
        <v>Ingeniería Civil</v>
      </c>
      <c r="AX367" t="str">
        <f t="shared" si="11"/>
        <v>3006440631</v>
      </c>
      <c r="AY367" t="str">
        <f>IFERROR(INDEX(Vacantes!$C:$C,MATCH(AT367,Vacantes!$A:$A,0)),"")</f>
        <v>Cervecería de Barranquilla</v>
      </c>
      <c r="AZ367" t="str">
        <f>IFERROR(INDEX(Vacantes!$D:$D,MATCH(AT367,Vacantes!$A:$A,0)),"")</f>
        <v>22 de octubre de 2026</v>
      </c>
      <c r="BA367" t="str">
        <f>IFERROR(INDEX(Vacantes!$E:$E,MATCH(AT367,Vacantes!$A:$A,0)),"")</f>
        <v>12:30 p.m. a 5:00 p.m.</v>
      </c>
    </row>
    <row r="368" spans="1:53" x14ac:dyDescent="0.15">
      <c r="A368" t="s">
        <v>1832</v>
      </c>
      <c r="B368" t="s">
        <v>1833</v>
      </c>
      <c r="C368" t="s">
        <v>55</v>
      </c>
      <c r="D368">
        <v>1062956742</v>
      </c>
      <c r="E368" t="s">
        <v>76</v>
      </c>
      <c r="F368">
        <v>22</v>
      </c>
      <c r="G368" t="b">
        <v>1</v>
      </c>
      <c r="H368" t="s">
        <v>1834</v>
      </c>
      <c r="I368" t="s">
        <v>168</v>
      </c>
      <c r="J368" t="s">
        <v>132</v>
      </c>
      <c r="K368" t="s">
        <v>1835</v>
      </c>
      <c r="L368" t="s">
        <v>143</v>
      </c>
      <c r="N368" t="b">
        <v>0</v>
      </c>
      <c r="O368" t="b">
        <v>0</v>
      </c>
      <c r="P368" t="s">
        <v>60</v>
      </c>
      <c r="Q368" t="s">
        <v>61</v>
      </c>
      <c r="R368" t="s">
        <v>125</v>
      </c>
      <c r="W368" t="s">
        <v>125</v>
      </c>
      <c r="X368" t="s">
        <v>315</v>
      </c>
      <c r="AB368" t="b">
        <v>0</v>
      </c>
      <c r="AC368" t="b">
        <v>0</v>
      </c>
      <c r="AE368" t="b">
        <v>0</v>
      </c>
      <c r="AG368" t="b">
        <v>0</v>
      </c>
      <c r="AI368" t="b">
        <v>0</v>
      </c>
      <c r="AK368" t="s">
        <v>248</v>
      </c>
      <c r="AL368" t="s">
        <v>66</v>
      </c>
      <c r="AM368" s="3">
        <v>46265</v>
      </c>
      <c r="AN368" s="4">
        <v>0.5632638888888889</v>
      </c>
      <c r="AO368">
        <v>3006906867</v>
      </c>
      <c r="AP368" t="s">
        <v>1836</v>
      </c>
      <c r="AQ368" t="s">
        <v>69</v>
      </c>
      <c r="AR368">
        <v>95</v>
      </c>
      <c r="AS368" t="s">
        <v>70</v>
      </c>
      <c r="AT368" t="s">
        <v>720</v>
      </c>
      <c r="AU368" t="s">
        <v>221</v>
      </c>
      <c r="AV368" t="s">
        <v>73</v>
      </c>
      <c r="AW368" t="str">
        <f t="shared" si="10"/>
        <v>Ingeniería Industrial</v>
      </c>
      <c r="AX368" t="str">
        <f t="shared" si="11"/>
        <v>3006906867</v>
      </c>
      <c r="AY368" t="str">
        <f>IFERROR(INDEX(Vacantes!$C:$C,MATCH(AT368,Vacantes!$A:$A,0)),"")</f>
        <v>Cervecería de Barranquilla</v>
      </c>
      <c r="AZ368" t="str">
        <f>IFERROR(INDEX(Vacantes!$D:$D,MATCH(AT368,Vacantes!$A:$A,0)),"")</f>
        <v>22 de octubre de 2026</v>
      </c>
      <c r="BA368" t="str">
        <f>IFERROR(INDEX(Vacantes!$E:$E,MATCH(AT368,Vacantes!$A:$A,0)),"")</f>
        <v>12:30 p.m. a 5:00 p.m.</v>
      </c>
    </row>
    <row r="369" spans="1:53" x14ac:dyDescent="0.15">
      <c r="A369" t="s">
        <v>1837</v>
      </c>
      <c r="B369" t="s">
        <v>1838</v>
      </c>
      <c r="C369" t="s">
        <v>55</v>
      </c>
      <c r="D369">
        <v>1062954988</v>
      </c>
      <c r="E369" t="s">
        <v>76</v>
      </c>
      <c r="F369">
        <v>23</v>
      </c>
      <c r="G369" t="b">
        <v>1</v>
      </c>
      <c r="H369" t="s">
        <v>1839</v>
      </c>
      <c r="I369" t="s">
        <v>168</v>
      </c>
      <c r="J369" t="s">
        <v>132</v>
      </c>
      <c r="K369" t="s">
        <v>1840</v>
      </c>
      <c r="L369" t="s">
        <v>143</v>
      </c>
      <c r="N369" t="b">
        <v>0</v>
      </c>
      <c r="O369" t="b">
        <v>0</v>
      </c>
      <c r="P369" t="s">
        <v>60</v>
      </c>
      <c r="Q369" t="s">
        <v>61</v>
      </c>
      <c r="R369" t="s">
        <v>125</v>
      </c>
      <c r="W369" t="s">
        <v>125</v>
      </c>
      <c r="X369" t="s">
        <v>64</v>
      </c>
      <c r="AB369" t="b">
        <v>0</v>
      </c>
      <c r="AC369" t="b">
        <v>0</v>
      </c>
      <c r="AE369" t="b">
        <v>0</v>
      </c>
      <c r="AG369" t="b">
        <v>0</v>
      </c>
      <c r="AI369" t="b">
        <v>0</v>
      </c>
      <c r="AK369" t="s">
        <v>202</v>
      </c>
      <c r="AL369" t="s">
        <v>66</v>
      </c>
      <c r="AM369" s="3">
        <v>46264</v>
      </c>
      <c r="AN369" s="4">
        <v>0.61878472222222225</v>
      </c>
      <c r="AO369">
        <v>3007181485</v>
      </c>
      <c r="AP369" t="s">
        <v>1841</v>
      </c>
      <c r="AQ369" t="s">
        <v>69</v>
      </c>
      <c r="AR369">
        <v>83.3</v>
      </c>
      <c r="AS369" t="s">
        <v>70</v>
      </c>
      <c r="AT369" t="s">
        <v>720</v>
      </c>
      <c r="AU369" t="s">
        <v>221</v>
      </c>
      <c r="AV369" t="s">
        <v>73</v>
      </c>
      <c r="AW369" t="str">
        <f t="shared" si="10"/>
        <v>Ingeniería Industrial</v>
      </c>
      <c r="AX369" t="str">
        <f t="shared" si="11"/>
        <v>3007181485</v>
      </c>
      <c r="AY369" t="str">
        <f>IFERROR(INDEX(Vacantes!$C:$C,MATCH(AT369,Vacantes!$A:$A,0)),"")</f>
        <v>Cervecería de Barranquilla</v>
      </c>
      <c r="AZ369" t="str">
        <f>IFERROR(INDEX(Vacantes!$D:$D,MATCH(AT369,Vacantes!$A:$A,0)),"")</f>
        <v>22 de octubre de 2026</v>
      </c>
      <c r="BA369" t="str">
        <f>IFERROR(INDEX(Vacantes!$E:$E,MATCH(AT369,Vacantes!$A:$A,0)),"")</f>
        <v>12:30 p.m. a 5:00 p.m.</v>
      </c>
    </row>
    <row r="370" spans="1:53" x14ac:dyDescent="0.15">
      <c r="A370" t="s">
        <v>1842</v>
      </c>
      <c r="B370" t="s">
        <v>1843</v>
      </c>
      <c r="C370" t="s">
        <v>55</v>
      </c>
      <c r="D370">
        <v>1041772099</v>
      </c>
      <c r="E370" t="s">
        <v>56</v>
      </c>
      <c r="F370">
        <v>20</v>
      </c>
      <c r="G370" t="b">
        <v>1</v>
      </c>
      <c r="H370" t="s">
        <v>1844</v>
      </c>
      <c r="I370" t="s">
        <v>168</v>
      </c>
      <c r="J370" t="s">
        <v>132</v>
      </c>
      <c r="K370" t="s">
        <v>618</v>
      </c>
      <c r="L370" t="s">
        <v>124</v>
      </c>
      <c r="N370" t="b">
        <v>1</v>
      </c>
      <c r="O370" t="b">
        <v>0</v>
      </c>
      <c r="P370" t="s">
        <v>60</v>
      </c>
      <c r="Q370" t="s">
        <v>144</v>
      </c>
      <c r="R370" t="s">
        <v>125</v>
      </c>
      <c r="W370" t="s">
        <v>62</v>
      </c>
      <c r="AB370" t="b">
        <v>0</v>
      </c>
      <c r="AC370" t="b">
        <v>0</v>
      </c>
      <c r="AE370" t="b">
        <v>0</v>
      </c>
      <c r="AG370" t="b">
        <v>0</v>
      </c>
      <c r="AI370" t="b">
        <v>0</v>
      </c>
      <c r="AK370" t="s">
        <v>202</v>
      </c>
      <c r="AL370" t="s">
        <v>66</v>
      </c>
      <c r="AM370" s="3">
        <v>46278</v>
      </c>
      <c r="AN370" s="4">
        <v>0.58406250000000004</v>
      </c>
      <c r="AO370">
        <v>3011444932</v>
      </c>
      <c r="AP370" t="s">
        <v>1845</v>
      </c>
      <c r="AQ370" t="s">
        <v>69</v>
      </c>
      <c r="AR370">
        <v>72.3</v>
      </c>
      <c r="AS370" t="s">
        <v>70</v>
      </c>
      <c r="AT370" t="s">
        <v>720</v>
      </c>
      <c r="AV370" t="s">
        <v>73</v>
      </c>
      <c r="AW370" t="str">
        <f t="shared" si="10"/>
        <v>Ingeniería Mecatrónica</v>
      </c>
      <c r="AX370" t="str">
        <f t="shared" si="11"/>
        <v>3011444932</v>
      </c>
      <c r="AY370" t="str">
        <f>IFERROR(INDEX(Vacantes!$C:$C,MATCH(AT370,Vacantes!$A:$A,0)),"")</f>
        <v>Cervecería de Barranquilla</v>
      </c>
      <c r="AZ370" t="str">
        <f>IFERROR(INDEX(Vacantes!$D:$D,MATCH(AT370,Vacantes!$A:$A,0)),"")</f>
        <v>22 de octubre de 2026</v>
      </c>
      <c r="BA370" t="str">
        <f>IFERROR(INDEX(Vacantes!$E:$E,MATCH(AT370,Vacantes!$A:$A,0)),"")</f>
        <v>12:30 p.m. a 5:00 p.m.</v>
      </c>
    </row>
    <row r="371" spans="1:53" x14ac:dyDescent="0.15">
      <c r="A371" t="s">
        <v>2063</v>
      </c>
      <c r="B371" t="s">
        <v>2064</v>
      </c>
      <c r="C371" t="s">
        <v>55</v>
      </c>
      <c r="D371">
        <v>1086754228</v>
      </c>
      <c r="E371" t="s">
        <v>56</v>
      </c>
      <c r="F371">
        <v>21</v>
      </c>
      <c r="G371" t="b">
        <v>1</v>
      </c>
      <c r="H371" t="s">
        <v>159</v>
      </c>
      <c r="I371" t="s">
        <v>160</v>
      </c>
      <c r="J371" t="s">
        <v>401</v>
      </c>
      <c r="L371" t="s">
        <v>107</v>
      </c>
      <c r="N371" t="b">
        <v>0</v>
      </c>
      <c r="O371" t="b">
        <v>0</v>
      </c>
      <c r="P371" t="s">
        <v>60</v>
      </c>
      <c r="Q371" t="s">
        <v>60</v>
      </c>
      <c r="R371" t="s">
        <v>244</v>
      </c>
      <c r="W371" t="s">
        <v>108</v>
      </c>
      <c r="AB371" t="b">
        <v>0</v>
      </c>
      <c r="AC371" t="b">
        <v>0</v>
      </c>
      <c r="AE371" t="b">
        <v>0</v>
      </c>
      <c r="AG371" t="b">
        <v>0</v>
      </c>
      <c r="AI371" t="b">
        <v>0</v>
      </c>
      <c r="AK371" t="s">
        <v>94</v>
      </c>
      <c r="AL371" t="s">
        <v>66</v>
      </c>
      <c r="AM371" s="3">
        <v>46277</v>
      </c>
      <c r="AN371" s="4">
        <v>0.65009259259259256</v>
      </c>
      <c r="AO371" t="s">
        <v>2065</v>
      </c>
      <c r="AP371" t="s">
        <v>2066</v>
      </c>
      <c r="AQ371" t="s">
        <v>69</v>
      </c>
      <c r="AR371">
        <v>76.400000000000006</v>
      </c>
      <c r="AS371" t="s">
        <v>70</v>
      </c>
      <c r="AT371" t="s">
        <v>164</v>
      </c>
      <c r="AU371" t="s">
        <v>221</v>
      </c>
      <c r="AV371" t="s">
        <v>73</v>
      </c>
      <c r="AW371" t="str">
        <f t="shared" si="10"/>
        <v>Administración de Empresas</v>
      </c>
      <c r="AX371" t="str">
        <f t="shared" si="11"/>
        <v>316 5372511</v>
      </c>
      <c r="AY371" t="str">
        <f>IFERROR(INDEX(Vacantes!$C:$C,MATCH(AT371,Vacantes!$A:$A,0)),"")</f>
        <v>Regional Sur</v>
      </c>
      <c r="AZ371" t="str">
        <f>IFERROR(INDEX(Vacantes!$D:$D,MATCH(AT371,Vacantes!$A:$A,0)),"")</f>
        <v>22 de octubre de 2026</v>
      </c>
      <c r="BA371" t="str">
        <f>IFERROR(INDEX(Vacantes!$E:$E,MATCH(AT371,Vacantes!$A:$A,0)),"")</f>
        <v>8:30 a.m. a 12:00 p.m.</v>
      </c>
    </row>
    <row r="372" spans="1:53" x14ac:dyDescent="0.15">
      <c r="A372" t="s">
        <v>2067</v>
      </c>
      <c r="B372" t="s">
        <v>2068</v>
      </c>
      <c r="C372" t="s">
        <v>55</v>
      </c>
      <c r="D372">
        <v>1110040647</v>
      </c>
      <c r="E372" t="s">
        <v>76</v>
      </c>
      <c r="F372">
        <v>20</v>
      </c>
      <c r="G372" t="b">
        <v>1</v>
      </c>
      <c r="H372" t="s">
        <v>159</v>
      </c>
      <c r="I372" t="s">
        <v>160</v>
      </c>
      <c r="J372" t="s">
        <v>132</v>
      </c>
      <c r="K372" t="s">
        <v>392</v>
      </c>
      <c r="L372" t="s">
        <v>521</v>
      </c>
      <c r="N372" t="b">
        <v>1</v>
      </c>
      <c r="O372" t="b">
        <v>0</v>
      </c>
      <c r="P372" t="s">
        <v>144</v>
      </c>
      <c r="Q372" t="s">
        <v>60</v>
      </c>
      <c r="R372" t="s">
        <v>113</v>
      </c>
      <c r="W372" t="s">
        <v>108</v>
      </c>
      <c r="AB372" t="b">
        <v>0</v>
      </c>
      <c r="AC372" t="b">
        <v>0</v>
      </c>
      <c r="AE372" t="b">
        <v>0</v>
      </c>
      <c r="AG372" t="b">
        <v>0</v>
      </c>
      <c r="AI372" t="b">
        <v>0</v>
      </c>
      <c r="AK372" t="s">
        <v>530</v>
      </c>
      <c r="AL372" t="s">
        <v>66</v>
      </c>
      <c r="AM372" s="3">
        <v>46277</v>
      </c>
      <c r="AN372" s="4">
        <v>0.65770833333333334</v>
      </c>
      <c r="AO372" t="s">
        <v>2069</v>
      </c>
      <c r="AP372" t="s">
        <v>2070</v>
      </c>
      <c r="AQ372" t="s">
        <v>69</v>
      </c>
      <c r="AR372">
        <v>71.400000000000006</v>
      </c>
      <c r="AS372" t="s">
        <v>70</v>
      </c>
      <c r="AT372" t="s">
        <v>164</v>
      </c>
      <c r="AV372" t="s">
        <v>73</v>
      </c>
      <c r="AW372" t="str">
        <f t="shared" si="10"/>
        <v>Comunicación social</v>
      </c>
      <c r="AX372" t="str">
        <f t="shared" si="11"/>
        <v>305 8808379</v>
      </c>
      <c r="AY372" t="str">
        <f>IFERROR(INDEX(Vacantes!$C:$C,MATCH(AT372,Vacantes!$A:$A,0)),"")</f>
        <v>Regional Sur</v>
      </c>
      <c r="AZ372" t="str">
        <f>IFERROR(INDEX(Vacantes!$D:$D,MATCH(AT372,Vacantes!$A:$A,0)),"")</f>
        <v>22 de octubre de 2026</v>
      </c>
      <c r="BA372" t="str">
        <f>IFERROR(INDEX(Vacantes!$E:$E,MATCH(AT372,Vacantes!$A:$A,0)),"")</f>
        <v>8:30 a.m. a 12:00 p.m.</v>
      </c>
    </row>
    <row r="373" spans="1:53" x14ac:dyDescent="0.15">
      <c r="A373" t="s">
        <v>2071</v>
      </c>
      <c r="B373" t="s">
        <v>2072</v>
      </c>
      <c r="C373" t="s">
        <v>55</v>
      </c>
      <c r="D373">
        <v>1098609475</v>
      </c>
      <c r="E373" t="s">
        <v>76</v>
      </c>
      <c r="F373">
        <v>22</v>
      </c>
      <c r="G373" t="b">
        <v>1</v>
      </c>
      <c r="H373" t="s">
        <v>159</v>
      </c>
      <c r="I373" t="s">
        <v>160</v>
      </c>
      <c r="J373" t="s">
        <v>401</v>
      </c>
      <c r="L373" t="s">
        <v>143</v>
      </c>
      <c r="N373" t="b">
        <v>0</v>
      </c>
      <c r="O373" t="b">
        <v>0</v>
      </c>
      <c r="P373" t="s">
        <v>60</v>
      </c>
      <c r="Q373" t="s">
        <v>60</v>
      </c>
      <c r="R373" t="s">
        <v>125</v>
      </c>
      <c r="U373" t="s">
        <v>63</v>
      </c>
      <c r="W373" t="s">
        <v>64</v>
      </c>
      <c r="AB373" t="b">
        <v>0</v>
      </c>
      <c r="AC373" t="b">
        <v>0</v>
      </c>
      <c r="AE373" t="b">
        <v>0</v>
      </c>
      <c r="AG373" t="b">
        <v>0</v>
      </c>
      <c r="AI373" t="b">
        <v>0</v>
      </c>
      <c r="AK373" t="s">
        <v>94</v>
      </c>
      <c r="AL373" t="s">
        <v>66</v>
      </c>
      <c r="AM373" s="3">
        <v>46278</v>
      </c>
      <c r="AN373" s="4">
        <v>0.61266203703703703</v>
      </c>
      <c r="AO373" t="s">
        <v>2073</v>
      </c>
      <c r="AP373" t="s">
        <v>2074</v>
      </c>
      <c r="AQ373" t="s">
        <v>69</v>
      </c>
      <c r="AR373">
        <v>75.7</v>
      </c>
      <c r="AS373" t="s">
        <v>70</v>
      </c>
      <c r="AT373" t="s">
        <v>164</v>
      </c>
      <c r="AU373" t="s">
        <v>221</v>
      </c>
      <c r="AV373" t="s">
        <v>73</v>
      </c>
      <c r="AW373" t="str">
        <f t="shared" si="10"/>
        <v>Ingeniería Industrial</v>
      </c>
      <c r="AX373" t="str">
        <f t="shared" si="11"/>
        <v>316 4963071</v>
      </c>
      <c r="AY373" t="str">
        <f>IFERROR(INDEX(Vacantes!$C:$C,MATCH(AT373,Vacantes!$A:$A,0)),"")</f>
        <v>Regional Sur</v>
      </c>
      <c r="AZ373" t="str">
        <f>IFERROR(INDEX(Vacantes!$D:$D,MATCH(AT373,Vacantes!$A:$A,0)),"")</f>
        <v>22 de octubre de 2026</v>
      </c>
      <c r="BA373" t="str">
        <f>IFERROR(INDEX(Vacantes!$E:$E,MATCH(AT373,Vacantes!$A:$A,0)),"")</f>
        <v>8:30 a.m. a 12:00 p.m.</v>
      </c>
    </row>
    <row r="374" spans="1:53" x14ac:dyDescent="0.15">
      <c r="A374" t="s">
        <v>2075</v>
      </c>
      <c r="B374" t="s">
        <v>2076</v>
      </c>
      <c r="C374" t="s">
        <v>55</v>
      </c>
      <c r="D374">
        <v>1114541627</v>
      </c>
      <c r="E374" t="s">
        <v>76</v>
      </c>
      <c r="F374">
        <v>21</v>
      </c>
      <c r="G374" t="b">
        <v>1</v>
      </c>
      <c r="H374" t="s">
        <v>703</v>
      </c>
      <c r="I374" t="s">
        <v>160</v>
      </c>
      <c r="J374" t="s">
        <v>132</v>
      </c>
      <c r="K374" t="s">
        <v>698</v>
      </c>
      <c r="L374" t="s">
        <v>107</v>
      </c>
      <c r="N374" t="b">
        <v>1</v>
      </c>
      <c r="O374" t="b">
        <v>0</v>
      </c>
      <c r="P374" t="s">
        <v>60</v>
      </c>
      <c r="Q374" t="s">
        <v>60</v>
      </c>
      <c r="R374" t="s">
        <v>108</v>
      </c>
      <c r="T374" t="s">
        <v>82</v>
      </c>
      <c r="W374" t="s">
        <v>80</v>
      </c>
      <c r="AB374" t="b">
        <v>0</v>
      </c>
      <c r="AC374" t="b">
        <v>0</v>
      </c>
      <c r="AE374" t="b">
        <v>0</v>
      </c>
      <c r="AG374" t="b">
        <v>0</v>
      </c>
      <c r="AI374" t="b">
        <v>0</v>
      </c>
      <c r="AK374" t="s">
        <v>153</v>
      </c>
      <c r="AL374" t="s">
        <v>66</v>
      </c>
      <c r="AM374" s="3">
        <v>46277</v>
      </c>
      <c r="AN374" s="4">
        <v>0.50767361111111109</v>
      </c>
      <c r="AO374" t="s">
        <v>2077</v>
      </c>
      <c r="AP374" t="s">
        <v>2078</v>
      </c>
      <c r="AQ374" t="s">
        <v>69</v>
      </c>
      <c r="AR374">
        <v>84.1</v>
      </c>
      <c r="AS374" t="s">
        <v>70</v>
      </c>
      <c r="AT374" t="s">
        <v>164</v>
      </c>
      <c r="AU374" t="s">
        <v>221</v>
      </c>
      <c r="AV374" t="s">
        <v>73</v>
      </c>
      <c r="AW374" t="str">
        <f t="shared" si="10"/>
        <v>Administración de Empresas</v>
      </c>
      <c r="AX374" t="str">
        <f t="shared" si="11"/>
        <v>318 4111789</v>
      </c>
      <c r="AY374" t="str">
        <f>IFERROR(INDEX(Vacantes!$C:$C,MATCH(AT374,Vacantes!$A:$A,0)),"")</f>
        <v>Regional Sur</v>
      </c>
      <c r="AZ374" t="str">
        <f>IFERROR(INDEX(Vacantes!$D:$D,MATCH(AT374,Vacantes!$A:$A,0)),"")</f>
        <v>22 de octubre de 2026</v>
      </c>
      <c r="BA374" t="str">
        <f>IFERROR(INDEX(Vacantes!$E:$E,MATCH(AT374,Vacantes!$A:$A,0)),"")</f>
        <v>8:30 a.m. a 12:00 p.m.</v>
      </c>
    </row>
    <row r="375" spans="1:53" x14ac:dyDescent="0.15">
      <c r="A375" t="s">
        <v>2079</v>
      </c>
      <c r="B375" t="s">
        <v>2080</v>
      </c>
      <c r="C375" t="s">
        <v>55</v>
      </c>
      <c r="D375">
        <v>1021669180</v>
      </c>
      <c r="E375" t="s">
        <v>76</v>
      </c>
      <c r="F375">
        <v>20</v>
      </c>
      <c r="G375" t="b">
        <v>1</v>
      </c>
      <c r="I375" t="s">
        <v>160</v>
      </c>
      <c r="J375" t="s">
        <v>401</v>
      </c>
      <c r="L375" t="s">
        <v>143</v>
      </c>
      <c r="N375" t="b">
        <v>1</v>
      </c>
      <c r="O375" t="b">
        <v>0</v>
      </c>
      <c r="P375" t="s">
        <v>144</v>
      </c>
      <c r="Q375" t="s">
        <v>60</v>
      </c>
      <c r="R375" t="s">
        <v>125</v>
      </c>
      <c r="U375" t="s">
        <v>152</v>
      </c>
      <c r="W375" t="s">
        <v>64</v>
      </c>
      <c r="AB375" t="b">
        <v>0</v>
      </c>
      <c r="AC375" t="b">
        <v>0</v>
      </c>
      <c r="AE375" t="b">
        <v>0</v>
      </c>
      <c r="AG375" t="b">
        <v>0</v>
      </c>
      <c r="AI375" t="b">
        <v>0</v>
      </c>
      <c r="AK375" t="s">
        <v>94</v>
      </c>
      <c r="AL375" t="s">
        <v>66</v>
      </c>
      <c r="AM375" s="3">
        <v>46256</v>
      </c>
      <c r="AN375" s="4">
        <v>0.71116898148148144</v>
      </c>
      <c r="AO375" t="s">
        <v>2081</v>
      </c>
      <c r="AP375" t="s">
        <v>2082</v>
      </c>
      <c r="AQ375" t="s">
        <v>69</v>
      </c>
      <c r="AR375">
        <v>90.5</v>
      </c>
      <c r="AS375" t="s">
        <v>70</v>
      </c>
      <c r="AT375" t="s">
        <v>164</v>
      </c>
      <c r="AU375" t="s">
        <v>72</v>
      </c>
      <c r="AV375" t="s">
        <v>184</v>
      </c>
      <c r="AW375" t="str">
        <f t="shared" si="10"/>
        <v>Ingeniería Industrial</v>
      </c>
      <c r="AX375" t="str">
        <f t="shared" si="11"/>
        <v>322 2149678</v>
      </c>
      <c r="AY375" t="str">
        <f>IFERROR(INDEX(Vacantes!$C:$C,MATCH(AT375,Vacantes!$A:$A,0)),"")</f>
        <v>Regional Sur</v>
      </c>
      <c r="AZ375" t="str">
        <f>IFERROR(INDEX(Vacantes!$D:$D,MATCH(AT375,Vacantes!$A:$A,0)),"")</f>
        <v>22 de octubre de 2026</v>
      </c>
      <c r="BA375" t="str">
        <f>IFERROR(INDEX(Vacantes!$E:$E,MATCH(AT375,Vacantes!$A:$A,0)),"")</f>
        <v>8:30 a.m. a 12:00 p.m.</v>
      </c>
    </row>
    <row r="376" spans="1:53" x14ac:dyDescent="0.15">
      <c r="A376" t="s">
        <v>2096</v>
      </c>
      <c r="B376" t="s">
        <v>2097</v>
      </c>
      <c r="C376" t="s">
        <v>55</v>
      </c>
      <c r="D376">
        <v>1001823066</v>
      </c>
      <c r="E376" t="s">
        <v>76</v>
      </c>
      <c r="F376">
        <v>24</v>
      </c>
      <c r="G376" t="b">
        <v>1</v>
      </c>
      <c r="I376" t="s">
        <v>168</v>
      </c>
      <c r="J376" t="s">
        <v>314</v>
      </c>
      <c r="L376" t="s">
        <v>107</v>
      </c>
      <c r="N376" t="b">
        <v>0</v>
      </c>
      <c r="O376" t="b">
        <v>0</v>
      </c>
      <c r="P376" t="s">
        <v>60</v>
      </c>
      <c r="Q376" t="s">
        <v>60</v>
      </c>
      <c r="R376" t="s">
        <v>64</v>
      </c>
      <c r="W376" t="s">
        <v>135</v>
      </c>
      <c r="Z376" t="s">
        <v>93</v>
      </c>
      <c r="AB376" t="b">
        <v>0</v>
      </c>
      <c r="AC376" t="b">
        <v>0</v>
      </c>
      <c r="AE376" t="b">
        <v>0</v>
      </c>
      <c r="AG376" t="b">
        <v>0</v>
      </c>
      <c r="AI376" t="b">
        <v>0</v>
      </c>
      <c r="AK376" t="s">
        <v>153</v>
      </c>
      <c r="AL376" t="s">
        <v>66</v>
      </c>
      <c r="AM376" s="3">
        <v>46255</v>
      </c>
      <c r="AN376" s="4">
        <v>0.41469907407407408</v>
      </c>
      <c r="AO376" t="s">
        <v>2098</v>
      </c>
      <c r="AP376" t="s">
        <v>2099</v>
      </c>
      <c r="AQ376" t="s">
        <v>69</v>
      </c>
      <c r="AR376">
        <v>79.8</v>
      </c>
      <c r="AS376" t="s">
        <v>70</v>
      </c>
      <c r="AT376" t="s">
        <v>171</v>
      </c>
      <c r="AU376" t="s">
        <v>221</v>
      </c>
      <c r="AV376" t="s">
        <v>184</v>
      </c>
      <c r="AW376" t="str">
        <f t="shared" si="10"/>
        <v>Administración de Empresas</v>
      </c>
      <c r="AX376" t="str">
        <f t="shared" si="11"/>
        <v>304 2063410</v>
      </c>
      <c r="AY376" t="str">
        <f>IFERROR(INDEX(Vacantes!$C:$C,MATCH(AT376,Vacantes!$A:$A,0)),"")</f>
        <v>Cervecería de Barranquilla</v>
      </c>
      <c r="AZ376" t="str">
        <f>IFERROR(INDEX(Vacantes!$D:$D,MATCH(AT376,Vacantes!$A:$A,0)),"")</f>
        <v>22 de octubre de 2026</v>
      </c>
      <c r="BA376" t="str">
        <f>IFERROR(INDEX(Vacantes!$E:$E,MATCH(AT376,Vacantes!$A:$A,0)),"")</f>
        <v>12:30 p.m. a 5:00 p.m.</v>
      </c>
    </row>
    <row r="377" spans="1:53" x14ac:dyDescent="0.15">
      <c r="A377" t="s">
        <v>2149</v>
      </c>
      <c r="B377" t="s">
        <v>2150</v>
      </c>
      <c r="C377" t="s">
        <v>55</v>
      </c>
      <c r="D377">
        <v>1041690226</v>
      </c>
      <c r="E377" t="s">
        <v>56</v>
      </c>
      <c r="F377">
        <v>22</v>
      </c>
      <c r="G377" t="b">
        <v>1</v>
      </c>
      <c r="H377" t="s">
        <v>174</v>
      </c>
      <c r="I377" t="s">
        <v>168</v>
      </c>
      <c r="J377" t="s">
        <v>319</v>
      </c>
      <c r="L377" t="s">
        <v>107</v>
      </c>
      <c r="N377" t="b">
        <v>0</v>
      </c>
      <c r="O377" t="b">
        <v>0</v>
      </c>
      <c r="P377" t="s">
        <v>61</v>
      </c>
      <c r="Q377" t="s">
        <v>61</v>
      </c>
      <c r="R377" t="s">
        <v>109</v>
      </c>
      <c r="T377" t="s">
        <v>82</v>
      </c>
      <c r="V377" t="s">
        <v>176</v>
      </c>
      <c r="W377" t="s">
        <v>80</v>
      </c>
      <c r="AB377" t="b">
        <v>0</v>
      </c>
      <c r="AC377" t="b">
        <v>0</v>
      </c>
      <c r="AE377" t="b">
        <v>0</v>
      </c>
      <c r="AG377" t="b">
        <v>0</v>
      </c>
      <c r="AI377" t="b">
        <v>0</v>
      </c>
      <c r="AK377" t="s">
        <v>202</v>
      </c>
      <c r="AL377" t="s">
        <v>66</v>
      </c>
      <c r="AM377" s="3">
        <v>46268</v>
      </c>
      <c r="AN377" s="4">
        <v>0.65813657407407411</v>
      </c>
      <c r="AO377" t="s">
        <v>2151</v>
      </c>
      <c r="AP377" t="s">
        <v>2152</v>
      </c>
      <c r="AQ377" t="s">
        <v>69</v>
      </c>
      <c r="AR377">
        <v>81.099999999999994</v>
      </c>
      <c r="AS377" t="s">
        <v>70</v>
      </c>
      <c r="AT377" t="s">
        <v>178</v>
      </c>
      <c r="AV377" t="s">
        <v>73</v>
      </c>
      <c r="AW377" t="str">
        <f t="shared" si="10"/>
        <v>Administración de Empresas</v>
      </c>
      <c r="AX377" t="str">
        <f t="shared" si="11"/>
        <v>321 4325795</v>
      </c>
      <c r="AY377" t="str">
        <f>IFERROR(INDEX(Vacantes!$C:$C,MATCH(AT377,Vacantes!$A:$A,0)),"")</f>
        <v>Regional Norte</v>
      </c>
      <c r="AZ377" t="str">
        <f>IFERROR(INDEX(Vacantes!$D:$D,MATCH(AT377,Vacantes!$A:$A,0)),"")</f>
        <v>22 de octubre de 2026</v>
      </c>
      <c r="BA377" t="str">
        <f>IFERROR(INDEX(Vacantes!$E:$E,MATCH(AT377,Vacantes!$A:$A,0)),"")</f>
        <v>1:30 p.m. a 5:00 p.m.</v>
      </c>
    </row>
    <row r="378" spans="1:53" x14ac:dyDescent="0.15">
      <c r="A378" t="s">
        <v>2153</v>
      </c>
      <c r="B378" t="s">
        <v>2154</v>
      </c>
      <c r="C378" t="s">
        <v>55</v>
      </c>
      <c r="D378">
        <v>1065588728</v>
      </c>
      <c r="E378" t="s">
        <v>76</v>
      </c>
      <c r="F378">
        <v>21</v>
      </c>
      <c r="G378" t="b">
        <v>1</v>
      </c>
      <c r="H378" t="s">
        <v>57</v>
      </c>
      <c r="I378" t="s">
        <v>168</v>
      </c>
      <c r="J378" t="s">
        <v>187</v>
      </c>
      <c r="L378" t="s">
        <v>134</v>
      </c>
      <c r="N378" t="b">
        <v>1</v>
      </c>
      <c r="O378" t="b">
        <v>0</v>
      </c>
      <c r="P378" t="s">
        <v>60</v>
      </c>
      <c r="Q378" t="s">
        <v>60</v>
      </c>
      <c r="R378" t="s">
        <v>109</v>
      </c>
      <c r="V378" t="s">
        <v>110</v>
      </c>
      <c r="W378" t="s">
        <v>108</v>
      </c>
      <c r="AB378" t="b">
        <v>0</v>
      </c>
      <c r="AC378" t="b">
        <v>0</v>
      </c>
      <c r="AE378" t="b">
        <v>0</v>
      </c>
      <c r="AG378" t="b">
        <v>0</v>
      </c>
      <c r="AI378" t="b">
        <v>0</v>
      </c>
      <c r="AK378" t="s">
        <v>94</v>
      </c>
      <c r="AL378" t="s">
        <v>66</v>
      </c>
      <c r="AM378" s="3">
        <v>46274</v>
      </c>
      <c r="AN378" s="4">
        <v>0.94975694444444447</v>
      </c>
      <c r="AO378">
        <v>3184636614</v>
      </c>
      <c r="AP378" t="s">
        <v>2155</v>
      </c>
      <c r="AQ378" t="s">
        <v>69</v>
      </c>
      <c r="AR378">
        <v>93</v>
      </c>
      <c r="AS378" t="s">
        <v>70</v>
      </c>
      <c r="AT378" t="s">
        <v>178</v>
      </c>
      <c r="AU378" t="s">
        <v>221</v>
      </c>
      <c r="AV378" t="s">
        <v>73</v>
      </c>
      <c r="AW378" t="str">
        <f t="shared" si="10"/>
        <v>Negocios Internacionales</v>
      </c>
      <c r="AX378" t="str">
        <f t="shared" si="11"/>
        <v>3184636614</v>
      </c>
      <c r="AY378" t="str">
        <f>IFERROR(INDEX(Vacantes!$C:$C,MATCH(AT378,Vacantes!$A:$A,0)),"")</f>
        <v>Regional Norte</v>
      </c>
      <c r="AZ378" t="str">
        <f>IFERROR(INDEX(Vacantes!$D:$D,MATCH(AT378,Vacantes!$A:$A,0)),"")</f>
        <v>22 de octubre de 2026</v>
      </c>
      <c r="BA378" t="str">
        <f>IFERROR(INDEX(Vacantes!$E:$E,MATCH(AT378,Vacantes!$A:$A,0)),"")</f>
        <v>1:30 p.m. a 5:00 p.m.</v>
      </c>
    </row>
    <row r="379" spans="1:53" x14ac:dyDescent="0.15">
      <c r="A379" t="s">
        <v>2156</v>
      </c>
      <c r="B379" t="s">
        <v>2157</v>
      </c>
      <c r="C379" t="s">
        <v>55</v>
      </c>
      <c r="D379">
        <v>1042244585</v>
      </c>
      <c r="E379" t="s">
        <v>56</v>
      </c>
      <c r="F379">
        <v>21</v>
      </c>
      <c r="G379" t="b">
        <v>1</v>
      </c>
      <c r="H379" t="s">
        <v>626</v>
      </c>
      <c r="I379" t="s">
        <v>168</v>
      </c>
      <c r="J379" t="s">
        <v>132</v>
      </c>
      <c r="K379" t="s">
        <v>2158</v>
      </c>
      <c r="L379" t="s">
        <v>134</v>
      </c>
      <c r="N379" t="b">
        <v>0</v>
      </c>
      <c r="O379" t="b">
        <v>0</v>
      </c>
      <c r="P379" t="s">
        <v>61</v>
      </c>
      <c r="Q379" t="s">
        <v>61</v>
      </c>
      <c r="R379" t="s">
        <v>135</v>
      </c>
      <c r="W379" t="s">
        <v>81</v>
      </c>
      <c r="AB379" t="b">
        <v>0</v>
      </c>
      <c r="AC379" t="b">
        <v>0</v>
      </c>
      <c r="AE379" t="b">
        <v>0</v>
      </c>
      <c r="AG379" t="b">
        <v>1</v>
      </c>
      <c r="AI379" t="b">
        <v>0</v>
      </c>
      <c r="AK379" t="s">
        <v>248</v>
      </c>
      <c r="AL379" t="s">
        <v>66</v>
      </c>
      <c r="AM379" s="3">
        <v>46267</v>
      </c>
      <c r="AN379" s="4">
        <v>0.45120370370370372</v>
      </c>
      <c r="AO379" t="s">
        <v>2159</v>
      </c>
      <c r="AP379" t="s">
        <v>2160</v>
      </c>
      <c r="AQ379" t="s">
        <v>69</v>
      </c>
      <c r="AR379">
        <v>95.5</v>
      </c>
      <c r="AS379" t="s">
        <v>85</v>
      </c>
      <c r="AT379" t="s">
        <v>178</v>
      </c>
      <c r="AU379" t="s">
        <v>72</v>
      </c>
      <c r="AV379" t="s">
        <v>73</v>
      </c>
      <c r="AW379" t="str">
        <f t="shared" si="10"/>
        <v>Negocios Internacionales</v>
      </c>
      <c r="AX379" t="str">
        <f t="shared" si="11"/>
        <v>300 5244226</v>
      </c>
      <c r="AY379" t="str">
        <f>IFERROR(INDEX(Vacantes!$C:$C,MATCH(AT379,Vacantes!$A:$A,0)),"")</f>
        <v>Regional Norte</v>
      </c>
      <c r="AZ379" t="str">
        <f>IFERROR(INDEX(Vacantes!$D:$D,MATCH(AT379,Vacantes!$A:$A,0)),"")</f>
        <v>22 de octubre de 2026</v>
      </c>
      <c r="BA379" t="str">
        <f>IFERROR(INDEX(Vacantes!$E:$E,MATCH(AT379,Vacantes!$A:$A,0)),"")</f>
        <v>1:30 p.m. a 5:00 p.m.</v>
      </c>
    </row>
    <row r="380" spans="1:53" x14ac:dyDescent="0.15">
      <c r="A380" t="s">
        <v>2161</v>
      </c>
      <c r="B380" t="s">
        <v>2162</v>
      </c>
      <c r="C380" t="s">
        <v>55</v>
      </c>
      <c r="D380">
        <v>1044210586</v>
      </c>
      <c r="E380" t="s">
        <v>76</v>
      </c>
      <c r="F380">
        <v>22</v>
      </c>
      <c r="G380" t="b">
        <v>1</v>
      </c>
      <c r="I380" t="s">
        <v>168</v>
      </c>
      <c r="J380" t="s">
        <v>132</v>
      </c>
      <c r="K380" t="s">
        <v>2163</v>
      </c>
      <c r="L380" t="s">
        <v>107</v>
      </c>
      <c r="N380" t="b">
        <v>0</v>
      </c>
      <c r="O380" t="b">
        <v>0</v>
      </c>
      <c r="P380" t="s">
        <v>144</v>
      </c>
      <c r="Q380" t="s">
        <v>60</v>
      </c>
      <c r="R380" t="s">
        <v>109</v>
      </c>
      <c r="U380" t="s">
        <v>151</v>
      </c>
      <c r="V380" t="s">
        <v>188</v>
      </c>
      <c r="W380" t="s">
        <v>64</v>
      </c>
      <c r="AB380" t="b">
        <v>0</v>
      </c>
      <c r="AC380" t="b">
        <v>0</v>
      </c>
      <c r="AE380" t="b">
        <v>1</v>
      </c>
      <c r="AG380" t="b">
        <v>0</v>
      </c>
      <c r="AI380" t="b">
        <v>0</v>
      </c>
      <c r="AJ380" t="s">
        <v>2164</v>
      </c>
      <c r="AK380" t="s">
        <v>202</v>
      </c>
      <c r="AL380" t="s">
        <v>66</v>
      </c>
      <c r="AM380" s="3">
        <v>46255</v>
      </c>
      <c r="AN380" s="4">
        <v>0.69589120370370372</v>
      </c>
      <c r="AO380" t="s">
        <v>2165</v>
      </c>
      <c r="AP380" t="s">
        <v>2166</v>
      </c>
      <c r="AQ380" t="s">
        <v>69</v>
      </c>
      <c r="AR380">
        <v>92</v>
      </c>
      <c r="AS380" t="s">
        <v>85</v>
      </c>
      <c r="AT380" t="s">
        <v>178</v>
      </c>
      <c r="AV380" t="s">
        <v>73</v>
      </c>
      <c r="AW380" t="str">
        <f t="shared" si="10"/>
        <v>Administración de Empresas</v>
      </c>
      <c r="AX380" t="str">
        <f t="shared" si="11"/>
        <v>302 3533233</v>
      </c>
      <c r="AY380" t="str">
        <f>IFERROR(INDEX(Vacantes!$C:$C,MATCH(AT380,Vacantes!$A:$A,0)),"")</f>
        <v>Regional Norte</v>
      </c>
      <c r="AZ380" t="str">
        <f>IFERROR(INDEX(Vacantes!$D:$D,MATCH(AT380,Vacantes!$A:$A,0)),"")</f>
        <v>22 de octubre de 2026</v>
      </c>
      <c r="BA380" t="str">
        <f>IFERROR(INDEX(Vacantes!$E:$E,MATCH(AT380,Vacantes!$A:$A,0)),"")</f>
        <v>1:30 p.m. a 5:00 p.m.</v>
      </c>
    </row>
    <row r="381" spans="1:53" x14ac:dyDescent="0.15">
      <c r="A381" t="s">
        <v>2209</v>
      </c>
      <c r="B381" t="s">
        <v>2210</v>
      </c>
      <c r="C381" t="s">
        <v>55</v>
      </c>
      <c r="D381">
        <v>1005893469</v>
      </c>
      <c r="E381" t="s">
        <v>56</v>
      </c>
      <c r="F381">
        <v>24</v>
      </c>
      <c r="G381" t="b">
        <v>1</v>
      </c>
      <c r="H381" t="s">
        <v>159</v>
      </c>
      <c r="I381" t="s">
        <v>160</v>
      </c>
      <c r="J381" t="s">
        <v>132</v>
      </c>
      <c r="K381" t="s">
        <v>385</v>
      </c>
      <c r="L381" t="s">
        <v>117</v>
      </c>
      <c r="N381" t="b">
        <v>0</v>
      </c>
      <c r="O381" t="b">
        <v>0</v>
      </c>
      <c r="P381" t="s">
        <v>61</v>
      </c>
      <c r="Q381" t="s">
        <v>61</v>
      </c>
      <c r="R381" t="s">
        <v>108</v>
      </c>
      <c r="W381" t="s">
        <v>109</v>
      </c>
      <c r="AA381" t="s">
        <v>110</v>
      </c>
      <c r="AB381" t="b">
        <v>0</v>
      </c>
      <c r="AC381" t="b">
        <v>0</v>
      </c>
      <c r="AE381" t="b">
        <v>0</v>
      </c>
      <c r="AG381" t="b">
        <v>0</v>
      </c>
      <c r="AI381" t="b">
        <v>0</v>
      </c>
      <c r="AK381" t="s">
        <v>202</v>
      </c>
      <c r="AL381" t="s">
        <v>66</v>
      </c>
      <c r="AM381" s="3">
        <v>46277</v>
      </c>
      <c r="AN381" s="4">
        <v>0.54940972222222217</v>
      </c>
      <c r="AO381" t="s">
        <v>2211</v>
      </c>
      <c r="AP381" t="s">
        <v>2212</v>
      </c>
      <c r="AQ381" t="s">
        <v>69</v>
      </c>
      <c r="AR381">
        <v>79.3</v>
      </c>
      <c r="AS381" t="s">
        <v>70</v>
      </c>
      <c r="AT381" t="s">
        <v>1316</v>
      </c>
      <c r="AV381" t="s">
        <v>73</v>
      </c>
      <c r="AW381" t="str">
        <f t="shared" si="10"/>
        <v>Marketing / Mercadeo</v>
      </c>
      <c r="AX381" t="str">
        <f t="shared" si="11"/>
        <v>313 7018275</v>
      </c>
      <c r="AY381" t="str">
        <f>IFERROR(INDEX(Vacantes!$C:$C,MATCH(AT381,Vacantes!$A:$A,0)),"")</f>
        <v>Regional Sur</v>
      </c>
      <c r="AZ381" t="str">
        <f>IFERROR(INDEX(Vacantes!$D:$D,MATCH(AT381,Vacantes!$A:$A,0)),"")</f>
        <v>22 de octubre de 2026</v>
      </c>
      <c r="BA381" t="str">
        <f>IFERROR(INDEX(Vacantes!$E:$E,MATCH(AT381,Vacantes!$A:$A,0)),"")</f>
        <v>8:30 a.m. a 12:00 p.m.</v>
      </c>
    </row>
    <row r="382" spans="1:53" x14ac:dyDescent="0.15">
      <c r="A382" t="s">
        <v>2213</v>
      </c>
      <c r="B382" t="s">
        <v>2214</v>
      </c>
      <c r="C382" t="s">
        <v>55</v>
      </c>
      <c r="D382">
        <v>1105362491</v>
      </c>
      <c r="E382" t="s">
        <v>76</v>
      </c>
      <c r="F382">
        <v>21</v>
      </c>
      <c r="G382" t="b">
        <v>1</v>
      </c>
      <c r="I382" t="s">
        <v>160</v>
      </c>
      <c r="J382" t="s">
        <v>161</v>
      </c>
      <c r="L382" t="s">
        <v>143</v>
      </c>
      <c r="N382" t="b">
        <v>0</v>
      </c>
      <c r="O382" t="b">
        <v>0</v>
      </c>
      <c r="P382" t="s">
        <v>61</v>
      </c>
      <c r="Q382" t="s">
        <v>60</v>
      </c>
      <c r="R382" t="s">
        <v>125</v>
      </c>
      <c r="W382" t="s">
        <v>109</v>
      </c>
      <c r="AA382" t="s">
        <v>176</v>
      </c>
      <c r="AB382" t="b">
        <v>0</v>
      </c>
      <c r="AC382" t="b">
        <v>0</v>
      </c>
      <c r="AE382" t="b">
        <v>0</v>
      </c>
      <c r="AG382" t="b">
        <v>0</v>
      </c>
      <c r="AI382" t="b">
        <v>0</v>
      </c>
      <c r="AK382" t="s">
        <v>94</v>
      </c>
      <c r="AL382" t="s">
        <v>66</v>
      </c>
      <c r="AM382" s="3">
        <v>46277</v>
      </c>
      <c r="AN382" s="4">
        <v>0.67748842592592595</v>
      </c>
      <c r="AO382" t="s">
        <v>2215</v>
      </c>
      <c r="AP382" t="s">
        <v>2216</v>
      </c>
      <c r="AQ382" t="s">
        <v>69</v>
      </c>
      <c r="AR382">
        <v>96.4</v>
      </c>
      <c r="AS382" t="s">
        <v>70</v>
      </c>
      <c r="AT382" t="s">
        <v>1316</v>
      </c>
      <c r="AV382" t="s">
        <v>184</v>
      </c>
      <c r="AW382" t="str">
        <f t="shared" si="10"/>
        <v>Ingeniería Industrial</v>
      </c>
      <c r="AX382" t="str">
        <f t="shared" si="11"/>
        <v>302 2998079</v>
      </c>
      <c r="AY382" t="str">
        <f>IFERROR(INDEX(Vacantes!$C:$C,MATCH(AT382,Vacantes!$A:$A,0)),"")</f>
        <v>Regional Sur</v>
      </c>
      <c r="AZ382" t="str">
        <f>IFERROR(INDEX(Vacantes!$D:$D,MATCH(AT382,Vacantes!$A:$A,0)),"")</f>
        <v>22 de octubre de 2026</v>
      </c>
      <c r="BA382" t="str">
        <f>IFERROR(INDEX(Vacantes!$E:$E,MATCH(AT382,Vacantes!$A:$A,0)),"")</f>
        <v>8:30 a.m. a 12:00 p.m.</v>
      </c>
    </row>
    <row r="383" spans="1:53" x14ac:dyDescent="0.15">
      <c r="A383" t="s">
        <v>2217</v>
      </c>
      <c r="B383" t="s">
        <v>2218</v>
      </c>
      <c r="C383" t="s">
        <v>55</v>
      </c>
      <c r="D383">
        <v>1002965497</v>
      </c>
      <c r="E383" t="s">
        <v>76</v>
      </c>
      <c r="F383">
        <v>23</v>
      </c>
      <c r="G383" t="b">
        <v>1</v>
      </c>
      <c r="H383" t="s">
        <v>397</v>
      </c>
      <c r="I383" t="s">
        <v>160</v>
      </c>
      <c r="J383" t="s">
        <v>132</v>
      </c>
      <c r="K383" t="s">
        <v>392</v>
      </c>
      <c r="L383" t="s">
        <v>107</v>
      </c>
      <c r="N383" t="b">
        <v>1</v>
      </c>
      <c r="O383" t="b">
        <v>0</v>
      </c>
      <c r="P383" t="s">
        <v>60</v>
      </c>
      <c r="Q383" t="s">
        <v>60</v>
      </c>
      <c r="R383" t="s">
        <v>108</v>
      </c>
      <c r="W383" t="s">
        <v>109</v>
      </c>
      <c r="AA383" t="s">
        <v>176</v>
      </c>
      <c r="AB383" t="b">
        <v>0</v>
      </c>
      <c r="AC383" t="b">
        <v>0</v>
      </c>
      <c r="AE383" t="b">
        <v>0</v>
      </c>
      <c r="AG383" t="b">
        <v>0</v>
      </c>
      <c r="AI383" t="b">
        <v>0</v>
      </c>
      <c r="AK383" t="s">
        <v>65</v>
      </c>
      <c r="AL383" t="s">
        <v>66</v>
      </c>
      <c r="AM383" s="3">
        <v>46264</v>
      </c>
      <c r="AN383" s="4">
        <v>0.61878472222222225</v>
      </c>
      <c r="AO383">
        <v>3218878289</v>
      </c>
      <c r="AP383" t="s">
        <v>2219</v>
      </c>
      <c r="AQ383" t="s">
        <v>69</v>
      </c>
      <c r="AR383">
        <v>79.8</v>
      </c>
      <c r="AS383" t="s">
        <v>70</v>
      </c>
      <c r="AT383" t="s">
        <v>1316</v>
      </c>
      <c r="AU383" t="s">
        <v>221</v>
      </c>
      <c r="AV383" t="s">
        <v>184</v>
      </c>
      <c r="AW383" t="str">
        <f t="shared" si="10"/>
        <v>Administración de Empresas</v>
      </c>
      <c r="AX383" t="str">
        <f t="shared" si="11"/>
        <v>3218878289</v>
      </c>
      <c r="AY383" t="str">
        <f>IFERROR(INDEX(Vacantes!$C:$C,MATCH(AT383,Vacantes!$A:$A,0)),"")</f>
        <v>Regional Sur</v>
      </c>
      <c r="AZ383" t="str">
        <f>IFERROR(INDEX(Vacantes!$D:$D,MATCH(AT383,Vacantes!$A:$A,0)),"")</f>
        <v>22 de octubre de 2026</v>
      </c>
      <c r="BA383" t="str">
        <f>IFERROR(INDEX(Vacantes!$E:$E,MATCH(AT383,Vacantes!$A:$A,0)),"")</f>
        <v>8:30 a.m. a 12:00 p.m.</v>
      </c>
    </row>
    <row r="384" spans="1:53" x14ac:dyDescent="0.15">
      <c r="A384" t="s">
        <v>2220</v>
      </c>
      <c r="B384" t="s">
        <v>2221</v>
      </c>
      <c r="C384" t="s">
        <v>55</v>
      </c>
      <c r="D384">
        <v>1006493201</v>
      </c>
      <c r="E384" t="s">
        <v>76</v>
      </c>
      <c r="F384">
        <v>23</v>
      </c>
      <c r="G384" t="b">
        <v>1</v>
      </c>
      <c r="H384" t="s">
        <v>2222</v>
      </c>
      <c r="I384" t="s">
        <v>160</v>
      </c>
      <c r="J384" t="s">
        <v>132</v>
      </c>
      <c r="K384" t="s">
        <v>2223</v>
      </c>
      <c r="L384" t="s">
        <v>772</v>
      </c>
      <c r="N384" t="b">
        <v>0</v>
      </c>
      <c r="O384" t="b">
        <v>0</v>
      </c>
      <c r="P384" t="s">
        <v>144</v>
      </c>
      <c r="Q384" t="s">
        <v>60</v>
      </c>
      <c r="R384" t="s">
        <v>135</v>
      </c>
      <c r="W384" t="s">
        <v>109</v>
      </c>
      <c r="AA384" t="s">
        <v>176</v>
      </c>
      <c r="AB384" t="b">
        <v>0</v>
      </c>
      <c r="AC384" t="b">
        <v>0</v>
      </c>
      <c r="AE384" t="b">
        <v>0</v>
      </c>
      <c r="AG384" t="b">
        <v>0</v>
      </c>
      <c r="AI384" t="b">
        <v>0</v>
      </c>
      <c r="AK384" t="s">
        <v>94</v>
      </c>
      <c r="AL384" t="s">
        <v>66</v>
      </c>
      <c r="AM384" s="3">
        <v>46274</v>
      </c>
      <c r="AN384" s="4">
        <v>0.31745370370370368</v>
      </c>
      <c r="AO384">
        <v>3106231132</v>
      </c>
      <c r="AP384" t="s">
        <v>2224</v>
      </c>
      <c r="AQ384" t="s">
        <v>69</v>
      </c>
      <c r="AR384">
        <v>86.8</v>
      </c>
      <c r="AS384" t="s">
        <v>70</v>
      </c>
      <c r="AT384" t="s">
        <v>1316</v>
      </c>
      <c r="AU384" t="s">
        <v>221</v>
      </c>
      <c r="AV384" t="s">
        <v>184</v>
      </c>
      <c r="AW384" t="str">
        <f t="shared" si="10"/>
        <v>Comercio Internacional</v>
      </c>
      <c r="AX384" t="str">
        <f t="shared" si="11"/>
        <v>3106231132</v>
      </c>
      <c r="AY384" t="str">
        <f>IFERROR(INDEX(Vacantes!$C:$C,MATCH(AT384,Vacantes!$A:$A,0)),"")</f>
        <v>Regional Sur</v>
      </c>
      <c r="AZ384" t="str">
        <f>IFERROR(INDEX(Vacantes!$D:$D,MATCH(AT384,Vacantes!$A:$A,0)),"")</f>
        <v>22 de octubre de 2026</v>
      </c>
      <c r="BA384" t="str">
        <f>IFERROR(INDEX(Vacantes!$E:$E,MATCH(AT384,Vacantes!$A:$A,0)),"")</f>
        <v>8:30 a.m. a 12:00 p.m.</v>
      </c>
    </row>
    <row r="385" spans="1:53" x14ac:dyDescent="0.15">
      <c r="A385" t="s">
        <v>138</v>
      </c>
      <c r="B385" t="s">
        <v>139</v>
      </c>
      <c r="C385" t="s">
        <v>55</v>
      </c>
      <c r="D385">
        <v>1091353229</v>
      </c>
      <c r="E385" t="s">
        <v>76</v>
      </c>
      <c r="F385">
        <v>22</v>
      </c>
      <c r="G385" t="b">
        <v>1</v>
      </c>
      <c r="H385" t="s">
        <v>140</v>
      </c>
      <c r="I385" t="s">
        <v>141</v>
      </c>
      <c r="J385" t="s">
        <v>142</v>
      </c>
      <c r="L385" t="s">
        <v>143</v>
      </c>
      <c r="N385" t="b">
        <v>0</v>
      </c>
      <c r="O385" t="b">
        <v>0</v>
      </c>
      <c r="P385" t="s">
        <v>144</v>
      </c>
      <c r="Q385" t="s">
        <v>144</v>
      </c>
      <c r="R385" t="s">
        <v>135</v>
      </c>
      <c r="W385" t="s">
        <v>125</v>
      </c>
      <c r="X385" t="s">
        <v>145</v>
      </c>
      <c r="AB385" t="b">
        <v>0</v>
      </c>
      <c r="AC385" t="b">
        <v>0</v>
      </c>
      <c r="AE385" t="b">
        <v>0</v>
      </c>
      <c r="AG385" t="b">
        <v>0</v>
      </c>
      <c r="AI385" t="b">
        <v>0</v>
      </c>
      <c r="AK385" t="s">
        <v>94</v>
      </c>
      <c r="AL385" t="s">
        <v>66</v>
      </c>
      <c r="AM385" s="3">
        <v>46268</v>
      </c>
      <c r="AN385" s="4">
        <v>0.52505787037037033</v>
      </c>
      <c r="AO385">
        <v>3209171357</v>
      </c>
      <c r="AP385" t="s">
        <v>146</v>
      </c>
      <c r="AQ385" t="s">
        <v>69</v>
      </c>
      <c r="AR385">
        <v>84.1</v>
      </c>
      <c r="AS385" t="s">
        <v>70</v>
      </c>
      <c r="AT385" t="s">
        <v>147</v>
      </c>
      <c r="AU385" t="s">
        <v>72</v>
      </c>
      <c r="AV385" t="s">
        <v>73</v>
      </c>
      <c r="AW385" t="str">
        <f t="shared" si="10"/>
        <v>Ingeniería Industrial</v>
      </c>
      <c r="AX385" t="str">
        <f t="shared" si="11"/>
        <v>3209171357</v>
      </c>
      <c r="AY385" t="str">
        <f>IFERROR(INDEX(Vacantes!$C:$C,MATCH(AT385,Vacantes!$A:$A,0)),"")</f>
        <v>Regional Andes</v>
      </c>
      <c r="AZ385" t="str">
        <f>IFERROR(INDEX(Vacantes!$D:$D,MATCH(AT385,Vacantes!$A:$A,0)),"")</f>
        <v>23 de octubre de 2026</v>
      </c>
      <c r="BA385" t="str">
        <f>IFERROR(INDEX(Vacantes!$E:$E,MATCH(AT385,Vacantes!$A:$A,0)),"")</f>
        <v>8:30 a.m. a 12:00 p.m.</v>
      </c>
    </row>
    <row r="386" spans="1:53" x14ac:dyDescent="0.15">
      <c r="A386" t="s">
        <v>199</v>
      </c>
      <c r="B386" t="s">
        <v>200</v>
      </c>
      <c r="C386" t="s">
        <v>55</v>
      </c>
      <c r="D386">
        <v>1018372262</v>
      </c>
      <c r="E386" t="s">
        <v>76</v>
      </c>
      <c r="F386">
        <v>22</v>
      </c>
      <c r="G386" t="b">
        <v>1</v>
      </c>
      <c r="I386" t="s">
        <v>141</v>
      </c>
      <c r="J386" t="s">
        <v>201</v>
      </c>
      <c r="L386" t="s">
        <v>134</v>
      </c>
      <c r="N386" t="b">
        <v>0</v>
      </c>
      <c r="O386" t="b">
        <v>0</v>
      </c>
      <c r="P386" t="s">
        <v>60</v>
      </c>
      <c r="Q386" t="s">
        <v>60</v>
      </c>
      <c r="R386" t="s">
        <v>135</v>
      </c>
      <c r="W386" t="s">
        <v>109</v>
      </c>
      <c r="AA386" t="s">
        <v>176</v>
      </c>
      <c r="AB386" t="b">
        <v>0</v>
      </c>
      <c r="AC386" t="b">
        <v>0</v>
      </c>
      <c r="AE386" t="b">
        <v>0</v>
      </c>
      <c r="AG386" t="b">
        <v>0</v>
      </c>
      <c r="AI386" t="b">
        <v>0</v>
      </c>
      <c r="AK386" t="s">
        <v>202</v>
      </c>
      <c r="AL386" t="s">
        <v>66</v>
      </c>
      <c r="AM386" s="3">
        <v>46275</v>
      </c>
      <c r="AN386" s="4">
        <v>0.47997685185185179</v>
      </c>
      <c r="AO386" t="s">
        <v>203</v>
      </c>
      <c r="AP386" t="s">
        <v>204</v>
      </c>
      <c r="AQ386" t="s">
        <v>69</v>
      </c>
      <c r="AR386">
        <v>96.2</v>
      </c>
      <c r="AS386" t="s">
        <v>70</v>
      </c>
      <c r="AT386" t="s">
        <v>147</v>
      </c>
      <c r="AU386" t="s">
        <v>72</v>
      </c>
      <c r="AV386" t="s">
        <v>73</v>
      </c>
      <c r="AW386" t="str">
        <f t="shared" ref="AW386:AW449" si="12">IF(L386="Otra",IF(M386="","Otra",M386&amp;""),L386&amp;"")</f>
        <v>Negocios Internacionales</v>
      </c>
      <c r="AX386" t="str">
        <f t="shared" ref="AX386:AX449" si="13">IF(OR(AO386="",AO386=0),"",TRIM(AO386))</f>
        <v>324 3157796</v>
      </c>
      <c r="AY386" t="str">
        <f>IFERROR(INDEX(Vacantes!$C:$C,MATCH(AT386,Vacantes!$A:$A,0)),"")</f>
        <v>Regional Andes</v>
      </c>
      <c r="AZ386" t="str">
        <f>IFERROR(INDEX(Vacantes!$D:$D,MATCH(AT386,Vacantes!$A:$A,0)),"")</f>
        <v>23 de octubre de 2026</v>
      </c>
      <c r="BA386" t="str">
        <f>IFERROR(INDEX(Vacantes!$E:$E,MATCH(AT386,Vacantes!$A:$A,0)),"")</f>
        <v>8:30 a.m. a 12:00 p.m.</v>
      </c>
    </row>
    <row r="387" spans="1:53" x14ac:dyDescent="0.15">
      <c r="A387" t="s">
        <v>793</v>
      </c>
      <c r="B387" t="s">
        <v>794</v>
      </c>
      <c r="C387" t="s">
        <v>55</v>
      </c>
      <c r="D387">
        <v>1025880974</v>
      </c>
      <c r="E387" t="s">
        <v>76</v>
      </c>
      <c r="F387">
        <v>22</v>
      </c>
      <c r="G387" t="b">
        <v>1</v>
      </c>
      <c r="H387" t="s">
        <v>207</v>
      </c>
      <c r="I387" t="s">
        <v>141</v>
      </c>
      <c r="J387" t="s">
        <v>100</v>
      </c>
      <c r="L387" t="s">
        <v>107</v>
      </c>
      <c r="N387" t="b">
        <v>0</v>
      </c>
      <c r="O387" t="b">
        <v>0</v>
      </c>
      <c r="P387" t="s">
        <v>61</v>
      </c>
      <c r="Q387" t="s">
        <v>61</v>
      </c>
      <c r="R387" t="s">
        <v>244</v>
      </c>
      <c r="W387" t="s">
        <v>135</v>
      </c>
      <c r="AB387" t="b">
        <v>0</v>
      </c>
      <c r="AC387" t="b">
        <v>0</v>
      </c>
      <c r="AE387" t="b">
        <v>0</v>
      </c>
      <c r="AG387" t="b">
        <v>0</v>
      </c>
      <c r="AI387" t="b">
        <v>0</v>
      </c>
      <c r="AK387" t="s">
        <v>153</v>
      </c>
      <c r="AL387" t="s">
        <v>66</v>
      </c>
      <c r="AM387" s="3">
        <v>46261</v>
      </c>
      <c r="AN387" s="4">
        <v>0.59387731481481476</v>
      </c>
      <c r="AO387" t="s">
        <v>795</v>
      </c>
      <c r="AP387" t="s">
        <v>796</v>
      </c>
      <c r="AQ387" t="s">
        <v>69</v>
      </c>
      <c r="AR387">
        <v>92.2</v>
      </c>
      <c r="AS387" t="s">
        <v>70</v>
      </c>
      <c r="AT387" t="s">
        <v>147</v>
      </c>
      <c r="AU387" t="s">
        <v>221</v>
      </c>
      <c r="AV387" t="s">
        <v>73</v>
      </c>
      <c r="AW387" t="str">
        <f t="shared" si="12"/>
        <v>Administración de Empresas</v>
      </c>
      <c r="AX387" t="str">
        <f t="shared" si="13"/>
        <v>321 6544399</v>
      </c>
      <c r="AY387" t="str">
        <f>IFERROR(INDEX(Vacantes!$C:$C,MATCH(AT387,Vacantes!$A:$A,0)),"")</f>
        <v>Regional Andes</v>
      </c>
      <c r="AZ387" t="str">
        <f>IFERROR(INDEX(Vacantes!$D:$D,MATCH(AT387,Vacantes!$A:$A,0)),"")</f>
        <v>23 de octubre de 2026</v>
      </c>
      <c r="BA387" t="str">
        <f>IFERROR(INDEX(Vacantes!$E:$E,MATCH(AT387,Vacantes!$A:$A,0)),"")</f>
        <v>8:30 a.m. a 12:00 p.m.</v>
      </c>
    </row>
    <row r="388" spans="1:53" x14ac:dyDescent="0.15">
      <c r="A388" t="s">
        <v>797</v>
      </c>
      <c r="B388" t="s">
        <v>798</v>
      </c>
      <c r="C388" t="s">
        <v>55</v>
      </c>
      <c r="D388">
        <v>1023523325</v>
      </c>
      <c r="E388" t="s">
        <v>76</v>
      </c>
      <c r="F388">
        <v>21</v>
      </c>
      <c r="G388" t="b">
        <v>1</v>
      </c>
      <c r="H388" t="s">
        <v>207</v>
      </c>
      <c r="I388" t="s">
        <v>141</v>
      </c>
      <c r="J388" t="s">
        <v>132</v>
      </c>
      <c r="K388" t="s">
        <v>799</v>
      </c>
      <c r="L388" t="s">
        <v>107</v>
      </c>
      <c r="N388" t="b">
        <v>0</v>
      </c>
      <c r="O388" t="b">
        <v>0</v>
      </c>
      <c r="P388" t="s">
        <v>60</v>
      </c>
      <c r="Q388" t="s">
        <v>144</v>
      </c>
      <c r="R388" t="s">
        <v>135</v>
      </c>
      <c r="W388" t="s">
        <v>81</v>
      </c>
      <c r="AB388" t="b">
        <v>0</v>
      </c>
      <c r="AC388" t="b">
        <v>0</v>
      </c>
      <c r="AE388" t="b">
        <v>0</v>
      </c>
      <c r="AG388" t="b">
        <v>0</v>
      </c>
      <c r="AI388" t="b">
        <v>0</v>
      </c>
      <c r="AK388" t="s">
        <v>94</v>
      </c>
      <c r="AL388" t="s">
        <v>66</v>
      </c>
      <c r="AM388" s="3">
        <v>46276</v>
      </c>
      <c r="AN388" s="4">
        <v>0.61670138888888892</v>
      </c>
      <c r="AO388" t="s">
        <v>800</v>
      </c>
      <c r="AP388" t="s">
        <v>801</v>
      </c>
      <c r="AQ388" t="s">
        <v>69</v>
      </c>
      <c r="AR388">
        <v>87.1</v>
      </c>
      <c r="AS388" t="s">
        <v>70</v>
      </c>
      <c r="AT388" t="s">
        <v>147</v>
      </c>
      <c r="AU388" t="s">
        <v>221</v>
      </c>
      <c r="AV388" t="s">
        <v>73</v>
      </c>
      <c r="AW388" t="str">
        <f t="shared" si="12"/>
        <v>Administración de Empresas</v>
      </c>
      <c r="AX388" t="str">
        <f t="shared" si="13"/>
        <v>321 8212815</v>
      </c>
      <c r="AY388" t="str">
        <f>IFERROR(INDEX(Vacantes!$C:$C,MATCH(AT388,Vacantes!$A:$A,0)),"")</f>
        <v>Regional Andes</v>
      </c>
      <c r="AZ388" t="str">
        <f>IFERROR(INDEX(Vacantes!$D:$D,MATCH(AT388,Vacantes!$A:$A,0)),"")</f>
        <v>23 de octubre de 2026</v>
      </c>
      <c r="BA388" t="str">
        <f>IFERROR(INDEX(Vacantes!$E:$E,MATCH(AT388,Vacantes!$A:$A,0)),"")</f>
        <v>8:30 a.m. a 12:00 p.m.</v>
      </c>
    </row>
    <row r="389" spans="1:53" x14ac:dyDescent="0.15">
      <c r="A389" t="s">
        <v>802</v>
      </c>
      <c r="B389" t="s">
        <v>803</v>
      </c>
      <c r="C389" t="s">
        <v>55</v>
      </c>
      <c r="D389">
        <v>1034987448</v>
      </c>
      <c r="E389" t="s">
        <v>56</v>
      </c>
      <c r="F389">
        <v>21</v>
      </c>
      <c r="G389" t="b">
        <v>1</v>
      </c>
      <c r="I389" t="s">
        <v>141</v>
      </c>
      <c r="J389" t="s">
        <v>100</v>
      </c>
      <c r="L389" t="s">
        <v>134</v>
      </c>
      <c r="N389" t="b">
        <v>0</v>
      </c>
      <c r="O389" t="b">
        <v>0</v>
      </c>
      <c r="P389" t="s">
        <v>61</v>
      </c>
      <c r="Q389" t="s">
        <v>61</v>
      </c>
      <c r="R389" t="s">
        <v>135</v>
      </c>
      <c r="W389" t="s">
        <v>125</v>
      </c>
      <c r="X389" t="s">
        <v>315</v>
      </c>
      <c r="AB389" t="b">
        <v>0</v>
      </c>
      <c r="AC389" t="b">
        <v>0</v>
      </c>
      <c r="AE389" t="b">
        <v>0</v>
      </c>
      <c r="AG389" t="b">
        <v>0</v>
      </c>
      <c r="AI389" t="b">
        <v>0</v>
      </c>
      <c r="AK389" t="s">
        <v>248</v>
      </c>
      <c r="AL389" t="s">
        <v>66</v>
      </c>
      <c r="AM389" s="3">
        <v>46256</v>
      </c>
      <c r="AN389" s="4">
        <v>0.42510416666666673</v>
      </c>
      <c r="AO389" t="s">
        <v>804</v>
      </c>
      <c r="AP389" t="s">
        <v>805</v>
      </c>
      <c r="AQ389" t="s">
        <v>69</v>
      </c>
      <c r="AR389">
        <v>90.4</v>
      </c>
      <c r="AS389" t="s">
        <v>85</v>
      </c>
      <c r="AT389" t="s">
        <v>147</v>
      </c>
      <c r="AU389" t="s">
        <v>221</v>
      </c>
      <c r="AV389" t="s">
        <v>73</v>
      </c>
      <c r="AW389" t="str">
        <f t="shared" si="12"/>
        <v>Negocios Internacionales</v>
      </c>
      <c r="AX389" t="str">
        <f t="shared" si="13"/>
        <v>321 5798177</v>
      </c>
      <c r="AY389" t="str">
        <f>IFERROR(INDEX(Vacantes!$C:$C,MATCH(AT389,Vacantes!$A:$A,0)),"")</f>
        <v>Regional Andes</v>
      </c>
      <c r="AZ389" t="str">
        <f>IFERROR(INDEX(Vacantes!$D:$D,MATCH(AT389,Vacantes!$A:$A,0)),"")</f>
        <v>23 de octubre de 2026</v>
      </c>
      <c r="BA389" t="str">
        <f>IFERROR(INDEX(Vacantes!$E:$E,MATCH(AT389,Vacantes!$A:$A,0)),"")</f>
        <v>8:30 a.m. a 12:00 p.m.</v>
      </c>
    </row>
    <row r="390" spans="1:53" x14ac:dyDescent="0.15">
      <c r="A390" t="s">
        <v>1000</v>
      </c>
      <c r="B390" t="s">
        <v>1001</v>
      </c>
      <c r="C390" t="s">
        <v>55</v>
      </c>
      <c r="D390">
        <v>1004368328</v>
      </c>
      <c r="E390" t="s">
        <v>56</v>
      </c>
      <c r="F390">
        <v>22</v>
      </c>
      <c r="G390" t="b">
        <v>1</v>
      </c>
      <c r="I390" t="s">
        <v>1002</v>
      </c>
      <c r="J390" t="s">
        <v>1003</v>
      </c>
      <c r="L390" t="s">
        <v>143</v>
      </c>
      <c r="N390" t="b">
        <v>0</v>
      </c>
      <c r="O390" t="b">
        <v>0</v>
      </c>
      <c r="P390" t="s">
        <v>60</v>
      </c>
      <c r="Q390" t="s">
        <v>60</v>
      </c>
      <c r="R390" t="s">
        <v>125</v>
      </c>
      <c r="W390" t="s">
        <v>135</v>
      </c>
      <c r="AB390" t="b">
        <v>0</v>
      </c>
      <c r="AC390" t="b">
        <v>0</v>
      </c>
      <c r="AE390" t="b">
        <v>0</v>
      </c>
      <c r="AG390" t="b">
        <v>0</v>
      </c>
      <c r="AI390" t="b">
        <v>0</v>
      </c>
      <c r="AK390" t="s">
        <v>94</v>
      </c>
      <c r="AL390" t="s">
        <v>66</v>
      </c>
      <c r="AM390" s="3">
        <v>46257</v>
      </c>
      <c r="AN390" s="4">
        <v>0.77711805555555558</v>
      </c>
      <c r="AO390">
        <v>3007316702</v>
      </c>
      <c r="AP390" t="s">
        <v>1004</v>
      </c>
      <c r="AQ390" t="s">
        <v>69</v>
      </c>
      <c r="AR390">
        <v>84.2</v>
      </c>
      <c r="AS390" t="s">
        <v>70</v>
      </c>
      <c r="AT390" t="s">
        <v>1005</v>
      </c>
      <c r="AU390" t="s">
        <v>221</v>
      </c>
      <c r="AV390" t="s">
        <v>73</v>
      </c>
      <c r="AW390" t="str">
        <f t="shared" si="12"/>
        <v>Ingeniería Industrial</v>
      </c>
      <c r="AX390" t="str">
        <f t="shared" si="13"/>
        <v>3007316702</v>
      </c>
      <c r="AY390" t="str">
        <f>IFERROR(INDEX(Vacantes!$C:$C,MATCH(AT390,Vacantes!$A:$A,0)),"")</f>
        <v>Cervecería de Atlántico</v>
      </c>
      <c r="AZ390" t="str">
        <f>IFERROR(INDEX(Vacantes!$D:$D,MATCH(AT390,Vacantes!$A:$A,0)),"")</f>
        <v>23 de octubre de 2026</v>
      </c>
      <c r="BA390" t="str">
        <f>IFERROR(INDEX(Vacantes!$E:$E,MATCH(AT390,Vacantes!$A:$A,0)),"")</f>
        <v>8:30 a.m. a 12:00 p.m.</v>
      </c>
    </row>
    <row r="391" spans="1:53" x14ac:dyDescent="0.15">
      <c r="A391" t="s">
        <v>1006</v>
      </c>
      <c r="B391" t="s">
        <v>1007</v>
      </c>
      <c r="C391" t="s">
        <v>55</v>
      </c>
      <c r="D391">
        <v>1044210202</v>
      </c>
      <c r="E391" t="s">
        <v>76</v>
      </c>
      <c r="F391">
        <v>24</v>
      </c>
      <c r="G391" t="b">
        <v>1</v>
      </c>
      <c r="H391" t="s">
        <v>1008</v>
      </c>
      <c r="I391" t="s">
        <v>1002</v>
      </c>
      <c r="J391" t="s">
        <v>132</v>
      </c>
      <c r="K391" t="s">
        <v>1009</v>
      </c>
      <c r="L391" t="s">
        <v>143</v>
      </c>
      <c r="N391" t="b">
        <v>1</v>
      </c>
      <c r="O391" t="b">
        <v>0</v>
      </c>
      <c r="P391" t="s">
        <v>144</v>
      </c>
      <c r="Q391" t="s">
        <v>61</v>
      </c>
      <c r="R391" t="s">
        <v>125</v>
      </c>
      <c r="W391" t="s">
        <v>135</v>
      </c>
      <c r="AB391" t="b">
        <v>0</v>
      </c>
      <c r="AC391" t="b">
        <v>0</v>
      </c>
      <c r="AE391" t="b">
        <v>0</v>
      </c>
      <c r="AG391" t="b">
        <v>0</v>
      </c>
      <c r="AI391" t="b">
        <v>0</v>
      </c>
      <c r="AK391" t="s">
        <v>65</v>
      </c>
      <c r="AL391" t="s">
        <v>66</v>
      </c>
      <c r="AM391" s="3">
        <v>46267</v>
      </c>
      <c r="AN391" s="4">
        <v>0.26954861111111111</v>
      </c>
      <c r="AO391" t="s">
        <v>1010</v>
      </c>
      <c r="AP391" t="s">
        <v>1011</v>
      </c>
      <c r="AQ391" t="s">
        <v>69</v>
      </c>
      <c r="AR391">
        <v>82.4</v>
      </c>
      <c r="AS391" t="s">
        <v>85</v>
      </c>
      <c r="AT391" t="s">
        <v>1005</v>
      </c>
      <c r="AU391" t="s">
        <v>221</v>
      </c>
      <c r="AV391" t="s">
        <v>73</v>
      </c>
      <c r="AW391" t="str">
        <f t="shared" si="12"/>
        <v>Ingeniería Industrial</v>
      </c>
      <c r="AX391" t="str">
        <f t="shared" si="13"/>
        <v>304 5469960</v>
      </c>
      <c r="AY391" t="str">
        <f>IFERROR(INDEX(Vacantes!$C:$C,MATCH(AT391,Vacantes!$A:$A,0)),"")</f>
        <v>Cervecería de Atlántico</v>
      </c>
      <c r="AZ391" t="str">
        <f>IFERROR(INDEX(Vacantes!$D:$D,MATCH(AT391,Vacantes!$A:$A,0)),"")</f>
        <v>23 de octubre de 2026</v>
      </c>
      <c r="BA391" t="str">
        <f>IFERROR(INDEX(Vacantes!$E:$E,MATCH(AT391,Vacantes!$A:$A,0)),"")</f>
        <v>8:30 a.m. a 12:00 p.m.</v>
      </c>
    </row>
    <row r="392" spans="1:53" x14ac:dyDescent="0.15">
      <c r="A392" t="s">
        <v>1012</v>
      </c>
      <c r="B392" t="s">
        <v>1013</v>
      </c>
      <c r="C392" t="s">
        <v>55</v>
      </c>
      <c r="D392">
        <v>1129506759</v>
      </c>
      <c r="E392" t="s">
        <v>76</v>
      </c>
      <c r="F392">
        <v>21</v>
      </c>
      <c r="G392" t="b">
        <v>1</v>
      </c>
      <c r="H392" t="s">
        <v>168</v>
      </c>
      <c r="I392" t="s">
        <v>1002</v>
      </c>
      <c r="J392" t="s">
        <v>314</v>
      </c>
      <c r="L392" t="s">
        <v>143</v>
      </c>
      <c r="N392" t="b">
        <v>0</v>
      </c>
      <c r="O392" t="b">
        <v>0</v>
      </c>
      <c r="P392" t="s">
        <v>60</v>
      </c>
      <c r="Q392" t="s">
        <v>61</v>
      </c>
      <c r="R392" t="s">
        <v>125</v>
      </c>
      <c r="W392" t="s">
        <v>135</v>
      </c>
      <c r="AB392" t="b">
        <v>0</v>
      </c>
      <c r="AC392" t="b">
        <v>0</v>
      </c>
      <c r="AE392" t="b">
        <v>0</v>
      </c>
      <c r="AG392" t="b">
        <v>0</v>
      </c>
      <c r="AI392" t="b">
        <v>0</v>
      </c>
      <c r="AK392" t="s">
        <v>202</v>
      </c>
      <c r="AL392" t="s">
        <v>66</v>
      </c>
      <c r="AM392" s="3">
        <v>46277</v>
      </c>
      <c r="AN392" s="4">
        <v>0.61052083333333329</v>
      </c>
      <c r="AO392" t="s">
        <v>1014</v>
      </c>
      <c r="AP392" t="s">
        <v>1015</v>
      </c>
      <c r="AQ392" t="s">
        <v>69</v>
      </c>
      <c r="AR392">
        <v>92.1</v>
      </c>
      <c r="AS392" t="s">
        <v>70</v>
      </c>
      <c r="AT392" t="s">
        <v>1005</v>
      </c>
      <c r="AU392" t="s">
        <v>221</v>
      </c>
      <c r="AV392" t="s">
        <v>73</v>
      </c>
      <c r="AW392" t="str">
        <f t="shared" si="12"/>
        <v>Ingeniería Industrial</v>
      </c>
      <c r="AX392" t="str">
        <f t="shared" si="13"/>
        <v>311 6124925</v>
      </c>
      <c r="AY392" t="str">
        <f>IFERROR(INDEX(Vacantes!$C:$C,MATCH(AT392,Vacantes!$A:$A,0)),"")</f>
        <v>Cervecería de Atlántico</v>
      </c>
      <c r="AZ392" t="str">
        <f>IFERROR(INDEX(Vacantes!$D:$D,MATCH(AT392,Vacantes!$A:$A,0)),"")</f>
        <v>23 de octubre de 2026</v>
      </c>
      <c r="BA392" t="str">
        <f>IFERROR(INDEX(Vacantes!$E:$E,MATCH(AT392,Vacantes!$A:$A,0)),"")</f>
        <v>8:30 a.m. a 12:00 p.m.</v>
      </c>
    </row>
    <row r="393" spans="1:53" x14ac:dyDescent="0.15">
      <c r="A393" t="s">
        <v>1016</v>
      </c>
      <c r="B393" t="s">
        <v>1017</v>
      </c>
      <c r="C393" t="s">
        <v>55</v>
      </c>
      <c r="D393">
        <v>1141320197</v>
      </c>
      <c r="E393" t="s">
        <v>56</v>
      </c>
      <c r="F393">
        <v>18</v>
      </c>
      <c r="G393" t="b">
        <v>1</v>
      </c>
      <c r="H393" t="s">
        <v>1018</v>
      </c>
      <c r="I393" t="s">
        <v>1002</v>
      </c>
      <c r="J393" t="s">
        <v>1019</v>
      </c>
      <c r="L393" t="s">
        <v>132</v>
      </c>
      <c r="M393" t="s">
        <v>1020</v>
      </c>
      <c r="N393" t="b">
        <v>0</v>
      </c>
      <c r="O393" t="b">
        <v>0</v>
      </c>
      <c r="P393" t="s">
        <v>144</v>
      </c>
      <c r="Q393" t="s">
        <v>144</v>
      </c>
      <c r="R393" t="s">
        <v>62</v>
      </c>
      <c r="W393" t="s">
        <v>135</v>
      </c>
      <c r="AB393" t="b">
        <v>0</v>
      </c>
      <c r="AC393" t="b">
        <v>0</v>
      </c>
      <c r="AE393" t="b">
        <v>0</v>
      </c>
      <c r="AG393" t="b">
        <v>0</v>
      </c>
      <c r="AI393" t="b">
        <v>0</v>
      </c>
      <c r="AK393" t="s">
        <v>248</v>
      </c>
      <c r="AL393" t="s">
        <v>66</v>
      </c>
      <c r="AM393" s="3">
        <v>46267</v>
      </c>
      <c r="AN393" s="4">
        <v>0.26954861111111111</v>
      </c>
      <c r="AO393" t="s">
        <v>1021</v>
      </c>
      <c r="AP393" t="s">
        <v>1022</v>
      </c>
      <c r="AQ393" t="s">
        <v>69</v>
      </c>
      <c r="AR393">
        <v>94.7</v>
      </c>
      <c r="AS393" t="s">
        <v>70</v>
      </c>
      <c r="AT393" t="s">
        <v>1005</v>
      </c>
      <c r="AU393" t="s">
        <v>221</v>
      </c>
      <c r="AV393" t="s">
        <v>73</v>
      </c>
      <c r="AW393" t="str">
        <f t="shared" si="12"/>
        <v>ANALISIS Y DESARROLLO DE SOFTWARE</v>
      </c>
      <c r="AX393" t="str">
        <f t="shared" si="13"/>
        <v>304 2752561</v>
      </c>
      <c r="AY393" t="str">
        <f>IFERROR(INDEX(Vacantes!$C:$C,MATCH(AT393,Vacantes!$A:$A,0)),"")</f>
        <v>Cervecería de Atlántico</v>
      </c>
      <c r="AZ393" t="str">
        <f>IFERROR(INDEX(Vacantes!$D:$D,MATCH(AT393,Vacantes!$A:$A,0)),"")</f>
        <v>23 de octubre de 2026</v>
      </c>
      <c r="BA393" t="str">
        <f>IFERROR(INDEX(Vacantes!$E:$E,MATCH(AT393,Vacantes!$A:$A,0)),"")</f>
        <v>8:30 a.m. a 12:00 p.m.</v>
      </c>
    </row>
    <row r="394" spans="1:53" x14ac:dyDescent="0.15">
      <c r="A394" t="s">
        <v>1023</v>
      </c>
      <c r="B394" t="s">
        <v>1024</v>
      </c>
      <c r="C394" t="s">
        <v>55</v>
      </c>
      <c r="D394">
        <v>1042241995</v>
      </c>
      <c r="E394" t="s">
        <v>56</v>
      </c>
      <c r="F394">
        <v>22</v>
      </c>
      <c r="G394" t="b">
        <v>1</v>
      </c>
      <c r="H394" t="s">
        <v>174</v>
      </c>
      <c r="I394" t="s">
        <v>1002</v>
      </c>
      <c r="J394" t="s">
        <v>319</v>
      </c>
      <c r="L394" t="s">
        <v>143</v>
      </c>
      <c r="N394" t="b">
        <v>0</v>
      </c>
      <c r="O394" t="b">
        <v>0</v>
      </c>
      <c r="P394" t="s">
        <v>60</v>
      </c>
      <c r="Q394" t="s">
        <v>61</v>
      </c>
      <c r="R394" t="s">
        <v>125</v>
      </c>
      <c r="W394" t="s">
        <v>125</v>
      </c>
      <c r="X394" t="s">
        <v>315</v>
      </c>
      <c r="AB394" t="b">
        <v>0</v>
      </c>
      <c r="AC394" t="b">
        <v>0</v>
      </c>
      <c r="AE394" t="b">
        <v>0</v>
      </c>
      <c r="AG394" t="b">
        <v>0</v>
      </c>
      <c r="AI394" t="b">
        <v>0</v>
      </c>
      <c r="AK394" t="s">
        <v>65</v>
      </c>
      <c r="AL394" t="s">
        <v>66</v>
      </c>
      <c r="AM394" s="3">
        <v>46264</v>
      </c>
      <c r="AN394" s="4">
        <v>0.61898148148148147</v>
      </c>
      <c r="AO394" t="s">
        <v>1025</v>
      </c>
      <c r="AP394" t="s">
        <v>1026</v>
      </c>
      <c r="AQ394" t="s">
        <v>69</v>
      </c>
      <c r="AR394">
        <v>75.2</v>
      </c>
      <c r="AS394" t="s">
        <v>70</v>
      </c>
      <c r="AT394" t="s">
        <v>1005</v>
      </c>
      <c r="AU394" t="s">
        <v>221</v>
      </c>
      <c r="AV394" t="s">
        <v>73</v>
      </c>
      <c r="AW394" t="str">
        <f t="shared" si="12"/>
        <v>Ingeniería Industrial</v>
      </c>
      <c r="AX394" t="str">
        <f t="shared" si="13"/>
        <v>300 4327190</v>
      </c>
      <c r="AY394" t="str">
        <f>IFERROR(INDEX(Vacantes!$C:$C,MATCH(AT394,Vacantes!$A:$A,0)),"")</f>
        <v>Cervecería de Atlántico</v>
      </c>
      <c r="AZ394" t="str">
        <f>IFERROR(INDEX(Vacantes!$D:$D,MATCH(AT394,Vacantes!$A:$A,0)),"")</f>
        <v>23 de octubre de 2026</v>
      </c>
      <c r="BA394" t="str">
        <f>IFERROR(INDEX(Vacantes!$E:$E,MATCH(AT394,Vacantes!$A:$A,0)),"")</f>
        <v>8:30 a.m. a 12:00 p.m.</v>
      </c>
    </row>
    <row r="395" spans="1:53" x14ac:dyDescent="0.15">
      <c r="A395" t="s">
        <v>1027</v>
      </c>
      <c r="B395" t="s">
        <v>1028</v>
      </c>
      <c r="C395" t="s">
        <v>55</v>
      </c>
      <c r="D395">
        <v>1043665142</v>
      </c>
      <c r="E395" t="s">
        <v>76</v>
      </c>
      <c r="F395">
        <v>21</v>
      </c>
      <c r="G395" t="b">
        <v>1</v>
      </c>
      <c r="H395" t="s">
        <v>174</v>
      </c>
      <c r="I395" t="s">
        <v>1002</v>
      </c>
      <c r="J395" t="s">
        <v>319</v>
      </c>
      <c r="L395" t="s">
        <v>612</v>
      </c>
      <c r="N395" t="b">
        <v>0</v>
      </c>
      <c r="O395" t="b">
        <v>0</v>
      </c>
      <c r="P395" t="s">
        <v>61</v>
      </c>
      <c r="Q395" t="s">
        <v>60</v>
      </c>
      <c r="R395" t="s">
        <v>125</v>
      </c>
      <c r="W395" t="s">
        <v>125</v>
      </c>
      <c r="X395" t="s">
        <v>332</v>
      </c>
      <c r="AB395" t="b">
        <v>0</v>
      </c>
      <c r="AC395" t="b">
        <v>0</v>
      </c>
      <c r="AE395" t="b">
        <v>0</v>
      </c>
      <c r="AG395" t="b">
        <v>0</v>
      </c>
      <c r="AI395" t="b">
        <v>0</v>
      </c>
      <c r="AK395" t="s">
        <v>202</v>
      </c>
      <c r="AL395" t="s">
        <v>66</v>
      </c>
      <c r="AM395" s="3">
        <v>46271</v>
      </c>
      <c r="AN395" s="4">
        <v>0.72021990740740738</v>
      </c>
      <c r="AO395" t="s">
        <v>1029</v>
      </c>
      <c r="AP395" t="s">
        <v>1030</v>
      </c>
      <c r="AQ395" t="s">
        <v>69</v>
      </c>
      <c r="AR395">
        <v>96.7</v>
      </c>
      <c r="AS395" t="s">
        <v>70</v>
      </c>
      <c r="AT395" t="s">
        <v>1005</v>
      </c>
      <c r="AU395" t="s">
        <v>221</v>
      </c>
      <c r="AV395" t="s">
        <v>184</v>
      </c>
      <c r="AW395" t="str">
        <f t="shared" si="12"/>
        <v>Ingeniería Mecánica</v>
      </c>
      <c r="AX395" t="str">
        <f t="shared" si="13"/>
        <v>305 4050713</v>
      </c>
      <c r="AY395" t="str">
        <f>IFERROR(INDEX(Vacantes!$C:$C,MATCH(AT395,Vacantes!$A:$A,0)),"")</f>
        <v>Cervecería de Atlántico</v>
      </c>
      <c r="AZ395" t="str">
        <f>IFERROR(INDEX(Vacantes!$D:$D,MATCH(AT395,Vacantes!$A:$A,0)),"")</f>
        <v>23 de octubre de 2026</v>
      </c>
      <c r="BA395" t="str">
        <f>IFERROR(INDEX(Vacantes!$E:$E,MATCH(AT395,Vacantes!$A:$A,0)),"")</f>
        <v>8:30 a.m. a 12:00 p.m.</v>
      </c>
    </row>
    <row r="396" spans="1:53" x14ac:dyDescent="0.15">
      <c r="A396" t="s">
        <v>1031</v>
      </c>
      <c r="B396" t="s">
        <v>1032</v>
      </c>
      <c r="C396" t="s">
        <v>55</v>
      </c>
      <c r="D396">
        <v>1082470342</v>
      </c>
      <c r="E396" t="s">
        <v>56</v>
      </c>
      <c r="F396">
        <v>22</v>
      </c>
      <c r="G396" t="b">
        <v>1</v>
      </c>
      <c r="H396" t="s">
        <v>1033</v>
      </c>
      <c r="I396" t="s">
        <v>1002</v>
      </c>
      <c r="J396" t="s">
        <v>1003</v>
      </c>
      <c r="L396" t="s">
        <v>640</v>
      </c>
      <c r="N396" t="b">
        <v>0</v>
      </c>
      <c r="O396" t="b">
        <v>0</v>
      </c>
      <c r="P396" t="s">
        <v>144</v>
      </c>
      <c r="Q396" t="s">
        <v>60</v>
      </c>
      <c r="R396" t="s">
        <v>62</v>
      </c>
      <c r="W396" t="s">
        <v>125</v>
      </c>
      <c r="X396" t="s">
        <v>145</v>
      </c>
      <c r="AB396" t="b">
        <v>0</v>
      </c>
      <c r="AC396" t="b">
        <v>0</v>
      </c>
      <c r="AE396" t="b">
        <v>0</v>
      </c>
      <c r="AG396" t="b">
        <v>0</v>
      </c>
      <c r="AI396" t="b">
        <v>0</v>
      </c>
      <c r="AK396" t="s">
        <v>248</v>
      </c>
      <c r="AL396" t="s">
        <v>66</v>
      </c>
      <c r="AM396" s="3">
        <v>46277</v>
      </c>
      <c r="AN396" s="4">
        <v>0.7924768518518519</v>
      </c>
      <c r="AO396" t="s">
        <v>1034</v>
      </c>
      <c r="AP396" t="s">
        <v>1004</v>
      </c>
      <c r="AQ396" t="s">
        <v>69</v>
      </c>
      <c r="AR396">
        <v>87.5</v>
      </c>
      <c r="AS396" t="s">
        <v>70</v>
      </c>
      <c r="AT396" t="s">
        <v>1005</v>
      </c>
      <c r="AU396" t="s">
        <v>221</v>
      </c>
      <c r="AV396" t="s">
        <v>184</v>
      </c>
      <c r="AW396" t="str">
        <f t="shared" si="12"/>
        <v>Ingeniería Electrónica</v>
      </c>
      <c r="AX396" t="str">
        <f t="shared" si="13"/>
        <v>310 8218310</v>
      </c>
      <c r="AY396" t="str">
        <f>IFERROR(INDEX(Vacantes!$C:$C,MATCH(AT396,Vacantes!$A:$A,0)),"")</f>
        <v>Cervecería de Atlántico</v>
      </c>
      <c r="AZ396" t="str">
        <f>IFERROR(INDEX(Vacantes!$D:$D,MATCH(AT396,Vacantes!$A:$A,0)),"")</f>
        <v>23 de octubre de 2026</v>
      </c>
      <c r="BA396" t="str">
        <f>IFERROR(INDEX(Vacantes!$E:$E,MATCH(AT396,Vacantes!$A:$A,0)),"")</f>
        <v>8:30 a.m. a 12:00 p.m.</v>
      </c>
    </row>
    <row r="397" spans="1:53" x14ac:dyDescent="0.15">
      <c r="A397" t="s">
        <v>1035</v>
      </c>
      <c r="B397" t="s">
        <v>1036</v>
      </c>
      <c r="C397" t="s">
        <v>55</v>
      </c>
      <c r="D397">
        <v>1123622199</v>
      </c>
      <c r="E397" t="s">
        <v>76</v>
      </c>
      <c r="F397">
        <v>21</v>
      </c>
      <c r="G397" t="b">
        <v>1</v>
      </c>
      <c r="H397" t="s">
        <v>1037</v>
      </c>
      <c r="I397" t="s">
        <v>1002</v>
      </c>
      <c r="J397" t="s">
        <v>314</v>
      </c>
      <c r="L397" t="s">
        <v>143</v>
      </c>
      <c r="N397" t="b">
        <v>0</v>
      </c>
      <c r="O397" t="b">
        <v>0</v>
      </c>
      <c r="P397" t="s">
        <v>60</v>
      </c>
      <c r="Q397" t="s">
        <v>60</v>
      </c>
      <c r="R397" t="s">
        <v>125</v>
      </c>
      <c r="U397" t="s">
        <v>63</v>
      </c>
      <c r="W397" t="s">
        <v>64</v>
      </c>
      <c r="AB397" t="b">
        <v>0</v>
      </c>
      <c r="AC397" t="b">
        <v>0</v>
      </c>
      <c r="AE397" t="b">
        <v>0</v>
      </c>
      <c r="AG397" t="b">
        <v>0</v>
      </c>
      <c r="AI397" t="b">
        <v>0</v>
      </c>
      <c r="AK397" t="s">
        <v>94</v>
      </c>
      <c r="AL397" t="s">
        <v>66</v>
      </c>
      <c r="AM397" s="3">
        <v>46277</v>
      </c>
      <c r="AN397" s="4">
        <v>0.85056712962962966</v>
      </c>
      <c r="AO397">
        <v>3016957509</v>
      </c>
      <c r="AP397" t="s">
        <v>1038</v>
      </c>
      <c r="AQ397" t="s">
        <v>69</v>
      </c>
      <c r="AR397">
        <v>93.2</v>
      </c>
      <c r="AS397" t="s">
        <v>70</v>
      </c>
      <c r="AT397" t="s">
        <v>1039</v>
      </c>
      <c r="AU397" t="s">
        <v>221</v>
      </c>
      <c r="AV397" t="s">
        <v>73</v>
      </c>
      <c r="AW397" t="str">
        <f t="shared" si="12"/>
        <v>Ingeniería Industrial</v>
      </c>
      <c r="AX397" t="str">
        <f t="shared" si="13"/>
        <v>3016957509</v>
      </c>
      <c r="AY397" t="str">
        <f>IFERROR(INDEX(Vacantes!$C:$C,MATCH(AT397,Vacantes!$A:$A,0)),"")</f>
        <v>Cervecería de Atlántico</v>
      </c>
      <c r="AZ397" t="str">
        <f>IFERROR(INDEX(Vacantes!$D:$D,MATCH(AT397,Vacantes!$A:$A,0)),"")</f>
        <v>23 de octubre de 2026</v>
      </c>
      <c r="BA397" t="str">
        <f>IFERROR(INDEX(Vacantes!$E:$E,MATCH(AT397,Vacantes!$A:$A,0)),"")</f>
        <v>8:30 a.m. a 12:00 p.m.</v>
      </c>
    </row>
    <row r="398" spans="1:53" x14ac:dyDescent="0.15">
      <c r="A398" t="s">
        <v>1040</v>
      </c>
      <c r="B398" t="s">
        <v>1041</v>
      </c>
      <c r="C398" t="s">
        <v>55</v>
      </c>
      <c r="D398">
        <v>1045166605</v>
      </c>
      <c r="E398" t="s">
        <v>56</v>
      </c>
      <c r="F398">
        <v>21</v>
      </c>
      <c r="G398" t="b">
        <v>1</v>
      </c>
      <c r="H398" t="s">
        <v>1042</v>
      </c>
      <c r="I398" t="s">
        <v>1002</v>
      </c>
      <c r="J398" t="s">
        <v>314</v>
      </c>
      <c r="L398" t="s">
        <v>1043</v>
      </c>
      <c r="N398" t="b">
        <v>0</v>
      </c>
      <c r="O398" t="b">
        <v>0</v>
      </c>
      <c r="P398" t="s">
        <v>60</v>
      </c>
      <c r="Q398" t="s">
        <v>60</v>
      </c>
      <c r="R398" t="s">
        <v>80</v>
      </c>
      <c r="W398" t="s">
        <v>62</v>
      </c>
      <c r="Y398" t="s">
        <v>82</v>
      </c>
      <c r="AB398" t="b">
        <v>0</v>
      </c>
      <c r="AC398" t="b">
        <v>0</v>
      </c>
      <c r="AE398" t="b">
        <v>0</v>
      </c>
      <c r="AG398" t="b">
        <v>0</v>
      </c>
      <c r="AI398" t="b">
        <v>0</v>
      </c>
      <c r="AK398" t="s">
        <v>94</v>
      </c>
      <c r="AL398" t="s">
        <v>66</v>
      </c>
      <c r="AM398" s="3">
        <v>46277</v>
      </c>
      <c r="AN398" s="4">
        <v>0.69436342592592593</v>
      </c>
      <c r="AO398" t="s">
        <v>1044</v>
      </c>
      <c r="AP398" t="s">
        <v>1045</v>
      </c>
      <c r="AQ398" t="s">
        <v>69</v>
      </c>
      <c r="AR398">
        <v>73.099999999999994</v>
      </c>
      <c r="AS398" t="s">
        <v>70</v>
      </c>
      <c r="AT398" t="s">
        <v>1039</v>
      </c>
      <c r="AU398" t="s">
        <v>221</v>
      </c>
      <c r="AV398" t="s">
        <v>73</v>
      </c>
      <c r="AW398" t="str">
        <f t="shared" si="12"/>
        <v>Contaduría Pública</v>
      </c>
      <c r="AX398" t="str">
        <f t="shared" si="13"/>
        <v>304 4555434</v>
      </c>
      <c r="AY398" t="str">
        <f>IFERROR(INDEX(Vacantes!$C:$C,MATCH(AT398,Vacantes!$A:$A,0)),"")</f>
        <v>Cervecería de Atlántico</v>
      </c>
      <c r="AZ398" t="str">
        <f>IFERROR(INDEX(Vacantes!$D:$D,MATCH(AT398,Vacantes!$A:$A,0)),"")</f>
        <v>23 de octubre de 2026</v>
      </c>
      <c r="BA398" t="str">
        <f>IFERROR(INDEX(Vacantes!$E:$E,MATCH(AT398,Vacantes!$A:$A,0)),"")</f>
        <v>8:30 a.m. a 12:00 p.m.</v>
      </c>
    </row>
    <row r="399" spans="1:53" x14ac:dyDescent="0.15">
      <c r="A399" t="s">
        <v>1046</v>
      </c>
      <c r="B399" t="s">
        <v>1047</v>
      </c>
      <c r="C399" t="s">
        <v>55</v>
      </c>
      <c r="D399">
        <v>1139424257</v>
      </c>
      <c r="E399" t="s">
        <v>56</v>
      </c>
      <c r="F399">
        <v>21</v>
      </c>
      <c r="G399" t="b">
        <v>1</v>
      </c>
      <c r="H399" t="s">
        <v>1048</v>
      </c>
      <c r="I399" t="s">
        <v>1002</v>
      </c>
      <c r="J399" t="s">
        <v>132</v>
      </c>
      <c r="K399" t="s">
        <v>1049</v>
      </c>
      <c r="L399" t="s">
        <v>1043</v>
      </c>
      <c r="N399" t="b">
        <v>1</v>
      </c>
      <c r="O399" t="b">
        <v>0</v>
      </c>
      <c r="P399" t="s">
        <v>144</v>
      </c>
      <c r="Q399" t="s">
        <v>144</v>
      </c>
      <c r="R399" t="s">
        <v>125</v>
      </c>
      <c r="T399" t="s">
        <v>82</v>
      </c>
      <c r="W399" t="s">
        <v>80</v>
      </c>
      <c r="AB399" t="b">
        <v>0</v>
      </c>
      <c r="AC399" t="b">
        <v>0</v>
      </c>
      <c r="AE399" t="b">
        <v>0</v>
      </c>
      <c r="AG399" t="b">
        <v>0</v>
      </c>
      <c r="AI399" t="b">
        <v>0</v>
      </c>
      <c r="AK399" t="s">
        <v>530</v>
      </c>
      <c r="AL399" t="s">
        <v>66</v>
      </c>
      <c r="AM399" s="3">
        <v>46277</v>
      </c>
      <c r="AN399" s="4">
        <v>0.66254629629629624</v>
      </c>
      <c r="AO399">
        <v>3174250357</v>
      </c>
      <c r="AP399" t="s">
        <v>1050</v>
      </c>
      <c r="AQ399" t="s">
        <v>69</v>
      </c>
      <c r="AR399">
        <v>79.400000000000006</v>
      </c>
      <c r="AS399" t="s">
        <v>70</v>
      </c>
      <c r="AT399" t="s">
        <v>1039</v>
      </c>
      <c r="AU399" t="s">
        <v>221</v>
      </c>
      <c r="AV399" t="s">
        <v>73</v>
      </c>
      <c r="AW399" t="str">
        <f t="shared" si="12"/>
        <v>Contaduría Pública</v>
      </c>
      <c r="AX399" t="str">
        <f t="shared" si="13"/>
        <v>3174250357</v>
      </c>
      <c r="AY399" t="str">
        <f>IFERROR(INDEX(Vacantes!$C:$C,MATCH(AT399,Vacantes!$A:$A,0)),"")</f>
        <v>Cervecería de Atlántico</v>
      </c>
      <c r="AZ399" t="str">
        <f>IFERROR(INDEX(Vacantes!$D:$D,MATCH(AT399,Vacantes!$A:$A,0)),"")</f>
        <v>23 de octubre de 2026</v>
      </c>
      <c r="BA399" t="str">
        <f>IFERROR(INDEX(Vacantes!$E:$E,MATCH(AT399,Vacantes!$A:$A,0)),"")</f>
        <v>8:30 a.m. a 12:00 p.m.</v>
      </c>
    </row>
    <row r="400" spans="1:53" x14ac:dyDescent="0.15">
      <c r="A400" t="s">
        <v>1051</v>
      </c>
      <c r="B400" t="s">
        <v>1052</v>
      </c>
      <c r="C400" t="s">
        <v>55</v>
      </c>
      <c r="D400">
        <v>1140906335</v>
      </c>
      <c r="E400" t="s">
        <v>56</v>
      </c>
      <c r="F400">
        <v>26</v>
      </c>
      <c r="G400" t="b">
        <v>1</v>
      </c>
      <c r="I400" t="s">
        <v>1002</v>
      </c>
      <c r="J400" t="s">
        <v>1019</v>
      </c>
      <c r="L400" t="s">
        <v>135</v>
      </c>
      <c r="N400" t="b">
        <v>0</v>
      </c>
      <c r="O400" t="b">
        <v>0</v>
      </c>
      <c r="P400" t="s">
        <v>60</v>
      </c>
      <c r="Q400" t="s">
        <v>61</v>
      </c>
      <c r="R400" t="s">
        <v>135</v>
      </c>
      <c r="W400" t="s">
        <v>125</v>
      </c>
      <c r="X400" t="s">
        <v>332</v>
      </c>
      <c r="AB400" t="b">
        <v>0</v>
      </c>
      <c r="AC400" t="b">
        <v>0</v>
      </c>
      <c r="AE400" t="b">
        <v>0</v>
      </c>
      <c r="AG400" t="b">
        <v>0</v>
      </c>
      <c r="AI400" t="b">
        <v>0</v>
      </c>
      <c r="AK400" t="s">
        <v>153</v>
      </c>
      <c r="AL400" t="s">
        <v>66</v>
      </c>
      <c r="AM400" s="3">
        <v>46278</v>
      </c>
      <c r="AN400" s="4">
        <v>0.79496527777777781</v>
      </c>
      <c r="AO400" t="s">
        <v>1053</v>
      </c>
      <c r="AP400" t="s">
        <v>1054</v>
      </c>
      <c r="AQ400" t="s">
        <v>69</v>
      </c>
      <c r="AR400">
        <v>78.099999999999994</v>
      </c>
      <c r="AS400" t="s">
        <v>70</v>
      </c>
      <c r="AT400" t="s">
        <v>1039</v>
      </c>
      <c r="AU400" t="s">
        <v>221</v>
      </c>
      <c r="AV400" t="s">
        <v>73</v>
      </c>
      <c r="AW400" t="str">
        <f t="shared" si="12"/>
        <v>Logística</v>
      </c>
      <c r="AX400" t="str">
        <f t="shared" si="13"/>
        <v>300 1303873</v>
      </c>
      <c r="AY400" t="str">
        <f>IFERROR(INDEX(Vacantes!$C:$C,MATCH(AT400,Vacantes!$A:$A,0)),"")</f>
        <v>Cervecería de Atlántico</v>
      </c>
      <c r="AZ400" t="str">
        <f>IFERROR(INDEX(Vacantes!$D:$D,MATCH(AT400,Vacantes!$A:$A,0)),"")</f>
        <v>23 de octubre de 2026</v>
      </c>
      <c r="BA400" t="str">
        <f>IFERROR(INDEX(Vacantes!$E:$E,MATCH(AT400,Vacantes!$A:$A,0)),"")</f>
        <v>8:30 a.m. a 12:00 p.m.</v>
      </c>
    </row>
    <row r="401" spans="1:53" x14ac:dyDescent="0.15">
      <c r="A401" t="s">
        <v>1055</v>
      </c>
      <c r="B401" t="s">
        <v>1056</v>
      </c>
      <c r="C401" t="s">
        <v>55</v>
      </c>
      <c r="D401">
        <v>1043665416</v>
      </c>
      <c r="E401" t="s">
        <v>56</v>
      </c>
      <c r="F401">
        <v>21</v>
      </c>
      <c r="G401" t="b">
        <v>1</v>
      </c>
      <c r="H401" t="s">
        <v>174</v>
      </c>
      <c r="I401" t="s">
        <v>168</v>
      </c>
      <c r="J401" t="s">
        <v>1057</v>
      </c>
      <c r="L401" t="s">
        <v>143</v>
      </c>
      <c r="N401" t="b">
        <v>1</v>
      </c>
      <c r="O401" t="b">
        <v>0</v>
      </c>
      <c r="P401" t="s">
        <v>60</v>
      </c>
      <c r="Q401" t="s">
        <v>60</v>
      </c>
      <c r="R401" t="s">
        <v>125</v>
      </c>
      <c r="W401" t="s">
        <v>135</v>
      </c>
      <c r="AB401" t="b">
        <v>0</v>
      </c>
      <c r="AC401" t="b">
        <v>0</v>
      </c>
      <c r="AE401" t="b">
        <v>0</v>
      </c>
      <c r="AG401" t="b">
        <v>0</v>
      </c>
      <c r="AI401" t="b">
        <v>0</v>
      </c>
      <c r="AK401" t="s">
        <v>94</v>
      </c>
      <c r="AL401" t="s">
        <v>66</v>
      </c>
      <c r="AM401" s="3">
        <v>46268</v>
      </c>
      <c r="AN401" s="4">
        <v>0.31195601851851851</v>
      </c>
      <c r="AO401" t="s">
        <v>1058</v>
      </c>
      <c r="AP401" t="s">
        <v>1059</v>
      </c>
      <c r="AQ401" t="s">
        <v>69</v>
      </c>
      <c r="AR401">
        <v>90</v>
      </c>
      <c r="AS401" t="s">
        <v>70</v>
      </c>
      <c r="AT401" t="s">
        <v>1039</v>
      </c>
      <c r="AU401" t="s">
        <v>221</v>
      </c>
      <c r="AV401" t="s">
        <v>73</v>
      </c>
      <c r="AW401" t="str">
        <f t="shared" si="12"/>
        <v>Ingeniería Industrial</v>
      </c>
      <c r="AX401" t="str">
        <f t="shared" si="13"/>
        <v>300 8603362</v>
      </c>
      <c r="AY401" t="str">
        <f>IFERROR(INDEX(Vacantes!$C:$C,MATCH(AT401,Vacantes!$A:$A,0)),"")</f>
        <v>Cervecería de Atlántico</v>
      </c>
      <c r="AZ401" t="str">
        <f>IFERROR(INDEX(Vacantes!$D:$D,MATCH(AT401,Vacantes!$A:$A,0)),"")</f>
        <v>23 de octubre de 2026</v>
      </c>
      <c r="BA401" t="str">
        <f>IFERROR(INDEX(Vacantes!$E:$E,MATCH(AT401,Vacantes!$A:$A,0)),"")</f>
        <v>8:30 a.m. a 12:00 p.m.</v>
      </c>
    </row>
    <row r="402" spans="1:53" x14ac:dyDescent="0.15">
      <c r="A402" t="s">
        <v>1060</v>
      </c>
      <c r="B402" t="s">
        <v>1061</v>
      </c>
      <c r="C402" t="s">
        <v>55</v>
      </c>
      <c r="D402">
        <v>1043673339</v>
      </c>
      <c r="E402" t="s">
        <v>76</v>
      </c>
      <c r="F402">
        <v>19</v>
      </c>
      <c r="G402" t="b">
        <v>1</v>
      </c>
      <c r="H402" t="s">
        <v>617</v>
      </c>
      <c r="I402" t="s">
        <v>168</v>
      </c>
      <c r="J402" t="s">
        <v>132</v>
      </c>
      <c r="K402" t="s">
        <v>175</v>
      </c>
      <c r="L402" t="s">
        <v>143</v>
      </c>
      <c r="N402" t="b">
        <v>1</v>
      </c>
      <c r="O402" t="b">
        <v>0</v>
      </c>
      <c r="P402" t="s">
        <v>60</v>
      </c>
      <c r="Q402" t="s">
        <v>60</v>
      </c>
      <c r="R402" t="s">
        <v>135</v>
      </c>
      <c r="W402" t="s">
        <v>125</v>
      </c>
      <c r="X402" t="s">
        <v>315</v>
      </c>
      <c r="AB402" t="b">
        <v>0</v>
      </c>
      <c r="AC402" t="b">
        <v>0</v>
      </c>
      <c r="AE402" t="b">
        <v>0</v>
      </c>
      <c r="AG402" t="b">
        <v>0</v>
      </c>
      <c r="AI402" t="b">
        <v>0</v>
      </c>
      <c r="AK402" t="s">
        <v>94</v>
      </c>
      <c r="AL402" t="s">
        <v>66</v>
      </c>
      <c r="AM402" s="3">
        <v>46264</v>
      </c>
      <c r="AN402" s="4">
        <v>0.43060185185185179</v>
      </c>
      <c r="AO402" t="s">
        <v>1062</v>
      </c>
      <c r="AP402" t="s">
        <v>1063</v>
      </c>
      <c r="AQ402" t="s">
        <v>69</v>
      </c>
      <c r="AR402">
        <v>73.599999999999994</v>
      </c>
      <c r="AS402" t="s">
        <v>85</v>
      </c>
      <c r="AT402" t="s">
        <v>1039</v>
      </c>
      <c r="AU402" t="s">
        <v>221</v>
      </c>
      <c r="AV402" t="s">
        <v>73</v>
      </c>
      <c r="AW402" t="str">
        <f t="shared" si="12"/>
        <v>Ingeniería Industrial</v>
      </c>
      <c r="AX402" t="str">
        <f t="shared" si="13"/>
        <v>324 4798404</v>
      </c>
      <c r="AY402" t="str">
        <f>IFERROR(INDEX(Vacantes!$C:$C,MATCH(AT402,Vacantes!$A:$A,0)),"")</f>
        <v>Cervecería de Atlántico</v>
      </c>
      <c r="AZ402" t="str">
        <f>IFERROR(INDEX(Vacantes!$D:$D,MATCH(AT402,Vacantes!$A:$A,0)),"")</f>
        <v>23 de octubre de 2026</v>
      </c>
      <c r="BA402" t="str">
        <f>IFERROR(INDEX(Vacantes!$E:$E,MATCH(AT402,Vacantes!$A:$A,0)),"")</f>
        <v>8:30 a.m. a 12:00 p.m.</v>
      </c>
    </row>
    <row r="403" spans="1:53" x14ac:dyDescent="0.15">
      <c r="A403" t="s">
        <v>1064</v>
      </c>
      <c r="B403" t="s">
        <v>1065</v>
      </c>
      <c r="C403" t="s">
        <v>55</v>
      </c>
      <c r="D403">
        <v>1004501029</v>
      </c>
      <c r="E403" t="s">
        <v>56</v>
      </c>
      <c r="F403">
        <v>23</v>
      </c>
      <c r="G403" t="b">
        <v>1</v>
      </c>
      <c r="H403" t="s">
        <v>167</v>
      </c>
      <c r="I403" t="s">
        <v>168</v>
      </c>
      <c r="J403" t="s">
        <v>1003</v>
      </c>
      <c r="L403" t="s">
        <v>143</v>
      </c>
      <c r="N403" t="b">
        <v>0</v>
      </c>
      <c r="O403" t="b">
        <v>0</v>
      </c>
      <c r="P403" t="s">
        <v>144</v>
      </c>
      <c r="Q403" t="s">
        <v>60</v>
      </c>
      <c r="R403" t="s">
        <v>81</v>
      </c>
      <c r="W403" t="s">
        <v>135</v>
      </c>
      <c r="AB403" t="b">
        <v>0</v>
      </c>
      <c r="AC403" t="b">
        <v>0</v>
      </c>
      <c r="AE403" t="b">
        <v>0</v>
      </c>
      <c r="AG403" t="b">
        <v>0</v>
      </c>
      <c r="AI403" t="b">
        <v>0</v>
      </c>
      <c r="AK403" t="s">
        <v>153</v>
      </c>
      <c r="AL403" t="s">
        <v>66</v>
      </c>
      <c r="AM403" s="3">
        <v>46278</v>
      </c>
      <c r="AN403" s="4">
        <v>0.40395833333333331</v>
      </c>
      <c r="AO403">
        <v>3157085604</v>
      </c>
      <c r="AP403" t="s">
        <v>1066</v>
      </c>
      <c r="AQ403" t="s">
        <v>69</v>
      </c>
      <c r="AR403">
        <v>73.900000000000006</v>
      </c>
      <c r="AS403" t="s">
        <v>70</v>
      </c>
      <c r="AT403" t="s">
        <v>1039</v>
      </c>
      <c r="AU403" t="s">
        <v>221</v>
      </c>
      <c r="AV403" t="s">
        <v>73</v>
      </c>
      <c r="AW403" t="str">
        <f t="shared" si="12"/>
        <v>Ingeniería Industrial</v>
      </c>
      <c r="AX403" t="str">
        <f t="shared" si="13"/>
        <v>3157085604</v>
      </c>
      <c r="AY403" t="str">
        <f>IFERROR(INDEX(Vacantes!$C:$C,MATCH(AT403,Vacantes!$A:$A,0)),"")</f>
        <v>Cervecería de Atlántico</v>
      </c>
      <c r="AZ403" t="str">
        <f>IFERROR(INDEX(Vacantes!$D:$D,MATCH(AT403,Vacantes!$A:$A,0)),"")</f>
        <v>23 de octubre de 2026</v>
      </c>
      <c r="BA403" t="str">
        <f>IFERROR(INDEX(Vacantes!$E:$E,MATCH(AT403,Vacantes!$A:$A,0)),"")</f>
        <v>8:30 a.m. a 12:00 p.m.</v>
      </c>
    </row>
    <row r="404" spans="1:53" x14ac:dyDescent="0.15">
      <c r="A404" t="s">
        <v>1252</v>
      </c>
      <c r="B404" t="s">
        <v>1253</v>
      </c>
      <c r="C404" t="s">
        <v>55</v>
      </c>
      <c r="D404">
        <v>1033257311</v>
      </c>
      <c r="E404" t="s">
        <v>56</v>
      </c>
      <c r="F404">
        <v>21</v>
      </c>
      <c r="G404" t="b">
        <v>1</v>
      </c>
      <c r="I404" t="s">
        <v>141</v>
      </c>
      <c r="J404" t="s">
        <v>100</v>
      </c>
      <c r="L404" t="s">
        <v>107</v>
      </c>
      <c r="N404" t="b">
        <v>0</v>
      </c>
      <c r="O404" t="b">
        <v>0</v>
      </c>
      <c r="P404" t="s">
        <v>60</v>
      </c>
      <c r="Q404" t="s">
        <v>144</v>
      </c>
      <c r="R404" t="s">
        <v>108</v>
      </c>
      <c r="W404" t="s">
        <v>109</v>
      </c>
      <c r="AA404" t="s">
        <v>176</v>
      </c>
      <c r="AB404" t="b">
        <v>0</v>
      </c>
      <c r="AC404" t="b">
        <v>0</v>
      </c>
      <c r="AE404" t="b">
        <v>0</v>
      </c>
      <c r="AG404" t="b">
        <v>0</v>
      </c>
      <c r="AI404" t="b">
        <v>0</v>
      </c>
      <c r="AK404" t="s">
        <v>202</v>
      </c>
      <c r="AL404" t="s">
        <v>66</v>
      </c>
      <c r="AM404" s="3">
        <v>46278</v>
      </c>
      <c r="AN404" s="4">
        <v>0.58193287037037034</v>
      </c>
      <c r="AO404" t="s">
        <v>1254</v>
      </c>
      <c r="AP404" t="s">
        <v>1255</v>
      </c>
      <c r="AQ404" t="s">
        <v>69</v>
      </c>
      <c r="AR404">
        <v>73</v>
      </c>
      <c r="AS404" t="s">
        <v>70</v>
      </c>
      <c r="AT404" t="s">
        <v>1256</v>
      </c>
      <c r="AU404" t="s">
        <v>221</v>
      </c>
      <c r="AV404" t="s">
        <v>73</v>
      </c>
      <c r="AW404" t="str">
        <f t="shared" si="12"/>
        <v>Administración de Empresas</v>
      </c>
      <c r="AX404" t="str">
        <f t="shared" si="13"/>
        <v>314 8230896</v>
      </c>
      <c r="AY404" t="str">
        <f>IFERROR(INDEX(Vacantes!$C:$C,MATCH(AT404,Vacantes!$A:$A,0)),"")</f>
        <v>Regional Andes</v>
      </c>
      <c r="AZ404" t="str">
        <f>IFERROR(INDEX(Vacantes!$D:$D,MATCH(AT404,Vacantes!$A:$A,0)),"")</f>
        <v>23 de octubre de 2026</v>
      </c>
      <c r="BA404" t="str">
        <f>IFERROR(INDEX(Vacantes!$E:$E,MATCH(AT404,Vacantes!$A:$A,0)),"")</f>
        <v>8:30 a.m. a 12:00 p.m.</v>
      </c>
    </row>
    <row r="405" spans="1:53" x14ac:dyDescent="0.15">
      <c r="A405" t="s">
        <v>1257</v>
      </c>
      <c r="B405" t="s">
        <v>1258</v>
      </c>
      <c r="C405" t="s">
        <v>55</v>
      </c>
      <c r="D405">
        <v>1027740396</v>
      </c>
      <c r="E405" t="s">
        <v>76</v>
      </c>
      <c r="F405">
        <v>21</v>
      </c>
      <c r="G405" t="b">
        <v>1</v>
      </c>
      <c r="I405" t="s">
        <v>141</v>
      </c>
      <c r="J405" t="s">
        <v>100</v>
      </c>
      <c r="L405" t="s">
        <v>134</v>
      </c>
      <c r="N405" t="b">
        <v>1</v>
      </c>
      <c r="O405" t="b">
        <v>0</v>
      </c>
      <c r="P405" t="s">
        <v>60</v>
      </c>
      <c r="Q405" t="s">
        <v>60</v>
      </c>
      <c r="R405" t="s">
        <v>109</v>
      </c>
      <c r="V405" t="s">
        <v>439</v>
      </c>
      <c r="W405" t="s">
        <v>109</v>
      </c>
      <c r="AA405" t="s">
        <v>176</v>
      </c>
      <c r="AB405" t="b">
        <v>0</v>
      </c>
      <c r="AC405" t="b">
        <v>0</v>
      </c>
      <c r="AE405" t="b">
        <v>0</v>
      </c>
      <c r="AG405" t="b">
        <v>0</v>
      </c>
      <c r="AI405" t="b">
        <v>0</v>
      </c>
      <c r="AK405" t="s">
        <v>202</v>
      </c>
      <c r="AL405" t="s">
        <v>66</v>
      </c>
      <c r="AM405" s="3">
        <v>46261</v>
      </c>
      <c r="AN405" s="4">
        <v>0.43571759259259257</v>
      </c>
      <c r="AO405" t="s">
        <v>1259</v>
      </c>
      <c r="AP405" t="s">
        <v>1260</v>
      </c>
      <c r="AQ405" t="s">
        <v>69</v>
      </c>
      <c r="AR405">
        <v>98.1</v>
      </c>
      <c r="AS405" t="s">
        <v>85</v>
      </c>
      <c r="AT405" t="s">
        <v>1256</v>
      </c>
      <c r="AU405" t="s">
        <v>221</v>
      </c>
      <c r="AV405" t="s">
        <v>184</v>
      </c>
      <c r="AW405" t="str">
        <f t="shared" si="12"/>
        <v>Negocios Internacionales</v>
      </c>
      <c r="AX405" t="str">
        <f t="shared" si="13"/>
        <v>305 3059203</v>
      </c>
      <c r="AY405" t="str">
        <f>IFERROR(INDEX(Vacantes!$C:$C,MATCH(AT405,Vacantes!$A:$A,0)),"")</f>
        <v>Regional Andes</v>
      </c>
      <c r="AZ405" t="str">
        <f>IFERROR(INDEX(Vacantes!$D:$D,MATCH(AT405,Vacantes!$A:$A,0)),"")</f>
        <v>23 de octubre de 2026</v>
      </c>
      <c r="BA405" t="str">
        <f>IFERROR(INDEX(Vacantes!$E:$E,MATCH(AT405,Vacantes!$A:$A,0)),"")</f>
        <v>8:30 a.m. a 12:00 p.m.</v>
      </c>
    </row>
    <row r="406" spans="1:53" x14ac:dyDescent="0.15">
      <c r="A406" t="s">
        <v>1261</v>
      </c>
      <c r="B406" t="s">
        <v>1262</v>
      </c>
      <c r="C406" t="s">
        <v>55</v>
      </c>
      <c r="D406">
        <v>1011510808</v>
      </c>
      <c r="E406" t="s">
        <v>76</v>
      </c>
      <c r="F406">
        <v>21</v>
      </c>
      <c r="G406" t="b">
        <v>1</v>
      </c>
      <c r="H406" t="s">
        <v>141</v>
      </c>
      <c r="I406" t="s">
        <v>141</v>
      </c>
      <c r="J406" t="s">
        <v>201</v>
      </c>
      <c r="L406" t="s">
        <v>1263</v>
      </c>
      <c r="N406" t="b">
        <v>0</v>
      </c>
      <c r="O406" t="b">
        <v>0</v>
      </c>
      <c r="P406" t="s">
        <v>60</v>
      </c>
      <c r="Q406" t="s">
        <v>61</v>
      </c>
      <c r="R406" t="s">
        <v>109</v>
      </c>
      <c r="V406" t="s">
        <v>176</v>
      </c>
      <c r="W406" t="s">
        <v>109</v>
      </c>
      <c r="AA406" t="s">
        <v>188</v>
      </c>
      <c r="AB406" t="b">
        <v>0</v>
      </c>
      <c r="AC406" t="b">
        <v>0</v>
      </c>
      <c r="AE406" t="b">
        <v>0</v>
      </c>
      <c r="AG406" t="b">
        <v>0</v>
      </c>
      <c r="AI406" t="b">
        <v>0</v>
      </c>
      <c r="AK406" t="s">
        <v>248</v>
      </c>
      <c r="AL406" t="s">
        <v>66</v>
      </c>
      <c r="AM406" s="3">
        <v>46269</v>
      </c>
      <c r="AN406" s="4">
        <v>0.24944444444444441</v>
      </c>
      <c r="AO406" t="s">
        <v>1264</v>
      </c>
      <c r="AP406" t="s">
        <v>1265</v>
      </c>
      <c r="AQ406" t="s">
        <v>69</v>
      </c>
      <c r="AR406">
        <v>84.4</v>
      </c>
      <c r="AS406" t="s">
        <v>70</v>
      </c>
      <c r="AT406" t="s">
        <v>1256</v>
      </c>
      <c r="AU406" t="s">
        <v>221</v>
      </c>
      <c r="AV406" t="s">
        <v>184</v>
      </c>
      <c r="AW406" t="str">
        <f t="shared" si="12"/>
        <v>Ingeniería Administrativa</v>
      </c>
      <c r="AX406" t="str">
        <f t="shared" si="13"/>
        <v>322 5903956</v>
      </c>
      <c r="AY406" t="str">
        <f>IFERROR(INDEX(Vacantes!$C:$C,MATCH(AT406,Vacantes!$A:$A,0)),"")</f>
        <v>Regional Andes</v>
      </c>
      <c r="AZ406" t="str">
        <f>IFERROR(INDEX(Vacantes!$D:$D,MATCH(AT406,Vacantes!$A:$A,0)),"")</f>
        <v>23 de octubre de 2026</v>
      </c>
      <c r="BA406" t="str">
        <f>IFERROR(INDEX(Vacantes!$E:$E,MATCH(AT406,Vacantes!$A:$A,0)),"")</f>
        <v>8:30 a.m. a 12:00 p.m.</v>
      </c>
    </row>
    <row r="407" spans="1:53" x14ac:dyDescent="0.15">
      <c r="A407" t="s">
        <v>1266</v>
      </c>
      <c r="B407" t="s">
        <v>1267</v>
      </c>
      <c r="C407" t="s">
        <v>55</v>
      </c>
      <c r="D407">
        <v>1018232610</v>
      </c>
      <c r="E407" t="s">
        <v>76</v>
      </c>
      <c r="F407">
        <v>21</v>
      </c>
      <c r="G407" t="b">
        <v>1</v>
      </c>
      <c r="I407" t="s">
        <v>141</v>
      </c>
      <c r="J407" t="s">
        <v>201</v>
      </c>
      <c r="L407" t="s">
        <v>134</v>
      </c>
      <c r="N407" t="b">
        <v>0</v>
      </c>
      <c r="O407" t="b">
        <v>0</v>
      </c>
      <c r="P407" t="s">
        <v>60</v>
      </c>
      <c r="Q407" t="s">
        <v>60</v>
      </c>
      <c r="R407" t="s">
        <v>109</v>
      </c>
      <c r="V407" t="s">
        <v>439</v>
      </c>
      <c r="W407" t="s">
        <v>81</v>
      </c>
      <c r="AB407" t="b">
        <v>0</v>
      </c>
      <c r="AC407" t="b">
        <v>0</v>
      </c>
      <c r="AE407" t="b">
        <v>0</v>
      </c>
      <c r="AG407" t="b">
        <v>0</v>
      </c>
      <c r="AI407" t="b">
        <v>0</v>
      </c>
      <c r="AK407" t="s">
        <v>65</v>
      </c>
      <c r="AL407" t="s">
        <v>66</v>
      </c>
      <c r="AM407" s="3">
        <v>46256</v>
      </c>
      <c r="AN407" s="4">
        <v>0.42581018518518521</v>
      </c>
      <c r="AO407">
        <v>3194401899</v>
      </c>
      <c r="AP407" t="s">
        <v>1268</v>
      </c>
      <c r="AQ407" t="s">
        <v>69</v>
      </c>
      <c r="AR407">
        <v>93.7</v>
      </c>
      <c r="AS407" t="s">
        <v>70</v>
      </c>
      <c r="AT407" t="s">
        <v>1256</v>
      </c>
      <c r="AU407" t="s">
        <v>221</v>
      </c>
      <c r="AV407" t="s">
        <v>184</v>
      </c>
      <c r="AW407" t="str">
        <f t="shared" si="12"/>
        <v>Negocios Internacionales</v>
      </c>
      <c r="AX407" t="str">
        <f t="shared" si="13"/>
        <v>3194401899</v>
      </c>
      <c r="AY407" t="str">
        <f>IFERROR(INDEX(Vacantes!$C:$C,MATCH(AT407,Vacantes!$A:$A,0)),"")</f>
        <v>Regional Andes</v>
      </c>
      <c r="AZ407" t="str">
        <f>IFERROR(INDEX(Vacantes!$D:$D,MATCH(AT407,Vacantes!$A:$A,0)),"")</f>
        <v>23 de octubre de 2026</v>
      </c>
      <c r="BA407" t="str">
        <f>IFERROR(INDEX(Vacantes!$E:$E,MATCH(AT407,Vacantes!$A:$A,0)),"")</f>
        <v>8:30 a.m. a 12:00 p.m.</v>
      </c>
    </row>
    <row r="408" spans="1:53" x14ac:dyDescent="0.15">
      <c r="A408" t="s">
        <v>1269</v>
      </c>
      <c r="B408" t="s">
        <v>1270</v>
      </c>
      <c r="C408" t="s">
        <v>55</v>
      </c>
      <c r="D408">
        <v>1001095936</v>
      </c>
      <c r="E408" t="s">
        <v>56</v>
      </c>
      <c r="F408">
        <v>22</v>
      </c>
      <c r="G408" t="b">
        <v>1</v>
      </c>
      <c r="H408" t="s">
        <v>1271</v>
      </c>
      <c r="I408" t="s">
        <v>141</v>
      </c>
      <c r="J408" t="s">
        <v>1272</v>
      </c>
      <c r="L408" t="s">
        <v>143</v>
      </c>
      <c r="N408" t="b">
        <v>1</v>
      </c>
      <c r="O408" t="b">
        <v>0</v>
      </c>
      <c r="P408" t="s">
        <v>60</v>
      </c>
      <c r="Q408" t="s">
        <v>61</v>
      </c>
      <c r="R408" t="s">
        <v>125</v>
      </c>
      <c r="W408" t="s">
        <v>109</v>
      </c>
      <c r="AA408" t="s">
        <v>283</v>
      </c>
      <c r="AB408" t="b">
        <v>0</v>
      </c>
      <c r="AC408" t="b">
        <v>0</v>
      </c>
      <c r="AE408" t="b">
        <v>0</v>
      </c>
      <c r="AG408" t="b">
        <v>0</v>
      </c>
      <c r="AI408" t="b">
        <v>0</v>
      </c>
      <c r="AK408" t="s">
        <v>202</v>
      </c>
      <c r="AL408" t="s">
        <v>66</v>
      </c>
      <c r="AM408" s="3">
        <v>46276</v>
      </c>
      <c r="AN408" s="4">
        <v>0.39247685185185183</v>
      </c>
      <c r="AO408" t="s">
        <v>1273</v>
      </c>
      <c r="AP408" t="s">
        <v>1274</v>
      </c>
      <c r="AQ408" t="s">
        <v>69</v>
      </c>
      <c r="AR408">
        <v>84.4</v>
      </c>
      <c r="AS408" t="s">
        <v>70</v>
      </c>
      <c r="AT408" t="s">
        <v>1256</v>
      </c>
      <c r="AU408" t="s">
        <v>221</v>
      </c>
      <c r="AV408" t="s">
        <v>184</v>
      </c>
      <c r="AW408" t="str">
        <f t="shared" si="12"/>
        <v>Ingeniería Industrial</v>
      </c>
      <c r="AX408" t="str">
        <f t="shared" si="13"/>
        <v>323 2175901</v>
      </c>
      <c r="AY408" t="str">
        <f>IFERROR(INDEX(Vacantes!$C:$C,MATCH(AT408,Vacantes!$A:$A,0)),"")</f>
        <v>Regional Andes</v>
      </c>
      <c r="AZ408" t="str">
        <f>IFERROR(INDEX(Vacantes!$D:$D,MATCH(AT408,Vacantes!$A:$A,0)),"")</f>
        <v>23 de octubre de 2026</v>
      </c>
      <c r="BA408" t="str">
        <f>IFERROR(INDEX(Vacantes!$E:$E,MATCH(AT408,Vacantes!$A:$A,0)),"")</f>
        <v>8:30 a.m. a 12:00 p.m.</v>
      </c>
    </row>
    <row r="409" spans="1:53" x14ac:dyDescent="0.15">
      <c r="A409" t="s">
        <v>1275</v>
      </c>
      <c r="B409" t="s">
        <v>1276</v>
      </c>
      <c r="C409" t="s">
        <v>55</v>
      </c>
      <c r="D409">
        <v>1042241820</v>
      </c>
      <c r="E409" t="s">
        <v>76</v>
      </c>
      <c r="F409">
        <v>22</v>
      </c>
      <c r="G409" t="b">
        <v>1</v>
      </c>
      <c r="H409" t="s">
        <v>207</v>
      </c>
      <c r="I409" t="s">
        <v>141</v>
      </c>
      <c r="J409" t="s">
        <v>100</v>
      </c>
      <c r="L409" t="s">
        <v>117</v>
      </c>
      <c r="N409" t="b">
        <v>0</v>
      </c>
      <c r="O409" t="b">
        <v>0</v>
      </c>
      <c r="P409" t="s">
        <v>61</v>
      </c>
      <c r="Q409" t="s">
        <v>60</v>
      </c>
      <c r="R409" t="s">
        <v>108</v>
      </c>
      <c r="W409" t="s">
        <v>109</v>
      </c>
      <c r="AA409" t="s">
        <v>176</v>
      </c>
      <c r="AB409" t="b">
        <v>0</v>
      </c>
      <c r="AC409" t="b">
        <v>0</v>
      </c>
      <c r="AE409" t="b">
        <v>0</v>
      </c>
      <c r="AG409" t="b">
        <v>0</v>
      </c>
      <c r="AI409" t="b">
        <v>0</v>
      </c>
      <c r="AK409" t="s">
        <v>202</v>
      </c>
      <c r="AL409" t="s">
        <v>66</v>
      </c>
      <c r="AM409" s="3">
        <v>46261</v>
      </c>
      <c r="AN409" s="4">
        <v>0.55489583333333337</v>
      </c>
      <c r="AO409">
        <v>3195270322</v>
      </c>
      <c r="AP409" t="s">
        <v>1277</v>
      </c>
      <c r="AQ409" t="s">
        <v>69</v>
      </c>
      <c r="AR409">
        <v>94.9</v>
      </c>
      <c r="AS409" t="s">
        <v>85</v>
      </c>
      <c r="AT409" t="s">
        <v>1256</v>
      </c>
      <c r="AU409" t="s">
        <v>221</v>
      </c>
      <c r="AV409" t="s">
        <v>184</v>
      </c>
      <c r="AW409" t="str">
        <f t="shared" si="12"/>
        <v>Marketing / Mercadeo</v>
      </c>
      <c r="AX409" t="str">
        <f t="shared" si="13"/>
        <v>3195270322</v>
      </c>
      <c r="AY409" t="str">
        <f>IFERROR(INDEX(Vacantes!$C:$C,MATCH(AT409,Vacantes!$A:$A,0)),"")</f>
        <v>Regional Andes</v>
      </c>
      <c r="AZ409" t="str">
        <f>IFERROR(INDEX(Vacantes!$D:$D,MATCH(AT409,Vacantes!$A:$A,0)),"")</f>
        <v>23 de octubre de 2026</v>
      </c>
      <c r="BA409" t="str">
        <f>IFERROR(INDEX(Vacantes!$E:$E,MATCH(AT409,Vacantes!$A:$A,0)),"")</f>
        <v>8:30 a.m. a 12:00 p.m.</v>
      </c>
    </row>
    <row r="410" spans="1:53" x14ac:dyDescent="0.15">
      <c r="A410" t="s">
        <v>1278</v>
      </c>
      <c r="B410" t="s">
        <v>1279</v>
      </c>
      <c r="C410" t="s">
        <v>55</v>
      </c>
      <c r="D410">
        <v>1105361230</v>
      </c>
      <c r="E410" t="s">
        <v>76</v>
      </c>
      <c r="F410">
        <v>22</v>
      </c>
      <c r="G410" t="b">
        <v>1</v>
      </c>
      <c r="H410" t="s">
        <v>397</v>
      </c>
      <c r="I410" t="s">
        <v>141</v>
      </c>
      <c r="J410" t="s">
        <v>132</v>
      </c>
      <c r="K410" t="s">
        <v>385</v>
      </c>
      <c r="L410" t="s">
        <v>117</v>
      </c>
      <c r="N410" t="b">
        <v>0</v>
      </c>
      <c r="O410" t="b">
        <v>0</v>
      </c>
      <c r="P410" t="s">
        <v>60</v>
      </c>
      <c r="Q410" t="s">
        <v>61</v>
      </c>
      <c r="R410" t="s">
        <v>108</v>
      </c>
      <c r="W410" t="s">
        <v>109</v>
      </c>
      <c r="AA410" t="s">
        <v>110</v>
      </c>
      <c r="AB410" t="b">
        <v>0</v>
      </c>
      <c r="AC410" t="b">
        <v>0</v>
      </c>
      <c r="AE410" t="b">
        <v>0</v>
      </c>
      <c r="AG410" t="b">
        <v>0</v>
      </c>
      <c r="AI410" t="b">
        <v>0</v>
      </c>
      <c r="AK410" t="s">
        <v>65</v>
      </c>
      <c r="AL410" t="s">
        <v>66</v>
      </c>
      <c r="AM410" s="3">
        <v>46264</v>
      </c>
      <c r="AN410" s="4">
        <v>0.61878472222222225</v>
      </c>
      <c r="AO410">
        <v>3137503885</v>
      </c>
      <c r="AP410" t="s">
        <v>1280</v>
      </c>
      <c r="AQ410" t="s">
        <v>69</v>
      </c>
      <c r="AR410">
        <v>89.2</v>
      </c>
      <c r="AS410" t="s">
        <v>70</v>
      </c>
      <c r="AT410" t="s">
        <v>1256</v>
      </c>
      <c r="AU410" t="s">
        <v>221</v>
      </c>
      <c r="AV410" t="s">
        <v>184</v>
      </c>
      <c r="AW410" t="str">
        <f t="shared" si="12"/>
        <v>Marketing / Mercadeo</v>
      </c>
      <c r="AX410" t="str">
        <f t="shared" si="13"/>
        <v>3137503885</v>
      </c>
      <c r="AY410" t="str">
        <f>IFERROR(INDEX(Vacantes!$C:$C,MATCH(AT410,Vacantes!$A:$A,0)),"")</f>
        <v>Regional Andes</v>
      </c>
      <c r="AZ410" t="str">
        <f>IFERROR(INDEX(Vacantes!$D:$D,MATCH(AT410,Vacantes!$A:$A,0)),"")</f>
        <v>23 de octubre de 2026</v>
      </c>
      <c r="BA410" t="str">
        <f>IFERROR(INDEX(Vacantes!$E:$E,MATCH(AT410,Vacantes!$A:$A,0)),"")</f>
        <v>8:30 a.m. a 12:00 p.m.</v>
      </c>
    </row>
    <row r="411" spans="1:53" x14ac:dyDescent="0.15">
      <c r="A411" t="s">
        <v>1281</v>
      </c>
      <c r="B411" t="s">
        <v>1282</v>
      </c>
      <c r="C411" t="s">
        <v>55</v>
      </c>
      <c r="D411">
        <v>1097492556</v>
      </c>
      <c r="E411" t="s">
        <v>76</v>
      </c>
      <c r="F411">
        <v>20</v>
      </c>
      <c r="G411" t="b">
        <v>1</v>
      </c>
      <c r="H411" t="s">
        <v>194</v>
      </c>
      <c r="I411" t="s">
        <v>141</v>
      </c>
      <c r="J411" t="s">
        <v>201</v>
      </c>
      <c r="L411" t="s">
        <v>134</v>
      </c>
      <c r="N411" t="b">
        <v>0</v>
      </c>
      <c r="O411" t="b">
        <v>0</v>
      </c>
      <c r="P411" t="s">
        <v>60</v>
      </c>
      <c r="Q411" t="s">
        <v>60</v>
      </c>
      <c r="R411" t="s">
        <v>109</v>
      </c>
      <c r="V411" t="s">
        <v>176</v>
      </c>
      <c r="W411" t="s">
        <v>81</v>
      </c>
      <c r="AB411" t="b">
        <v>0</v>
      </c>
      <c r="AC411" t="b">
        <v>0</v>
      </c>
      <c r="AE411" t="b">
        <v>0</v>
      </c>
      <c r="AG411" t="b">
        <v>0</v>
      </c>
      <c r="AI411" t="b">
        <v>0</v>
      </c>
      <c r="AK411" t="s">
        <v>65</v>
      </c>
      <c r="AL411" t="s">
        <v>66</v>
      </c>
      <c r="AM411" s="3">
        <v>46278</v>
      </c>
      <c r="AN411" s="4">
        <v>0.80557870370370366</v>
      </c>
      <c r="AO411">
        <v>3102562819</v>
      </c>
      <c r="AP411" t="s">
        <v>1283</v>
      </c>
      <c r="AQ411" t="s">
        <v>69</v>
      </c>
      <c r="AR411">
        <v>78.7</v>
      </c>
      <c r="AS411" t="s">
        <v>70</v>
      </c>
      <c r="AT411" t="s">
        <v>1256</v>
      </c>
      <c r="AU411" t="s">
        <v>221</v>
      </c>
      <c r="AV411" t="s">
        <v>184</v>
      </c>
      <c r="AW411" t="str">
        <f t="shared" si="12"/>
        <v>Negocios Internacionales</v>
      </c>
      <c r="AX411" t="str">
        <f t="shared" si="13"/>
        <v>3102562819</v>
      </c>
      <c r="AY411" t="str">
        <f>IFERROR(INDEX(Vacantes!$C:$C,MATCH(AT411,Vacantes!$A:$A,0)),"")</f>
        <v>Regional Andes</v>
      </c>
      <c r="AZ411" t="str">
        <f>IFERROR(INDEX(Vacantes!$D:$D,MATCH(AT411,Vacantes!$A:$A,0)),"")</f>
        <v>23 de octubre de 2026</v>
      </c>
      <c r="BA411" t="str">
        <f>IFERROR(INDEX(Vacantes!$E:$E,MATCH(AT411,Vacantes!$A:$A,0)),"")</f>
        <v>8:30 a.m. a 12:00 p.m.</v>
      </c>
    </row>
    <row r="412" spans="1:53" x14ac:dyDescent="0.15">
      <c r="A412" s="5" t="s">
        <v>1335</v>
      </c>
      <c r="B412" s="5" t="s">
        <v>1336</v>
      </c>
      <c r="C412" s="5" t="s">
        <v>55</v>
      </c>
      <c r="D412" s="5">
        <v>1125781473</v>
      </c>
      <c r="E412" s="5" t="s">
        <v>76</v>
      </c>
      <c r="F412" s="5">
        <v>21</v>
      </c>
      <c r="G412" s="5" t="b">
        <v>1</v>
      </c>
      <c r="H412" s="5"/>
      <c r="I412" s="5" t="s">
        <v>141</v>
      </c>
      <c r="J412" s="5" t="s">
        <v>100</v>
      </c>
      <c r="K412" s="5"/>
      <c r="L412" s="5" t="s">
        <v>134</v>
      </c>
      <c r="M412" s="5"/>
      <c r="N412" s="5" t="b">
        <v>0</v>
      </c>
      <c r="O412" s="5" t="b">
        <v>0</v>
      </c>
      <c r="P412" s="5" t="s">
        <v>61</v>
      </c>
      <c r="Q412" s="5" t="s">
        <v>61</v>
      </c>
      <c r="R412" s="5" t="s">
        <v>135</v>
      </c>
      <c r="S412" s="5"/>
      <c r="T412" s="5"/>
      <c r="U412" s="5"/>
      <c r="V412" s="5"/>
      <c r="W412" s="5" t="s">
        <v>109</v>
      </c>
      <c r="X412" s="5"/>
      <c r="Y412" s="5"/>
      <c r="Z412" s="5"/>
      <c r="AA412" s="5" t="s">
        <v>176</v>
      </c>
      <c r="AB412" s="5" t="b">
        <v>0</v>
      </c>
      <c r="AC412" s="5" t="b">
        <v>0</v>
      </c>
      <c r="AD412" s="5"/>
      <c r="AE412" s="5" t="b">
        <v>0</v>
      </c>
      <c r="AF412" s="5"/>
      <c r="AG412" s="5" t="b">
        <v>0</v>
      </c>
      <c r="AH412" s="5"/>
      <c r="AI412" s="5" t="b">
        <v>0</v>
      </c>
      <c r="AJ412" s="5"/>
      <c r="AK412" s="5" t="s">
        <v>202</v>
      </c>
      <c r="AL412" s="5" t="s">
        <v>66</v>
      </c>
      <c r="AM412" s="6">
        <v>46278</v>
      </c>
      <c r="AN412" s="7">
        <v>0.42386574074074068</v>
      </c>
      <c r="AO412" s="5" t="s">
        <v>1337</v>
      </c>
      <c r="AP412" s="5" t="s">
        <v>1338</v>
      </c>
      <c r="AQ412" s="5" t="s">
        <v>69</v>
      </c>
      <c r="AR412" s="5">
        <v>89.6</v>
      </c>
      <c r="AS412" s="5" t="s">
        <v>70</v>
      </c>
      <c r="AT412" s="5" t="s">
        <v>147</v>
      </c>
      <c r="AU412" s="5" t="s">
        <v>221</v>
      </c>
      <c r="AV412" s="5" t="s">
        <v>73</v>
      </c>
      <c r="AW412" s="5" t="str">
        <f t="shared" si="12"/>
        <v>Negocios Internacionales</v>
      </c>
      <c r="AX412" s="5" t="str">
        <f t="shared" si="13"/>
        <v>321 7538047</v>
      </c>
      <c r="AY412" s="5" t="str">
        <f>IFERROR(INDEX(Vacantes!$C:$C,MATCH(AT412,Vacantes!$A:$A,0)),"")</f>
        <v>Regional Andes</v>
      </c>
      <c r="AZ412" s="5" t="str">
        <f>IFERROR(INDEX(Vacantes!$D:$D,MATCH(AT412,Vacantes!$A:$A,0)),"")</f>
        <v>23 de octubre de 2026</v>
      </c>
      <c r="BA412" s="5" t="str">
        <f>IFERROR(INDEX(Vacantes!$E:$E,MATCH(AT412,Vacantes!$A:$A,0)),"")</f>
        <v>8:30 a.m. a 12:00 p.m.</v>
      </c>
    </row>
    <row r="413" spans="1:53" x14ac:dyDescent="0.15">
      <c r="A413" t="s">
        <v>1425</v>
      </c>
      <c r="B413" t="s">
        <v>1426</v>
      </c>
      <c r="C413" t="s">
        <v>55</v>
      </c>
      <c r="D413">
        <v>1037670821</v>
      </c>
      <c r="E413" t="s">
        <v>56</v>
      </c>
      <c r="F413">
        <v>26</v>
      </c>
      <c r="G413" t="b">
        <v>1</v>
      </c>
      <c r="H413" t="s">
        <v>207</v>
      </c>
      <c r="I413" t="s">
        <v>141</v>
      </c>
      <c r="J413" t="s">
        <v>132</v>
      </c>
      <c r="K413" t="s">
        <v>1427</v>
      </c>
      <c r="L413" t="s">
        <v>134</v>
      </c>
      <c r="N413" t="b">
        <v>0</v>
      </c>
      <c r="O413" t="b">
        <v>0</v>
      </c>
      <c r="P413" t="s">
        <v>144</v>
      </c>
      <c r="Q413" t="s">
        <v>60</v>
      </c>
      <c r="R413" t="s">
        <v>135</v>
      </c>
      <c r="T413" t="s">
        <v>82</v>
      </c>
      <c r="W413" t="s">
        <v>80</v>
      </c>
      <c r="AB413" t="b">
        <v>0</v>
      </c>
      <c r="AC413" t="b">
        <v>0</v>
      </c>
      <c r="AE413" t="b">
        <v>0</v>
      </c>
      <c r="AG413" t="b">
        <v>0</v>
      </c>
      <c r="AI413" t="b">
        <v>0</v>
      </c>
      <c r="AK413" t="s">
        <v>65</v>
      </c>
      <c r="AL413" t="s">
        <v>66</v>
      </c>
      <c r="AM413" s="3">
        <v>46267</v>
      </c>
      <c r="AN413" s="4">
        <v>0.55072916666666671</v>
      </c>
      <c r="AO413">
        <v>3113598719</v>
      </c>
      <c r="AP413" t="s">
        <v>1428</v>
      </c>
      <c r="AQ413" t="s">
        <v>69</v>
      </c>
      <c r="AR413">
        <v>92.9</v>
      </c>
      <c r="AS413" t="s">
        <v>85</v>
      </c>
      <c r="AT413" t="s">
        <v>147</v>
      </c>
      <c r="AU413" t="s">
        <v>221</v>
      </c>
      <c r="AV413" t="s">
        <v>73</v>
      </c>
      <c r="AW413" t="str">
        <f t="shared" si="12"/>
        <v>Negocios Internacionales</v>
      </c>
      <c r="AX413" t="str">
        <f t="shared" si="13"/>
        <v>3113598719</v>
      </c>
      <c r="AY413" t="str">
        <f>IFERROR(INDEX(Vacantes!$C:$C,MATCH(AT413,Vacantes!$A:$A,0)),"")</f>
        <v>Regional Andes</v>
      </c>
      <c r="AZ413" t="str">
        <f>IFERROR(INDEX(Vacantes!$D:$D,MATCH(AT413,Vacantes!$A:$A,0)),"")</f>
        <v>23 de octubre de 2026</v>
      </c>
      <c r="BA413" t="str">
        <f>IFERROR(INDEX(Vacantes!$E:$E,MATCH(AT413,Vacantes!$A:$A,0)),"")</f>
        <v>8:30 a.m. a 12:00 p.m.</v>
      </c>
    </row>
    <row r="414" spans="1:53" x14ac:dyDescent="0.15">
      <c r="A414" t="s">
        <v>1460</v>
      </c>
      <c r="B414" t="s">
        <v>1461</v>
      </c>
      <c r="C414" t="s">
        <v>55</v>
      </c>
      <c r="D414">
        <v>1107836866</v>
      </c>
      <c r="E414" t="s">
        <v>76</v>
      </c>
      <c r="F414">
        <v>21</v>
      </c>
      <c r="G414" t="b">
        <v>1</v>
      </c>
      <c r="H414" t="s">
        <v>174</v>
      </c>
      <c r="I414" t="s">
        <v>1002</v>
      </c>
      <c r="J414" t="s">
        <v>319</v>
      </c>
      <c r="L414" t="s">
        <v>143</v>
      </c>
      <c r="N414" t="b">
        <v>1</v>
      </c>
      <c r="O414" t="b">
        <v>0</v>
      </c>
      <c r="P414" t="s">
        <v>60</v>
      </c>
      <c r="Q414" t="s">
        <v>61</v>
      </c>
      <c r="R414" t="s">
        <v>125</v>
      </c>
      <c r="W414" t="s">
        <v>125</v>
      </c>
      <c r="X414" t="s">
        <v>332</v>
      </c>
      <c r="AB414" t="b">
        <v>0</v>
      </c>
      <c r="AC414" t="b">
        <v>0</v>
      </c>
      <c r="AE414" t="b">
        <v>0</v>
      </c>
      <c r="AG414" t="b">
        <v>0</v>
      </c>
      <c r="AI414" t="b">
        <v>0</v>
      </c>
      <c r="AK414" t="s">
        <v>65</v>
      </c>
      <c r="AL414" t="s">
        <v>66</v>
      </c>
      <c r="AM414" s="3">
        <v>46274</v>
      </c>
      <c r="AN414" s="4">
        <v>0.31746527777777778</v>
      </c>
      <c r="AO414">
        <v>3105274860</v>
      </c>
      <c r="AP414" t="s">
        <v>1186</v>
      </c>
      <c r="AQ414" t="s">
        <v>69</v>
      </c>
      <c r="AR414">
        <v>80.400000000000006</v>
      </c>
      <c r="AS414" t="s">
        <v>70</v>
      </c>
      <c r="AT414" t="s">
        <v>1005</v>
      </c>
      <c r="AU414" t="s">
        <v>221</v>
      </c>
      <c r="AV414" t="s">
        <v>73</v>
      </c>
      <c r="AW414" t="str">
        <f t="shared" si="12"/>
        <v>Ingeniería Industrial</v>
      </c>
      <c r="AX414" t="str">
        <f t="shared" si="13"/>
        <v>3105274860</v>
      </c>
      <c r="AY414" t="str">
        <f>IFERROR(INDEX(Vacantes!$C:$C,MATCH(AT414,Vacantes!$A:$A,0)),"")</f>
        <v>Cervecería de Atlántico</v>
      </c>
      <c r="AZ414" t="str">
        <f>IFERROR(INDEX(Vacantes!$D:$D,MATCH(AT414,Vacantes!$A:$A,0)),"")</f>
        <v>23 de octubre de 2026</v>
      </c>
      <c r="BA414" t="str">
        <f>IFERROR(INDEX(Vacantes!$E:$E,MATCH(AT414,Vacantes!$A:$A,0)),"")</f>
        <v>8:30 a.m. a 12:00 p.m.</v>
      </c>
    </row>
    <row r="415" spans="1:53" x14ac:dyDescent="0.15">
      <c r="A415" t="s">
        <v>1500</v>
      </c>
      <c r="B415" t="s">
        <v>1501</v>
      </c>
      <c r="C415" t="s">
        <v>55</v>
      </c>
      <c r="D415">
        <v>1013457902</v>
      </c>
      <c r="E415" t="s">
        <v>76</v>
      </c>
      <c r="F415">
        <v>21</v>
      </c>
      <c r="G415" t="b">
        <v>1</v>
      </c>
      <c r="H415" t="s">
        <v>207</v>
      </c>
      <c r="I415" t="s">
        <v>141</v>
      </c>
      <c r="J415" t="s">
        <v>1502</v>
      </c>
      <c r="L415" t="s">
        <v>117</v>
      </c>
      <c r="N415" t="b">
        <v>1</v>
      </c>
      <c r="O415" t="b">
        <v>0</v>
      </c>
      <c r="P415" t="s">
        <v>61</v>
      </c>
      <c r="Q415" t="s">
        <v>144</v>
      </c>
      <c r="R415" t="s">
        <v>108</v>
      </c>
      <c r="W415" t="s">
        <v>109</v>
      </c>
      <c r="AA415" t="s">
        <v>283</v>
      </c>
      <c r="AB415" t="b">
        <v>0</v>
      </c>
      <c r="AC415" t="b">
        <v>0</v>
      </c>
      <c r="AE415" t="b">
        <v>0</v>
      </c>
      <c r="AG415" t="b">
        <v>0</v>
      </c>
      <c r="AI415" t="b">
        <v>0</v>
      </c>
      <c r="AK415" t="s">
        <v>202</v>
      </c>
      <c r="AL415" t="s">
        <v>66</v>
      </c>
      <c r="AM415" s="3">
        <v>46267</v>
      </c>
      <c r="AN415" s="4">
        <v>0.61185185185185187</v>
      </c>
      <c r="AO415" t="s">
        <v>1503</v>
      </c>
      <c r="AP415" t="s">
        <v>1504</v>
      </c>
      <c r="AQ415" t="s">
        <v>69</v>
      </c>
      <c r="AR415">
        <v>82</v>
      </c>
      <c r="AS415" t="s">
        <v>70</v>
      </c>
      <c r="AT415" t="s">
        <v>1256</v>
      </c>
      <c r="AU415" t="s">
        <v>221</v>
      </c>
      <c r="AV415" t="s">
        <v>184</v>
      </c>
      <c r="AW415" t="str">
        <f t="shared" si="12"/>
        <v>Marketing / Mercadeo</v>
      </c>
      <c r="AX415" t="str">
        <f t="shared" si="13"/>
        <v>321 8334820</v>
      </c>
      <c r="AY415" t="str">
        <f>IFERROR(INDEX(Vacantes!$C:$C,MATCH(AT415,Vacantes!$A:$A,0)),"")</f>
        <v>Regional Andes</v>
      </c>
      <c r="AZ415" t="str">
        <f>IFERROR(INDEX(Vacantes!$D:$D,MATCH(AT415,Vacantes!$A:$A,0)),"")</f>
        <v>23 de octubre de 2026</v>
      </c>
      <c r="BA415" t="str">
        <f>IFERROR(INDEX(Vacantes!$E:$E,MATCH(AT415,Vacantes!$A:$A,0)),"")</f>
        <v>8:30 a.m. a 12:00 p.m.</v>
      </c>
    </row>
    <row r="416" spans="1:53" x14ac:dyDescent="0.15">
      <c r="A416" s="5" t="s">
        <v>1520</v>
      </c>
      <c r="B416" s="5" t="s">
        <v>1521</v>
      </c>
      <c r="C416" s="5" t="s">
        <v>55</v>
      </c>
      <c r="D416" s="5">
        <v>1023163254</v>
      </c>
      <c r="E416" s="5" t="s">
        <v>56</v>
      </c>
      <c r="F416" s="5">
        <v>21</v>
      </c>
      <c r="G416" s="5" t="b">
        <v>1</v>
      </c>
      <c r="H416" s="5"/>
      <c r="I416" s="5" t="s">
        <v>141</v>
      </c>
      <c r="J416" s="5" t="s">
        <v>132</v>
      </c>
      <c r="K416" s="5" t="s">
        <v>1522</v>
      </c>
      <c r="L416" s="5" t="s">
        <v>134</v>
      </c>
      <c r="M416" s="5"/>
      <c r="N416" s="5" t="b">
        <v>1</v>
      </c>
      <c r="O416" s="5" t="b">
        <v>0</v>
      </c>
      <c r="P416" s="5" t="s">
        <v>61</v>
      </c>
      <c r="Q416" s="5" t="s">
        <v>60</v>
      </c>
      <c r="R416" s="5" t="s">
        <v>135</v>
      </c>
      <c r="S416" s="5"/>
      <c r="T416" s="5"/>
      <c r="U416" s="5"/>
      <c r="V416" s="5"/>
      <c r="W416" s="5" t="s">
        <v>108</v>
      </c>
      <c r="X416" s="5"/>
      <c r="Y416" s="5"/>
      <c r="Z416" s="5"/>
      <c r="AA416" s="5"/>
      <c r="AB416" s="5" t="b">
        <v>0</v>
      </c>
      <c r="AC416" s="5" t="b">
        <v>0</v>
      </c>
      <c r="AD416" s="5"/>
      <c r="AE416" s="5" t="b">
        <v>0</v>
      </c>
      <c r="AF416" s="5"/>
      <c r="AG416" s="5" t="b">
        <v>0</v>
      </c>
      <c r="AH416" s="5"/>
      <c r="AI416" s="5" t="b">
        <v>0</v>
      </c>
      <c r="AJ416" s="5"/>
      <c r="AK416" s="5" t="s">
        <v>153</v>
      </c>
      <c r="AL416" s="5" t="s">
        <v>66</v>
      </c>
      <c r="AM416" s="6">
        <v>46257</v>
      </c>
      <c r="AN416" s="7">
        <v>0.77718750000000003</v>
      </c>
      <c r="AO416" s="5">
        <v>3012939394</v>
      </c>
      <c r="AP416" s="5" t="s">
        <v>1523</v>
      </c>
      <c r="AQ416" s="5" t="s">
        <v>69</v>
      </c>
      <c r="AR416" s="5">
        <v>89.5</v>
      </c>
      <c r="AS416" s="5" t="s">
        <v>70</v>
      </c>
      <c r="AT416" s="5" t="s">
        <v>147</v>
      </c>
      <c r="AU416" s="5"/>
      <c r="AV416" s="5" t="s">
        <v>73</v>
      </c>
      <c r="AW416" s="5" t="str">
        <f t="shared" si="12"/>
        <v>Negocios Internacionales</v>
      </c>
      <c r="AX416" s="5" t="str">
        <f t="shared" si="13"/>
        <v>3012939394</v>
      </c>
      <c r="AY416" s="5" t="str">
        <f>IFERROR(INDEX(Vacantes!$C:$C,MATCH(AT416,Vacantes!$A:$A,0)),"")</f>
        <v>Regional Andes</v>
      </c>
      <c r="AZ416" s="5" t="str">
        <f>IFERROR(INDEX(Vacantes!$D:$D,MATCH(AT416,Vacantes!$A:$A,0)),"")</f>
        <v>23 de octubre de 2026</v>
      </c>
      <c r="BA416" s="5" t="str">
        <f>IFERROR(INDEX(Vacantes!$E:$E,MATCH(AT416,Vacantes!$A:$A,0)),"")</f>
        <v>8:30 a.m. a 12:00 p.m.</v>
      </c>
    </row>
    <row r="417" spans="1:53" x14ac:dyDescent="0.15">
      <c r="A417" t="s">
        <v>1875</v>
      </c>
      <c r="B417" t="s">
        <v>1876</v>
      </c>
      <c r="C417" t="s">
        <v>55</v>
      </c>
      <c r="D417">
        <v>1023523538</v>
      </c>
      <c r="E417" t="s">
        <v>76</v>
      </c>
      <c r="F417">
        <v>21</v>
      </c>
      <c r="G417" t="b">
        <v>1</v>
      </c>
      <c r="H417" t="s">
        <v>1877</v>
      </c>
      <c r="I417" t="s">
        <v>141</v>
      </c>
      <c r="J417" t="s">
        <v>1272</v>
      </c>
      <c r="L417" t="s">
        <v>107</v>
      </c>
      <c r="N417" t="b">
        <v>0</v>
      </c>
      <c r="O417" t="b">
        <v>0</v>
      </c>
      <c r="P417" t="s">
        <v>60</v>
      </c>
      <c r="Q417" t="s">
        <v>60</v>
      </c>
      <c r="R417" t="s">
        <v>108</v>
      </c>
      <c r="W417" t="s">
        <v>135</v>
      </c>
      <c r="AB417" t="b">
        <v>0</v>
      </c>
      <c r="AC417" t="b">
        <v>0</v>
      </c>
      <c r="AE417" t="b">
        <v>0</v>
      </c>
      <c r="AG417" t="b">
        <v>0</v>
      </c>
      <c r="AI417" t="b">
        <v>0</v>
      </c>
      <c r="AK417" t="s">
        <v>65</v>
      </c>
      <c r="AL417" t="s">
        <v>66</v>
      </c>
      <c r="AM417" s="3">
        <v>46259</v>
      </c>
      <c r="AN417" s="4">
        <v>0.68896990740740738</v>
      </c>
      <c r="AO417" t="s">
        <v>1878</v>
      </c>
      <c r="AP417" t="s">
        <v>1879</v>
      </c>
      <c r="AQ417" t="s">
        <v>69</v>
      </c>
      <c r="AR417">
        <v>97</v>
      </c>
      <c r="AS417" t="s">
        <v>70</v>
      </c>
      <c r="AT417" t="s">
        <v>147</v>
      </c>
      <c r="AU417" t="s">
        <v>221</v>
      </c>
      <c r="AV417" t="s">
        <v>73</v>
      </c>
      <c r="AW417" t="str">
        <f t="shared" si="12"/>
        <v>Administración de Empresas</v>
      </c>
      <c r="AX417" t="str">
        <f t="shared" si="13"/>
        <v>310 8795621</v>
      </c>
      <c r="AY417" t="str">
        <f>IFERROR(INDEX(Vacantes!$C:$C,MATCH(AT417,Vacantes!$A:$A,0)),"")</f>
        <v>Regional Andes</v>
      </c>
      <c r="AZ417" t="str">
        <f>IFERROR(INDEX(Vacantes!$D:$D,MATCH(AT417,Vacantes!$A:$A,0)),"")</f>
        <v>23 de octubre de 2026</v>
      </c>
      <c r="BA417" t="str">
        <f>IFERROR(INDEX(Vacantes!$E:$E,MATCH(AT417,Vacantes!$A:$A,0)),"")</f>
        <v>8:30 a.m. a 12:00 p.m.</v>
      </c>
    </row>
    <row r="418" spans="1:53" x14ac:dyDescent="0.15">
      <c r="A418" t="s">
        <v>1880</v>
      </c>
      <c r="B418" t="s">
        <v>1881</v>
      </c>
      <c r="C418" t="s">
        <v>55</v>
      </c>
      <c r="D418">
        <v>1006110276</v>
      </c>
      <c r="E418" t="s">
        <v>56</v>
      </c>
      <c r="F418">
        <v>22</v>
      </c>
      <c r="G418" t="b">
        <v>1</v>
      </c>
      <c r="H418" t="s">
        <v>168</v>
      </c>
      <c r="I418" t="s">
        <v>141</v>
      </c>
      <c r="J418" t="s">
        <v>319</v>
      </c>
      <c r="L418" t="s">
        <v>134</v>
      </c>
      <c r="N418" t="b">
        <v>0</v>
      </c>
      <c r="O418" t="b">
        <v>0</v>
      </c>
      <c r="P418" t="s">
        <v>61</v>
      </c>
      <c r="Q418" t="s">
        <v>61</v>
      </c>
      <c r="R418" t="s">
        <v>125</v>
      </c>
      <c r="W418" t="s">
        <v>135</v>
      </c>
      <c r="AB418" t="b">
        <v>0</v>
      </c>
      <c r="AC418" t="b">
        <v>0</v>
      </c>
      <c r="AE418" t="b">
        <v>0</v>
      </c>
      <c r="AG418" t="b">
        <v>0</v>
      </c>
      <c r="AI418" t="b">
        <v>0</v>
      </c>
      <c r="AK418" t="s">
        <v>202</v>
      </c>
      <c r="AL418" t="s">
        <v>66</v>
      </c>
      <c r="AM418" s="3">
        <v>46269</v>
      </c>
      <c r="AN418" s="4">
        <v>0.67434027777777783</v>
      </c>
      <c r="AO418" t="s">
        <v>1882</v>
      </c>
      <c r="AP418" t="s">
        <v>1186</v>
      </c>
      <c r="AQ418" t="s">
        <v>69</v>
      </c>
      <c r="AR418">
        <v>93.8</v>
      </c>
      <c r="AS418" t="s">
        <v>70</v>
      </c>
      <c r="AT418" t="s">
        <v>147</v>
      </c>
      <c r="AU418" t="s">
        <v>72</v>
      </c>
      <c r="AV418" t="s">
        <v>73</v>
      </c>
      <c r="AW418" t="str">
        <f t="shared" si="12"/>
        <v>Negocios Internacionales</v>
      </c>
      <c r="AX418" t="str">
        <f t="shared" si="13"/>
        <v>316 8227783</v>
      </c>
      <c r="AY418" t="str">
        <f>IFERROR(INDEX(Vacantes!$C:$C,MATCH(AT418,Vacantes!$A:$A,0)),"")</f>
        <v>Regional Andes</v>
      </c>
      <c r="AZ418" t="str">
        <f>IFERROR(INDEX(Vacantes!$D:$D,MATCH(AT418,Vacantes!$A:$A,0)),"")</f>
        <v>23 de octubre de 2026</v>
      </c>
      <c r="BA418" t="str">
        <f>IFERROR(INDEX(Vacantes!$E:$E,MATCH(AT418,Vacantes!$A:$A,0)),"")</f>
        <v>8:30 a.m. a 12:00 p.m.</v>
      </c>
    </row>
    <row r="419" spans="1:53" x14ac:dyDescent="0.15">
      <c r="A419" t="s">
        <v>1883</v>
      </c>
      <c r="B419" t="s">
        <v>1884</v>
      </c>
      <c r="C419" t="s">
        <v>55</v>
      </c>
      <c r="D419">
        <v>1043295614</v>
      </c>
      <c r="E419" t="s">
        <v>76</v>
      </c>
      <c r="F419">
        <v>21</v>
      </c>
      <c r="G419" t="b">
        <v>1</v>
      </c>
      <c r="H419" t="s">
        <v>716</v>
      </c>
      <c r="I419" t="s">
        <v>141</v>
      </c>
      <c r="J419" t="s">
        <v>298</v>
      </c>
      <c r="L419" t="s">
        <v>143</v>
      </c>
      <c r="N419" t="b">
        <v>0</v>
      </c>
      <c r="O419" t="b">
        <v>0</v>
      </c>
      <c r="P419" t="s">
        <v>60</v>
      </c>
      <c r="Q419" t="s">
        <v>60</v>
      </c>
      <c r="R419" t="s">
        <v>125</v>
      </c>
      <c r="W419" t="s">
        <v>135</v>
      </c>
      <c r="AB419" t="b">
        <v>0</v>
      </c>
      <c r="AC419" t="b">
        <v>0</v>
      </c>
      <c r="AE419" t="b">
        <v>0</v>
      </c>
      <c r="AG419" t="b">
        <v>0</v>
      </c>
      <c r="AI419" t="b">
        <v>0</v>
      </c>
      <c r="AK419" t="s">
        <v>153</v>
      </c>
      <c r="AL419" t="s">
        <v>66</v>
      </c>
      <c r="AM419" s="3">
        <v>46263</v>
      </c>
      <c r="AN419" s="4">
        <v>0.50192129629629634</v>
      </c>
      <c r="AO419" t="s">
        <v>1885</v>
      </c>
      <c r="AP419" t="s">
        <v>1886</v>
      </c>
      <c r="AQ419" t="s">
        <v>69</v>
      </c>
      <c r="AR419">
        <v>95.9</v>
      </c>
      <c r="AS419" t="s">
        <v>70</v>
      </c>
      <c r="AT419" t="s">
        <v>147</v>
      </c>
      <c r="AU419" t="s">
        <v>72</v>
      </c>
      <c r="AV419" t="s">
        <v>73</v>
      </c>
      <c r="AW419" t="str">
        <f t="shared" si="12"/>
        <v>Ingeniería Industrial</v>
      </c>
      <c r="AX419" t="str">
        <f t="shared" si="13"/>
        <v>300 6894859</v>
      </c>
      <c r="AY419" t="str">
        <f>IFERROR(INDEX(Vacantes!$C:$C,MATCH(AT419,Vacantes!$A:$A,0)),"")</f>
        <v>Regional Andes</v>
      </c>
      <c r="AZ419" t="str">
        <f>IFERROR(INDEX(Vacantes!$D:$D,MATCH(AT419,Vacantes!$A:$A,0)),"")</f>
        <v>23 de octubre de 2026</v>
      </c>
      <c r="BA419" t="str">
        <f>IFERROR(INDEX(Vacantes!$E:$E,MATCH(AT419,Vacantes!$A:$A,0)),"")</f>
        <v>8:30 a.m. a 12:00 p.m.</v>
      </c>
    </row>
    <row r="420" spans="1:53" x14ac:dyDescent="0.15">
      <c r="A420" t="s">
        <v>1887</v>
      </c>
      <c r="B420" t="s">
        <v>1888</v>
      </c>
      <c r="C420" t="s">
        <v>55</v>
      </c>
      <c r="D420">
        <v>1068417699</v>
      </c>
      <c r="E420" t="s">
        <v>56</v>
      </c>
      <c r="F420">
        <v>21</v>
      </c>
      <c r="G420" t="b">
        <v>1</v>
      </c>
      <c r="I420" t="s">
        <v>141</v>
      </c>
      <c r="J420" t="s">
        <v>132</v>
      </c>
      <c r="K420" t="s">
        <v>1840</v>
      </c>
      <c r="L420" t="s">
        <v>143</v>
      </c>
      <c r="N420" t="b">
        <v>0</v>
      </c>
      <c r="O420" t="b">
        <v>0</v>
      </c>
      <c r="P420" t="s">
        <v>60</v>
      </c>
      <c r="Q420" t="s">
        <v>61</v>
      </c>
      <c r="R420" t="s">
        <v>135</v>
      </c>
      <c r="W420" t="s">
        <v>125</v>
      </c>
      <c r="X420" t="s">
        <v>145</v>
      </c>
      <c r="AB420" t="b">
        <v>0</v>
      </c>
      <c r="AC420" t="b">
        <v>0</v>
      </c>
      <c r="AE420" t="b">
        <v>0</v>
      </c>
      <c r="AG420" t="b">
        <v>0</v>
      </c>
      <c r="AI420" t="b">
        <v>0</v>
      </c>
      <c r="AK420" t="s">
        <v>65</v>
      </c>
      <c r="AL420" t="s">
        <v>66</v>
      </c>
      <c r="AM420" s="3">
        <v>46278</v>
      </c>
      <c r="AN420" s="4">
        <v>0.64569444444444446</v>
      </c>
      <c r="AO420" t="s">
        <v>1889</v>
      </c>
      <c r="AP420" t="s">
        <v>1890</v>
      </c>
      <c r="AQ420" t="s">
        <v>69</v>
      </c>
      <c r="AR420">
        <v>73.7</v>
      </c>
      <c r="AS420" t="s">
        <v>70</v>
      </c>
      <c r="AT420" t="s">
        <v>147</v>
      </c>
      <c r="AU420" t="s">
        <v>221</v>
      </c>
      <c r="AV420" t="s">
        <v>73</v>
      </c>
      <c r="AW420" t="str">
        <f t="shared" si="12"/>
        <v>Ingeniería Industrial</v>
      </c>
      <c r="AX420" t="str">
        <f t="shared" si="13"/>
        <v>319 3885124</v>
      </c>
      <c r="AY420" t="str">
        <f>IFERROR(INDEX(Vacantes!$C:$C,MATCH(AT420,Vacantes!$A:$A,0)),"")</f>
        <v>Regional Andes</v>
      </c>
      <c r="AZ420" t="str">
        <f>IFERROR(INDEX(Vacantes!$D:$D,MATCH(AT420,Vacantes!$A:$A,0)),"")</f>
        <v>23 de octubre de 2026</v>
      </c>
      <c r="BA420" t="str">
        <f>IFERROR(INDEX(Vacantes!$E:$E,MATCH(AT420,Vacantes!$A:$A,0)),"")</f>
        <v>8:30 a.m. a 12:00 p.m.</v>
      </c>
    </row>
    <row r="421" spans="1:53" x14ac:dyDescent="0.15">
      <c r="A421" t="s">
        <v>1917</v>
      </c>
      <c r="B421" t="s">
        <v>1918</v>
      </c>
      <c r="C421" t="s">
        <v>55</v>
      </c>
      <c r="D421">
        <v>1082840858</v>
      </c>
      <c r="E421" t="s">
        <v>56</v>
      </c>
      <c r="F421">
        <v>22</v>
      </c>
      <c r="G421" t="b">
        <v>1</v>
      </c>
      <c r="H421" t="s">
        <v>1446</v>
      </c>
      <c r="I421" t="s">
        <v>1002</v>
      </c>
      <c r="J421" t="s">
        <v>1003</v>
      </c>
      <c r="L421" t="s">
        <v>134</v>
      </c>
      <c r="N421" t="b">
        <v>1</v>
      </c>
      <c r="O421" t="b">
        <v>0</v>
      </c>
      <c r="P421" t="s">
        <v>61</v>
      </c>
      <c r="Q421" t="s">
        <v>60</v>
      </c>
      <c r="R421" t="s">
        <v>135</v>
      </c>
      <c r="W421" t="s">
        <v>108</v>
      </c>
      <c r="AB421" t="b">
        <v>0</v>
      </c>
      <c r="AC421" t="b">
        <v>0</v>
      </c>
      <c r="AE421" t="b">
        <v>0</v>
      </c>
      <c r="AG421" t="b">
        <v>0</v>
      </c>
      <c r="AI421" t="b">
        <v>0</v>
      </c>
      <c r="AK421" t="s">
        <v>202</v>
      </c>
      <c r="AL421" t="s">
        <v>66</v>
      </c>
      <c r="AM421" s="3">
        <v>46276</v>
      </c>
      <c r="AN421" s="4">
        <v>0.97430555555555554</v>
      </c>
      <c r="AO421">
        <v>3161364210</v>
      </c>
      <c r="AP421" t="s">
        <v>1919</v>
      </c>
      <c r="AQ421" t="s">
        <v>69</v>
      </c>
      <c r="AR421">
        <v>79.599999999999994</v>
      </c>
      <c r="AS421" t="s">
        <v>70</v>
      </c>
      <c r="AT421" t="s">
        <v>1039</v>
      </c>
      <c r="AU421" t="s">
        <v>221</v>
      </c>
      <c r="AV421" t="s">
        <v>73</v>
      </c>
      <c r="AW421" t="str">
        <f t="shared" si="12"/>
        <v>Negocios Internacionales</v>
      </c>
      <c r="AX421" t="str">
        <f t="shared" si="13"/>
        <v>3161364210</v>
      </c>
      <c r="AY421" t="str">
        <f>IFERROR(INDEX(Vacantes!$C:$C,MATCH(AT421,Vacantes!$A:$A,0)),"")</f>
        <v>Cervecería de Atlántico</v>
      </c>
      <c r="AZ421" t="str">
        <f>IFERROR(INDEX(Vacantes!$D:$D,MATCH(AT421,Vacantes!$A:$A,0)),"")</f>
        <v>23 de octubre de 2026</v>
      </c>
      <c r="BA421" t="str">
        <f>IFERROR(INDEX(Vacantes!$E:$E,MATCH(AT421,Vacantes!$A:$A,0)),"")</f>
        <v>8:30 a.m. a 12:00 p.m.</v>
      </c>
    </row>
    <row r="422" spans="1:53" x14ac:dyDescent="0.15">
      <c r="A422" t="s">
        <v>1920</v>
      </c>
      <c r="B422" t="s">
        <v>1921</v>
      </c>
      <c r="C422" t="s">
        <v>55</v>
      </c>
      <c r="D422">
        <v>1003077773</v>
      </c>
      <c r="E422" t="s">
        <v>76</v>
      </c>
      <c r="F422">
        <v>23</v>
      </c>
      <c r="G422" t="b">
        <v>1</v>
      </c>
      <c r="H422" t="s">
        <v>1922</v>
      </c>
      <c r="I422" t="s">
        <v>1002</v>
      </c>
      <c r="J422" t="s">
        <v>132</v>
      </c>
      <c r="K422" t="s">
        <v>1923</v>
      </c>
      <c r="L422" t="s">
        <v>143</v>
      </c>
      <c r="N422" t="b">
        <v>0</v>
      </c>
      <c r="O422" t="b">
        <v>0</v>
      </c>
      <c r="P422" t="s">
        <v>144</v>
      </c>
      <c r="Q422" t="s">
        <v>144</v>
      </c>
      <c r="R422" t="s">
        <v>125</v>
      </c>
      <c r="W422" t="s">
        <v>89</v>
      </c>
      <c r="AB422" t="b">
        <v>0</v>
      </c>
      <c r="AC422" t="b">
        <v>0</v>
      </c>
      <c r="AE422" t="b">
        <v>0</v>
      </c>
      <c r="AG422" t="b">
        <v>0</v>
      </c>
      <c r="AI422" t="b">
        <v>0</v>
      </c>
      <c r="AK422" t="s">
        <v>94</v>
      </c>
      <c r="AL422" t="s">
        <v>66</v>
      </c>
      <c r="AM422" s="3">
        <v>46274</v>
      </c>
      <c r="AN422" s="4">
        <v>0.57861111111111108</v>
      </c>
      <c r="AO422" t="s">
        <v>1924</v>
      </c>
      <c r="AP422" t="s">
        <v>1925</v>
      </c>
      <c r="AQ422" t="s">
        <v>69</v>
      </c>
      <c r="AR422">
        <v>62.7</v>
      </c>
      <c r="AT422" t="s">
        <v>1039</v>
      </c>
      <c r="AU422" t="s">
        <v>72</v>
      </c>
      <c r="AV422" t="s">
        <v>73</v>
      </c>
      <c r="AW422" t="str">
        <f t="shared" si="12"/>
        <v>Ingeniería Industrial</v>
      </c>
      <c r="AX422" t="str">
        <f t="shared" si="13"/>
        <v>320 6461491</v>
      </c>
      <c r="AY422" t="str">
        <f>IFERROR(INDEX(Vacantes!$C:$C,MATCH(AT422,Vacantes!$A:$A,0)),"")</f>
        <v>Cervecería de Atlántico</v>
      </c>
      <c r="AZ422" t="str">
        <f>IFERROR(INDEX(Vacantes!$D:$D,MATCH(AT422,Vacantes!$A:$A,0)),"")</f>
        <v>23 de octubre de 2026</v>
      </c>
      <c r="BA422" t="str">
        <f>IFERROR(INDEX(Vacantes!$E:$E,MATCH(AT422,Vacantes!$A:$A,0)),"")</f>
        <v>8:30 a.m. a 12:00 p.m.</v>
      </c>
    </row>
    <row r="423" spans="1:53" x14ac:dyDescent="0.15">
      <c r="A423" t="s">
        <v>2188</v>
      </c>
      <c r="B423" t="s">
        <v>2189</v>
      </c>
      <c r="C423" t="s">
        <v>55</v>
      </c>
      <c r="D423">
        <v>1035973289</v>
      </c>
      <c r="E423" t="s">
        <v>76</v>
      </c>
      <c r="F423">
        <v>20</v>
      </c>
      <c r="G423" t="b">
        <v>1</v>
      </c>
      <c r="H423" t="s">
        <v>2190</v>
      </c>
      <c r="I423" t="s">
        <v>141</v>
      </c>
      <c r="J423" t="s">
        <v>100</v>
      </c>
      <c r="L423" t="s">
        <v>107</v>
      </c>
      <c r="N423" t="b">
        <v>0</v>
      </c>
      <c r="O423" t="b">
        <v>0</v>
      </c>
      <c r="P423" t="s">
        <v>144</v>
      </c>
      <c r="Q423" t="s">
        <v>60</v>
      </c>
      <c r="R423" t="s">
        <v>108</v>
      </c>
      <c r="U423" t="s">
        <v>151</v>
      </c>
      <c r="W423" t="s">
        <v>64</v>
      </c>
      <c r="AB423" t="b">
        <v>0</v>
      </c>
      <c r="AC423" t="b">
        <v>0</v>
      </c>
      <c r="AE423" t="b">
        <v>0</v>
      </c>
      <c r="AG423" t="b">
        <v>0</v>
      </c>
      <c r="AI423" t="b">
        <v>0</v>
      </c>
      <c r="AK423" t="s">
        <v>202</v>
      </c>
      <c r="AL423" t="s">
        <v>66</v>
      </c>
      <c r="AM423" s="3">
        <v>46268</v>
      </c>
      <c r="AN423" s="4">
        <v>1.8749999999999999E-3</v>
      </c>
      <c r="AO423" t="s">
        <v>2191</v>
      </c>
      <c r="AP423" t="s">
        <v>2192</v>
      </c>
      <c r="AQ423" t="s">
        <v>69</v>
      </c>
      <c r="AR423">
        <v>93.3</v>
      </c>
      <c r="AS423" t="s">
        <v>85</v>
      </c>
      <c r="AT423" t="s">
        <v>1256</v>
      </c>
      <c r="AU423" t="s">
        <v>221</v>
      </c>
      <c r="AV423" t="s">
        <v>73</v>
      </c>
      <c r="AW423" t="str">
        <f t="shared" si="12"/>
        <v>Administración de Empresas</v>
      </c>
      <c r="AX423" t="str">
        <f t="shared" si="13"/>
        <v>312 7794191</v>
      </c>
      <c r="AY423" t="str">
        <f>IFERROR(INDEX(Vacantes!$C:$C,MATCH(AT423,Vacantes!$A:$A,0)),"")</f>
        <v>Regional Andes</v>
      </c>
      <c r="AZ423" t="str">
        <f>IFERROR(INDEX(Vacantes!$D:$D,MATCH(AT423,Vacantes!$A:$A,0)),"")</f>
        <v>23 de octubre de 2026</v>
      </c>
      <c r="BA423" t="str">
        <f>IFERROR(INDEX(Vacantes!$E:$E,MATCH(AT423,Vacantes!$A:$A,0)),"")</f>
        <v>8:30 a.m. a 12:00 p.m.</v>
      </c>
    </row>
    <row r="424" spans="1:53" x14ac:dyDescent="0.15">
      <c r="A424" t="s">
        <v>2193</v>
      </c>
      <c r="B424" t="s">
        <v>2194</v>
      </c>
      <c r="C424" t="s">
        <v>55</v>
      </c>
      <c r="D424">
        <v>1080260535</v>
      </c>
      <c r="E424" t="s">
        <v>56</v>
      </c>
      <c r="F424">
        <v>21</v>
      </c>
      <c r="G424" t="b">
        <v>1</v>
      </c>
      <c r="H424" t="s">
        <v>159</v>
      </c>
      <c r="I424" t="s">
        <v>141</v>
      </c>
      <c r="J424" t="s">
        <v>132</v>
      </c>
      <c r="K424" t="s">
        <v>385</v>
      </c>
      <c r="L424" t="s">
        <v>107</v>
      </c>
      <c r="N424" t="b">
        <v>0</v>
      </c>
      <c r="O424" t="b">
        <v>0</v>
      </c>
      <c r="P424" t="s">
        <v>60</v>
      </c>
      <c r="Q424" t="s">
        <v>61</v>
      </c>
      <c r="R424" t="s">
        <v>64</v>
      </c>
      <c r="W424" t="s">
        <v>109</v>
      </c>
      <c r="Z424" t="s">
        <v>93</v>
      </c>
      <c r="AA424" t="s">
        <v>283</v>
      </c>
      <c r="AB424" t="b">
        <v>0</v>
      </c>
      <c r="AC424" t="b">
        <v>0</v>
      </c>
      <c r="AE424" t="b">
        <v>0</v>
      </c>
      <c r="AG424" t="b">
        <v>0</v>
      </c>
      <c r="AI424" t="b">
        <v>0</v>
      </c>
      <c r="AK424" t="s">
        <v>202</v>
      </c>
      <c r="AL424" t="s">
        <v>66</v>
      </c>
      <c r="AM424" s="3">
        <v>46277</v>
      </c>
      <c r="AN424" s="4">
        <v>0.48291666666666672</v>
      </c>
      <c r="AO424" t="s">
        <v>2195</v>
      </c>
      <c r="AP424" t="s">
        <v>2196</v>
      </c>
      <c r="AQ424" t="s">
        <v>69</v>
      </c>
      <c r="AR424">
        <v>85.7</v>
      </c>
      <c r="AS424" t="s">
        <v>70</v>
      </c>
      <c r="AT424" t="s">
        <v>1256</v>
      </c>
      <c r="AV424" t="s">
        <v>184</v>
      </c>
      <c r="AW424" t="str">
        <f t="shared" si="12"/>
        <v>Administración de Empresas</v>
      </c>
      <c r="AX424" t="str">
        <f t="shared" si="13"/>
        <v>320 3089591</v>
      </c>
      <c r="AY424" t="str">
        <f>IFERROR(INDEX(Vacantes!$C:$C,MATCH(AT424,Vacantes!$A:$A,0)),"")</f>
        <v>Regional Andes</v>
      </c>
      <c r="AZ424" t="str">
        <f>IFERROR(INDEX(Vacantes!$D:$D,MATCH(AT424,Vacantes!$A:$A,0)),"")</f>
        <v>23 de octubre de 2026</v>
      </c>
      <c r="BA424" t="str">
        <f>IFERROR(INDEX(Vacantes!$E:$E,MATCH(AT424,Vacantes!$A:$A,0)),"")</f>
        <v>8:30 a.m. a 12:00 p.m.</v>
      </c>
    </row>
    <row r="425" spans="1:53" x14ac:dyDescent="0.15">
      <c r="A425" t="s">
        <v>120</v>
      </c>
      <c r="B425" t="s">
        <v>121</v>
      </c>
      <c r="C425" t="s">
        <v>55</v>
      </c>
      <c r="D425">
        <v>1020713951</v>
      </c>
      <c r="E425" t="s">
        <v>56</v>
      </c>
      <c r="F425">
        <v>22</v>
      </c>
      <c r="G425" t="b">
        <v>1</v>
      </c>
      <c r="I425" t="s">
        <v>122</v>
      </c>
      <c r="J425" t="s">
        <v>123</v>
      </c>
      <c r="L425" t="s">
        <v>124</v>
      </c>
      <c r="N425" t="b">
        <v>0</v>
      </c>
      <c r="O425" t="b">
        <v>0</v>
      </c>
      <c r="P425" t="s">
        <v>60</v>
      </c>
      <c r="Q425" t="s">
        <v>61</v>
      </c>
      <c r="R425" t="s">
        <v>125</v>
      </c>
      <c r="W425" t="s">
        <v>62</v>
      </c>
      <c r="AB425" t="b">
        <v>0</v>
      </c>
      <c r="AC425" t="b">
        <v>0</v>
      </c>
      <c r="AE425" t="b">
        <v>0</v>
      </c>
      <c r="AG425" t="b">
        <v>0</v>
      </c>
      <c r="AI425" t="b">
        <v>0</v>
      </c>
      <c r="AK425" t="s">
        <v>65</v>
      </c>
      <c r="AL425" t="s">
        <v>66</v>
      </c>
      <c r="AM425" s="3">
        <v>46256</v>
      </c>
      <c r="AN425" s="4">
        <v>0.86570601851851847</v>
      </c>
      <c r="AO425" t="s">
        <v>126</v>
      </c>
      <c r="AP425" t="s">
        <v>127</v>
      </c>
      <c r="AQ425" t="s">
        <v>69</v>
      </c>
      <c r="AR425">
        <v>98.4</v>
      </c>
      <c r="AS425" t="s">
        <v>70</v>
      </c>
      <c r="AT425" t="s">
        <v>128</v>
      </c>
      <c r="AU425" t="s">
        <v>72</v>
      </c>
      <c r="AV425" t="s">
        <v>73</v>
      </c>
      <c r="AW425" t="str">
        <f t="shared" si="12"/>
        <v>Ingeniería Mecatrónica</v>
      </c>
      <c r="AX425" t="str">
        <f t="shared" si="13"/>
        <v>317 5981002</v>
      </c>
      <c r="AY425" t="str">
        <f>IFERROR(INDEX(Vacantes!$C:$C,MATCH(AT425,Vacantes!$A:$A,0)),"")</f>
        <v>Cervecería de Tocancipá</v>
      </c>
      <c r="AZ425" t="str">
        <f>IFERROR(INDEX(Vacantes!$D:$D,MATCH(AT425,Vacantes!$A:$A,0)),"")</f>
        <v>27 de octubre de 2026</v>
      </c>
      <c r="BA425" t="str">
        <f>IFERROR(INDEX(Vacantes!$E:$E,MATCH(AT425,Vacantes!$A:$A,0)),"")</f>
        <v>12:30 p.m. a 4:00 p.m.</v>
      </c>
    </row>
    <row r="426" spans="1:53" x14ac:dyDescent="0.15">
      <c r="A426" t="s">
        <v>335</v>
      </c>
      <c r="B426" t="s">
        <v>336</v>
      </c>
      <c r="C426" t="s">
        <v>55</v>
      </c>
      <c r="D426">
        <v>1031806915</v>
      </c>
      <c r="E426" t="s">
        <v>76</v>
      </c>
      <c r="F426">
        <v>20</v>
      </c>
      <c r="G426" t="b">
        <v>1</v>
      </c>
      <c r="H426" t="s">
        <v>337</v>
      </c>
      <c r="I426" t="s">
        <v>122</v>
      </c>
      <c r="J426" t="s">
        <v>132</v>
      </c>
      <c r="K426" t="s">
        <v>338</v>
      </c>
      <c r="L426" t="s">
        <v>339</v>
      </c>
      <c r="N426" t="b">
        <v>1</v>
      </c>
      <c r="O426" t="b">
        <v>0</v>
      </c>
      <c r="P426" t="s">
        <v>60</v>
      </c>
      <c r="Q426" t="s">
        <v>60</v>
      </c>
      <c r="R426" t="s">
        <v>125</v>
      </c>
      <c r="W426" t="s">
        <v>125</v>
      </c>
      <c r="X426" t="s">
        <v>315</v>
      </c>
      <c r="AB426" t="b">
        <v>0</v>
      </c>
      <c r="AC426" t="b">
        <v>0</v>
      </c>
      <c r="AE426" t="b">
        <v>0</v>
      </c>
      <c r="AG426" t="b">
        <v>0</v>
      </c>
      <c r="AI426" t="b">
        <v>0</v>
      </c>
      <c r="AK426" t="s">
        <v>153</v>
      </c>
      <c r="AL426" t="s">
        <v>66</v>
      </c>
      <c r="AM426" s="3">
        <v>46266</v>
      </c>
      <c r="AN426" s="4">
        <v>0.68083333333333329</v>
      </c>
      <c r="AO426" t="s">
        <v>340</v>
      </c>
      <c r="AP426" t="s">
        <v>341</v>
      </c>
      <c r="AQ426" t="s">
        <v>69</v>
      </c>
      <c r="AR426">
        <v>95.4</v>
      </c>
      <c r="AS426" t="s">
        <v>85</v>
      </c>
      <c r="AT426" t="s">
        <v>342</v>
      </c>
      <c r="AU426" t="s">
        <v>221</v>
      </c>
      <c r="AV426" t="s">
        <v>73</v>
      </c>
      <c r="AW426" t="str">
        <f t="shared" si="12"/>
        <v>Química</v>
      </c>
      <c r="AX426" t="str">
        <f t="shared" si="13"/>
        <v>312 5091792</v>
      </c>
      <c r="AY426" t="str">
        <f>IFERROR(INDEX(Vacantes!$C:$C,MATCH(AT426,Vacantes!$A:$A,0)),"")</f>
        <v>Cervecería de Tocancipá</v>
      </c>
      <c r="AZ426" t="str">
        <f>IFERROR(INDEX(Vacantes!$D:$D,MATCH(AT426,Vacantes!$A:$A,0)),"")</f>
        <v>27 de octubre de 2026</v>
      </c>
      <c r="BA426" t="str">
        <f>IFERROR(INDEX(Vacantes!$E:$E,MATCH(AT426,Vacantes!$A:$A,0)),"")</f>
        <v>12:30 p.m. a 4:00 p.m.</v>
      </c>
    </row>
    <row r="427" spans="1:53" x14ac:dyDescent="0.15">
      <c r="A427" t="s">
        <v>343</v>
      </c>
      <c r="B427" t="s">
        <v>344</v>
      </c>
      <c r="C427" t="s">
        <v>55</v>
      </c>
      <c r="D427">
        <v>1034276263</v>
      </c>
      <c r="E427" t="s">
        <v>76</v>
      </c>
      <c r="F427">
        <v>22</v>
      </c>
      <c r="G427" t="b">
        <v>1</v>
      </c>
      <c r="I427" t="s">
        <v>122</v>
      </c>
      <c r="J427" t="s">
        <v>234</v>
      </c>
      <c r="L427" t="s">
        <v>305</v>
      </c>
      <c r="N427" t="b">
        <v>1</v>
      </c>
      <c r="O427" t="b">
        <v>0</v>
      </c>
      <c r="P427" t="s">
        <v>60</v>
      </c>
      <c r="Q427" t="s">
        <v>60</v>
      </c>
      <c r="R427" t="s">
        <v>125</v>
      </c>
      <c r="W427" t="s">
        <v>125</v>
      </c>
      <c r="X427" t="s">
        <v>145</v>
      </c>
      <c r="AB427" t="b">
        <v>0</v>
      </c>
      <c r="AC427" t="b">
        <v>0</v>
      </c>
      <c r="AE427" t="b">
        <v>0</v>
      </c>
      <c r="AG427" t="b">
        <v>0</v>
      </c>
      <c r="AI427" t="b">
        <v>0</v>
      </c>
      <c r="AK427" t="s">
        <v>94</v>
      </c>
      <c r="AL427" t="s">
        <v>66</v>
      </c>
      <c r="AM427" s="3">
        <v>46255</v>
      </c>
      <c r="AN427" s="4">
        <v>0.54874999999999996</v>
      </c>
      <c r="AO427" t="s">
        <v>345</v>
      </c>
      <c r="AP427" t="s">
        <v>346</v>
      </c>
      <c r="AQ427" t="s">
        <v>69</v>
      </c>
      <c r="AR427">
        <v>84.5</v>
      </c>
      <c r="AS427" t="s">
        <v>85</v>
      </c>
      <c r="AT427" t="s">
        <v>342</v>
      </c>
      <c r="AU427" t="s">
        <v>221</v>
      </c>
      <c r="AV427" t="s">
        <v>73</v>
      </c>
      <c r="AW427" t="str">
        <f t="shared" si="12"/>
        <v>Ingeniería Química</v>
      </c>
      <c r="AX427" t="str">
        <f t="shared" si="13"/>
        <v>324 3928424</v>
      </c>
      <c r="AY427" t="str">
        <f>IFERROR(INDEX(Vacantes!$C:$C,MATCH(AT427,Vacantes!$A:$A,0)),"")</f>
        <v>Cervecería de Tocancipá</v>
      </c>
      <c r="AZ427" t="str">
        <f>IFERROR(INDEX(Vacantes!$D:$D,MATCH(AT427,Vacantes!$A:$A,0)),"")</f>
        <v>27 de octubre de 2026</v>
      </c>
      <c r="BA427" t="str">
        <f>IFERROR(INDEX(Vacantes!$E:$E,MATCH(AT427,Vacantes!$A:$A,0)),"")</f>
        <v>12:30 p.m. a 4:00 p.m.</v>
      </c>
    </row>
    <row r="428" spans="1:53" x14ac:dyDescent="0.15">
      <c r="A428" t="s">
        <v>347</v>
      </c>
      <c r="B428" t="s">
        <v>348</v>
      </c>
      <c r="C428" t="s">
        <v>55</v>
      </c>
      <c r="D428">
        <v>1000698418</v>
      </c>
      <c r="E428" t="s">
        <v>76</v>
      </c>
      <c r="F428">
        <v>22</v>
      </c>
      <c r="G428" t="b">
        <v>1</v>
      </c>
      <c r="I428" t="s">
        <v>122</v>
      </c>
      <c r="J428" t="s">
        <v>78</v>
      </c>
      <c r="L428" t="s">
        <v>305</v>
      </c>
      <c r="N428" t="b">
        <v>0</v>
      </c>
      <c r="O428" t="b">
        <v>0</v>
      </c>
      <c r="P428" t="s">
        <v>61</v>
      </c>
      <c r="Q428" t="s">
        <v>60</v>
      </c>
      <c r="R428" t="s">
        <v>125</v>
      </c>
      <c r="W428" t="s">
        <v>125</v>
      </c>
      <c r="X428" t="s">
        <v>315</v>
      </c>
      <c r="AB428" t="b">
        <v>0</v>
      </c>
      <c r="AC428" t="b">
        <v>0</v>
      </c>
      <c r="AE428" t="b">
        <v>0</v>
      </c>
      <c r="AG428" t="b">
        <v>0</v>
      </c>
      <c r="AI428" t="b">
        <v>0</v>
      </c>
      <c r="AK428" t="s">
        <v>94</v>
      </c>
      <c r="AL428" t="s">
        <v>66</v>
      </c>
      <c r="AM428" s="3">
        <v>46255</v>
      </c>
      <c r="AN428" s="4">
        <v>0.41465277777777781</v>
      </c>
      <c r="AO428">
        <v>3112717077</v>
      </c>
      <c r="AP428" t="s">
        <v>349</v>
      </c>
      <c r="AQ428" t="s">
        <v>69</v>
      </c>
      <c r="AR428">
        <v>92.7</v>
      </c>
      <c r="AS428" t="s">
        <v>70</v>
      </c>
      <c r="AT428" t="s">
        <v>342</v>
      </c>
      <c r="AU428" t="s">
        <v>221</v>
      </c>
      <c r="AV428" t="s">
        <v>73</v>
      </c>
      <c r="AW428" t="str">
        <f t="shared" si="12"/>
        <v>Ingeniería Química</v>
      </c>
      <c r="AX428" t="str">
        <f t="shared" si="13"/>
        <v>3112717077</v>
      </c>
      <c r="AY428" t="str">
        <f>IFERROR(INDEX(Vacantes!$C:$C,MATCH(AT428,Vacantes!$A:$A,0)),"")</f>
        <v>Cervecería de Tocancipá</v>
      </c>
      <c r="AZ428" t="str">
        <f>IFERROR(INDEX(Vacantes!$D:$D,MATCH(AT428,Vacantes!$A:$A,0)),"")</f>
        <v>27 de octubre de 2026</v>
      </c>
      <c r="BA428" t="str">
        <f>IFERROR(INDEX(Vacantes!$E:$E,MATCH(AT428,Vacantes!$A:$A,0)),"")</f>
        <v>12:30 p.m. a 4:00 p.m.</v>
      </c>
    </row>
    <row r="429" spans="1:53" x14ac:dyDescent="0.15">
      <c r="A429" t="s">
        <v>350</v>
      </c>
      <c r="B429" t="s">
        <v>351</v>
      </c>
      <c r="C429" t="s">
        <v>55</v>
      </c>
      <c r="D429">
        <v>1116612016</v>
      </c>
      <c r="E429" t="s">
        <v>76</v>
      </c>
      <c r="F429">
        <v>22</v>
      </c>
      <c r="G429" t="b">
        <v>1</v>
      </c>
      <c r="I429" t="s">
        <v>122</v>
      </c>
      <c r="J429" t="s">
        <v>234</v>
      </c>
      <c r="L429" t="s">
        <v>305</v>
      </c>
      <c r="N429" t="b">
        <v>0</v>
      </c>
      <c r="O429" t="b">
        <v>0</v>
      </c>
      <c r="P429" t="s">
        <v>60</v>
      </c>
      <c r="Q429" t="s">
        <v>61</v>
      </c>
      <c r="R429" t="s">
        <v>125</v>
      </c>
      <c r="W429" t="s">
        <v>125</v>
      </c>
      <c r="X429" t="s">
        <v>315</v>
      </c>
      <c r="AB429" t="b">
        <v>0</v>
      </c>
      <c r="AC429" t="b">
        <v>0</v>
      </c>
      <c r="AE429" t="b">
        <v>0</v>
      </c>
      <c r="AG429" t="b">
        <v>0</v>
      </c>
      <c r="AI429" t="b">
        <v>0</v>
      </c>
      <c r="AK429" t="s">
        <v>65</v>
      </c>
      <c r="AL429" t="s">
        <v>66</v>
      </c>
      <c r="AM429" s="3">
        <v>46278</v>
      </c>
      <c r="AN429" s="4">
        <v>0.5650694444444444</v>
      </c>
      <c r="AO429" t="s">
        <v>352</v>
      </c>
      <c r="AP429" t="s">
        <v>353</v>
      </c>
      <c r="AQ429" t="s">
        <v>69</v>
      </c>
      <c r="AR429">
        <v>94.7</v>
      </c>
      <c r="AS429" t="s">
        <v>70</v>
      </c>
      <c r="AT429" t="s">
        <v>342</v>
      </c>
      <c r="AU429" t="s">
        <v>221</v>
      </c>
      <c r="AV429" t="s">
        <v>73</v>
      </c>
      <c r="AW429" t="str">
        <f t="shared" si="12"/>
        <v>Ingeniería Química</v>
      </c>
      <c r="AX429" t="str">
        <f t="shared" si="13"/>
        <v>310 3244082</v>
      </c>
      <c r="AY429" t="str">
        <f>IFERROR(INDEX(Vacantes!$C:$C,MATCH(AT429,Vacantes!$A:$A,0)),"")</f>
        <v>Cervecería de Tocancipá</v>
      </c>
      <c r="AZ429" t="str">
        <f>IFERROR(INDEX(Vacantes!$D:$D,MATCH(AT429,Vacantes!$A:$A,0)),"")</f>
        <v>27 de octubre de 2026</v>
      </c>
      <c r="BA429" t="str">
        <f>IFERROR(INDEX(Vacantes!$E:$E,MATCH(AT429,Vacantes!$A:$A,0)),"")</f>
        <v>12:30 p.m. a 4:00 p.m.</v>
      </c>
    </row>
    <row r="430" spans="1:53" x14ac:dyDescent="0.15">
      <c r="A430" t="s">
        <v>354</v>
      </c>
      <c r="B430" t="s">
        <v>355</v>
      </c>
      <c r="C430" t="s">
        <v>55</v>
      </c>
      <c r="D430">
        <v>1000159919</v>
      </c>
      <c r="E430" t="s">
        <v>76</v>
      </c>
      <c r="F430">
        <v>24</v>
      </c>
      <c r="G430" t="b">
        <v>1</v>
      </c>
      <c r="H430" t="s">
        <v>88</v>
      </c>
      <c r="I430" t="s">
        <v>122</v>
      </c>
      <c r="J430" t="s">
        <v>123</v>
      </c>
      <c r="L430" t="s">
        <v>356</v>
      </c>
      <c r="N430" t="b">
        <v>1</v>
      </c>
      <c r="O430" t="b">
        <v>0</v>
      </c>
      <c r="P430" t="s">
        <v>60</v>
      </c>
      <c r="Q430" t="s">
        <v>60</v>
      </c>
      <c r="R430" t="s">
        <v>125</v>
      </c>
      <c r="W430" t="s">
        <v>125</v>
      </c>
      <c r="X430" t="s">
        <v>315</v>
      </c>
      <c r="AB430" t="b">
        <v>0</v>
      </c>
      <c r="AC430" t="b">
        <v>0</v>
      </c>
      <c r="AE430" t="b">
        <v>0</v>
      </c>
      <c r="AG430" t="b">
        <v>0</v>
      </c>
      <c r="AI430" t="b">
        <v>0</v>
      </c>
      <c r="AK430" t="s">
        <v>65</v>
      </c>
      <c r="AL430" t="s">
        <v>66</v>
      </c>
      <c r="AM430" s="3">
        <v>46277</v>
      </c>
      <c r="AN430" s="4">
        <v>0.52574074074074073</v>
      </c>
      <c r="AO430" t="s">
        <v>357</v>
      </c>
      <c r="AP430" t="s">
        <v>358</v>
      </c>
      <c r="AQ430" t="s">
        <v>69</v>
      </c>
      <c r="AR430">
        <v>71.8</v>
      </c>
      <c r="AS430" t="s">
        <v>70</v>
      </c>
      <c r="AT430" t="s">
        <v>342</v>
      </c>
      <c r="AU430" t="s">
        <v>221</v>
      </c>
      <c r="AV430" t="s">
        <v>184</v>
      </c>
      <c r="AW430" t="str">
        <f t="shared" si="12"/>
        <v>Ingeniería Ambiental</v>
      </c>
      <c r="AX430" t="str">
        <f t="shared" si="13"/>
        <v>310 6843734</v>
      </c>
      <c r="AY430" t="str">
        <f>IFERROR(INDEX(Vacantes!$C:$C,MATCH(AT430,Vacantes!$A:$A,0)),"")</f>
        <v>Cervecería de Tocancipá</v>
      </c>
      <c r="AZ430" t="str">
        <f>IFERROR(INDEX(Vacantes!$D:$D,MATCH(AT430,Vacantes!$A:$A,0)),"")</f>
        <v>27 de octubre de 2026</v>
      </c>
      <c r="BA430" t="str">
        <f>IFERROR(INDEX(Vacantes!$E:$E,MATCH(AT430,Vacantes!$A:$A,0)),"")</f>
        <v>12:30 p.m. a 4:00 p.m.</v>
      </c>
    </row>
    <row r="431" spans="1:53" x14ac:dyDescent="0.15">
      <c r="A431" t="s">
        <v>359</v>
      </c>
      <c r="B431" t="s">
        <v>360</v>
      </c>
      <c r="C431" t="s">
        <v>55</v>
      </c>
      <c r="D431">
        <v>1005849189</v>
      </c>
      <c r="E431" t="s">
        <v>76</v>
      </c>
      <c r="F431">
        <v>23</v>
      </c>
      <c r="G431" t="b">
        <v>1</v>
      </c>
      <c r="I431" t="s">
        <v>122</v>
      </c>
      <c r="J431" t="s">
        <v>234</v>
      </c>
      <c r="L431" t="s">
        <v>305</v>
      </c>
      <c r="N431" t="b">
        <v>1</v>
      </c>
      <c r="O431" t="b">
        <v>0</v>
      </c>
      <c r="P431" t="s">
        <v>60</v>
      </c>
      <c r="Q431" t="s">
        <v>61</v>
      </c>
      <c r="R431" t="s">
        <v>125</v>
      </c>
      <c r="W431" t="s">
        <v>89</v>
      </c>
      <c r="AB431" t="b">
        <v>0</v>
      </c>
      <c r="AC431" t="b">
        <v>0</v>
      </c>
      <c r="AE431" t="b">
        <v>0</v>
      </c>
      <c r="AG431" t="b">
        <v>0</v>
      </c>
      <c r="AI431" t="b">
        <v>0</v>
      </c>
      <c r="AK431" t="s">
        <v>94</v>
      </c>
      <c r="AL431" t="s">
        <v>66</v>
      </c>
      <c r="AM431" s="3">
        <v>46257</v>
      </c>
      <c r="AN431" s="4">
        <v>0.77718750000000003</v>
      </c>
      <c r="AO431" t="s">
        <v>361</v>
      </c>
      <c r="AP431" t="s">
        <v>362</v>
      </c>
      <c r="AQ431" t="s">
        <v>69</v>
      </c>
      <c r="AR431">
        <v>97.5</v>
      </c>
      <c r="AS431" t="s">
        <v>70</v>
      </c>
      <c r="AT431" t="s">
        <v>342</v>
      </c>
      <c r="AU431" t="s">
        <v>221</v>
      </c>
      <c r="AV431" t="s">
        <v>184</v>
      </c>
      <c r="AW431" t="str">
        <f t="shared" si="12"/>
        <v>Ingeniería Química</v>
      </c>
      <c r="AX431" t="str">
        <f t="shared" si="13"/>
        <v>304 4262137</v>
      </c>
      <c r="AY431" t="str">
        <f>IFERROR(INDEX(Vacantes!$C:$C,MATCH(AT431,Vacantes!$A:$A,0)),"")</f>
        <v>Cervecería de Tocancipá</v>
      </c>
      <c r="AZ431" t="str">
        <f>IFERROR(INDEX(Vacantes!$D:$D,MATCH(AT431,Vacantes!$A:$A,0)),"")</f>
        <v>27 de octubre de 2026</v>
      </c>
      <c r="BA431" t="str">
        <f>IFERROR(INDEX(Vacantes!$E:$E,MATCH(AT431,Vacantes!$A:$A,0)),"")</f>
        <v>12:30 p.m. a 4:00 p.m.</v>
      </c>
    </row>
    <row r="432" spans="1:53" x14ac:dyDescent="0.15">
      <c r="A432" t="s">
        <v>363</v>
      </c>
      <c r="B432" t="s">
        <v>364</v>
      </c>
      <c r="C432" t="s">
        <v>55</v>
      </c>
      <c r="D432">
        <v>1003908604</v>
      </c>
      <c r="E432" t="s">
        <v>76</v>
      </c>
      <c r="F432">
        <v>23</v>
      </c>
      <c r="G432" t="b">
        <v>1</v>
      </c>
      <c r="H432" t="s">
        <v>365</v>
      </c>
      <c r="I432" t="s">
        <v>122</v>
      </c>
      <c r="J432" t="s">
        <v>132</v>
      </c>
      <c r="K432" t="s">
        <v>366</v>
      </c>
      <c r="L432" t="s">
        <v>339</v>
      </c>
      <c r="N432" t="b">
        <v>1</v>
      </c>
      <c r="O432" t="b">
        <v>0</v>
      </c>
      <c r="P432" t="s">
        <v>60</v>
      </c>
      <c r="Q432" t="s">
        <v>60</v>
      </c>
      <c r="R432" t="s">
        <v>125</v>
      </c>
      <c r="W432" t="s">
        <v>125</v>
      </c>
      <c r="X432" t="s">
        <v>315</v>
      </c>
      <c r="AB432" t="b">
        <v>0</v>
      </c>
      <c r="AC432" t="b">
        <v>0</v>
      </c>
      <c r="AE432" t="b">
        <v>0</v>
      </c>
      <c r="AG432" t="b">
        <v>0</v>
      </c>
      <c r="AI432" t="b">
        <v>0</v>
      </c>
      <c r="AK432" t="s">
        <v>153</v>
      </c>
      <c r="AL432" t="s">
        <v>66</v>
      </c>
      <c r="AM432" s="3">
        <v>46267</v>
      </c>
      <c r="AN432" s="4">
        <v>0.92650462962962965</v>
      </c>
      <c r="AO432" t="s">
        <v>367</v>
      </c>
      <c r="AP432" t="s">
        <v>368</v>
      </c>
      <c r="AQ432" t="s">
        <v>69</v>
      </c>
      <c r="AR432">
        <v>91.5</v>
      </c>
      <c r="AS432" t="s">
        <v>70</v>
      </c>
      <c r="AT432" t="s">
        <v>342</v>
      </c>
      <c r="AU432" t="s">
        <v>221</v>
      </c>
      <c r="AV432" t="s">
        <v>184</v>
      </c>
      <c r="AW432" t="str">
        <f t="shared" si="12"/>
        <v>Química</v>
      </c>
      <c r="AX432" t="str">
        <f t="shared" si="13"/>
        <v>316 3164613</v>
      </c>
      <c r="AY432" t="str">
        <f>IFERROR(INDEX(Vacantes!$C:$C,MATCH(AT432,Vacantes!$A:$A,0)),"")</f>
        <v>Cervecería de Tocancipá</v>
      </c>
      <c r="AZ432" t="str">
        <f>IFERROR(INDEX(Vacantes!$D:$D,MATCH(AT432,Vacantes!$A:$A,0)),"")</f>
        <v>27 de octubre de 2026</v>
      </c>
      <c r="BA432" t="str">
        <f>IFERROR(INDEX(Vacantes!$E:$E,MATCH(AT432,Vacantes!$A:$A,0)),"")</f>
        <v>12:30 p.m. a 4:00 p.m.</v>
      </c>
    </row>
    <row r="433" spans="1:53" x14ac:dyDescent="0.15">
      <c r="A433" t="s">
        <v>369</v>
      </c>
      <c r="B433" t="s">
        <v>370</v>
      </c>
      <c r="C433" t="s">
        <v>55</v>
      </c>
      <c r="D433">
        <v>1054543116</v>
      </c>
      <c r="E433" t="s">
        <v>56</v>
      </c>
      <c r="F433">
        <v>21</v>
      </c>
      <c r="G433" t="b">
        <v>1</v>
      </c>
      <c r="H433" t="s">
        <v>371</v>
      </c>
      <c r="I433" t="s">
        <v>122</v>
      </c>
      <c r="J433" t="s">
        <v>372</v>
      </c>
      <c r="L433" t="s">
        <v>132</v>
      </c>
      <c r="M433" t="s">
        <v>373</v>
      </c>
      <c r="N433" t="b">
        <v>0</v>
      </c>
      <c r="O433" t="b">
        <v>0</v>
      </c>
      <c r="P433" t="s">
        <v>60</v>
      </c>
      <c r="Q433" t="s">
        <v>144</v>
      </c>
      <c r="R433" t="s">
        <v>125</v>
      </c>
      <c r="W433" t="s">
        <v>125</v>
      </c>
      <c r="X433" t="s">
        <v>315</v>
      </c>
      <c r="AB433" t="b">
        <v>0</v>
      </c>
      <c r="AC433" t="b">
        <v>0</v>
      </c>
      <c r="AE433" t="b">
        <v>0</v>
      </c>
      <c r="AG433" t="b">
        <v>0</v>
      </c>
      <c r="AI433" t="b">
        <v>0</v>
      </c>
      <c r="AK433" t="s">
        <v>202</v>
      </c>
      <c r="AL433" t="s">
        <v>66</v>
      </c>
      <c r="AM433" s="3">
        <v>46259</v>
      </c>
      <c r="AN433" s="4">
        <v>0.68896990740740738</v>
      </c>
      <c r="AO433" t="s">
        <v>374</v>
      </c>
      <c r="AP433" t="s">
        <v>375</v>
      </c>
      <c r="AQ433" t="s">
        <v>69</v>
      </c>
      <c r="AR433">
        <v>80.900000000000006</v>
      </c>
      <c r="AS433" t="s">
        <v>70</v>
      </c>
      <c r="AT433" t="s">
        <v>342</v>
      </c>
      <c r="AU433" t="s">
        <v>221</v>
      </c>
      <c r="AV433" t="s">
        <v>73</v>
      </c>
      <c r="AW433" t="str">
        <f t="shared" si="12"/>
        <v>Ingeniería de manufactura</v>
      </c>
      <c r="AX433" t="str">
        <f t="shared" si="13"/>
        <v>301 6260541</v>
      </c>
      <c r="AY433" t="str">
        <f>IFERROR(INDEX(Vacantes!$C:$C,MATCH(AT433,Vacantes!$A:$A,0)),"")</f>
        <v>Cervecería de Tocancipá</v>
      </c>
      <c r="AZ433" t="str">
        <f>IFERROR(INDEX(Vacantes!$D:$D,MATCH(AT433,Vacantes!$A:$A,0)),"")</f>
        <v>27 de octubre de 2026</v>
      </c>
      <c r="BA433" t="str">
        <f>IFERROR(INDEX(Vacantes!$E:$E,MATCH(AT433,Vacantes!$A:$A,0)),"")</f>
        <v>12:30 p.m. a 4:00 p.m.</v>
      </c>
    </row>
    <row r="434" spans="1:53" x14ac:dyDescent="0.15">
      <c r="A434" t="s">
        <v>558</v>
      </c>
      <c r="B434" t="s">
        <v>559</v>
      </c>
      <c r="C434" t="s">
        <v>55</v>
      </c>
      <c r="D434">
        <v>1053325985</v>
      </c>
      <c r="E434" t="s">
        <v>76</v>
      </c>
      <c r="F434">
        <v>21</v>
      </c>
      <c r="G434" t="b">
        <v>1</v>
      </c>
      <c r="H434" t="s">
        <v>194</v>
      </c>
      <c r="I434" t="s">
        <v>122</v>
      </c>
      <c r="J434" t="s">
        <v>539</v>
      </c>
      <c r="L434" t="s">
        <v>305</v>
      </c>
      <c r="N434" t="b">
        <v>0</v>
      </c>
      <c r="O434" t="b">
        <v>0</v>
      </c>
      <c r="P434" t="s">
        <v>144</v>
      </c>
      <c r="Q434" t="s">
        <v>144</v>
      </c>
      <c r="R434" t="s">
        <v>125</v>
      </c>
      <c r="W434" t="s">
        <v>125</v>
      </c>
      <c r="X434" t="s">
        <v>306</v>
      </c>
      <c r="AB434" t="b">
        <v>0</v>
      </c>
      <c r="AC434" t="b">
        <v>0</v>
      </c>
      <c r="AE434" t="b">
        <v>0</v>
      </c>
      <c r="AG434" t="b">
        <v>0</v>
      </c>
      <c r="AI434" t="b">
        <v>0</v>
      </c>
      <c r="AK434" t="s">
        <v>94</v>
      </c>
      <c r="AL434" t="s">
        <v>66</v>
      </c>
      <c r="AM434" s="3">
        <v>46258</v>
      </c>
      <c r="AN434" s="4">
        <v>0.30351851851851852</v>
      </c>
      <c r="AO434" t="s">
        <v>560</v>
      </c>
      <c r="AP434" t="s">
        <v>561</v>
      </c>
      <c r="AQ434" t="s">
        <v>69</v>
      </c>
      <c r="AR434">
        <v>93.2</v>
      </c>
      <c r="AS434" t="s">
        <v>70</v>
      </c>
      <c r="AT434" t="s">
        <v>128</v>
      </c>
      <c r="AU434" t="s">
        <v>221</v>
      </c>
      <c r="AV434" t="s">
        <v>73</v>
      </c>
      <c r="AW434" t="str">
        <f t="shared" si="12"/>
        <v>Ingeniería Química</v>
      </c>
      <c r="AX434" t="str">
        <f t="shared" si="13"/>
        <v>317 4197224</v>
      </c>
      <c r="AY434" t="str">
        <f>IFERROR(INDEX(Vacantes!$C:$C,MATCH(AT434,Vacantes!$A:$A,0)),"")</f>
        <v>Cervecería de Tocancipá</v>
      </c>
      <c r="AZ434" t="str">
        <f>IFERROR(INDEX(Vacantes!$D:$D,MATCH(AT434,Vacantes!$A:$A,0)),"")</f>
        <v>27 de octubre de 2026</v>
      </c>
      <c r="BA434" t="str">
        <f>IFERROR(INDEX(Vacantes!$E:$E,MATCH(AT434,Vacantes!$A:$A,0)),"")</f>
        <v>12:30 p.m. a 4:00 p.m.</v>
      </c>
    </row>
    <row r="435" spans="1:53" x14ac:dyDescent="0.15">
      <c r="A435" t="s">
        <v>562</v>
      </c>
      <c r="B435" t="s">
        <v>563</v>
      </c>
      <c r="C435" t="s">
        <v>55</v>
      </c>
      <c r="D435">
        <v>1076240691</v>
      </c>
      <c r="E435" t="s">
        <v>76</v>
      </c>
      <c r="F435">
        <v>21</v>
      </c>
      <c r="G435" t="b">
        <v>1</v>
      </c>
      <c r="H435" t="s">
        <v>564</v>
      </c>
      <c r="I435" t="s">
        <v>122</v>
      </c>
      <c r="J435" t="s">
        <v>123</v>
      </c>
      <c r="L435" t="s">
        <v>143</v>
      </c>
      <c r="N435" t="b">
        <v>1</v>
      </c>
      <c r="O435" t="b">
        <v>0</v>
      </c>
      <c r="P435" t="s">
        <v>61</v>
      </c>
      <c r="Q435" t="s">
        <v>61</v>
      </c>
      <c r="R435" t="s">
        <v>125</v>
      </c>
      <c r="W435" t="s">
        <v>81</v>
      </c>
      <c r="AB435" t="b">
        <v>0</v>
      </c>
      <c r="AC435" t="b">
        <v>0</v>
      </c>
      <c r="AE435" t="b">
        <v>0</v>
      </c>
      <c r="AG435" t="b">
        <v>0</v>
      </c>
      <c r="AI435" t="b">
        <v>0</v>
      </c>
      <c r="AK435" t="s">
        <v>202</v>
      </c>
      <c r="AL435" t="s">
        <v>66</v>
      </c>
      <c r="AM435" s="3">
        <v>46278</v>
      </c>
      <c r="AN435" s="4">
        <v>0.85767361111111107</v>
      </c>
      <c r="AO435">
        <v>3104776612</v>
      </c>
      <c r="AP435" t="s">
        <v>565</v>
      </c>
      <c r="AQ435" t="s">
        <v>69</v>
      </c>
      <c r="AR435">
        <v>77.7</v>
      </c>
      <c r="AS435" t="s">
        <v>70</v>
      </c>
      <c r="AT435" t="s">
        <v>128</v>
      </c>
      <c r="AU435" t="s">
        <v>221</v>
      </c>
      <c r="AV435" t="s">
        <v>73</v>
      </c>
      <c r="AW435" t="str">
        <f t="shared" si="12"/>
        <v>Ingeniería Industrial</v>
      </c>
      <c r="AX435" t="str">
        <f t="shared" si="13"/>
        <v>3104776612</v>
      </c>
      <c r="AY435" t="str">
        <f>IFERROR(INDEX(Vacantes!$C:$C,MATCH(AT435,Vacantes!$A:$A,0)),"")</f>
        <v>Cervecería de Tocancipá</v>
      </c>
      <c r="AZ435" t="str">
        <f>IFERROR(INDEX(Vacantes!$D:$D,MATCH(AT435,Vacantes!$A:$A,0)),"")</f>
        <v>27 de octubre de 2026</v>
      </c>
      <c r="BA435" t="str">
        <f>IFERROR(INDEX(Vacantes!$E:$E,MATCH(AT435,Vacantes!$A:$A,0)),"")</f>
        <v>12:30 p.m. a 4:00 p.m.</v>
      </c>
    </row>
    <row r="436" spans="1:53" x14ac:dyDescent="0.15">
      <c r="A436" t="s">
        <v>566</v>
      </c>
      <c r="B436" t="s">
        <v>567</v>
      </c>
      <c r="C436" t="s">
        <v>55</v>
      </c>
      <c r="D436">
        <v>1076648963</v>
      </c>
      <c r="E436" t="s">
        <v>76</v>
      </c>
      <c r="F436">
        <v>21</v>
      </c>
      <c r="G436" t="b">
        <v>1</v>
      </c>
      <c r="H436" t="s">
        <v>568</v>
      </c>
      <c r="I436" t="s">
        <v>122</v>
      </c>
      <c r="J436" t="s">
        <v>123</v>
      </c>
      <c r="L436" t="s">
        <v>124</v>
      </c>
      <c r="N436" t="b">
        <v>1</v>
      </c>
      <c r="O436" t="b">
        <v>0</v>
      </c>
      <c r="P436" t="s">
        <v>60</v>
      </c>
      <c r="Q436" t="s">
        <v>60</v>
      </c>
      <c r="R436" t="s">
        <v>125</v>
      </c>
      <c r="W436" t="s">
        <v>125</v>
      </c>
      <c r="X436" t="s">
        <v>315</v>
      </c>
      <c r="AB436" t="b">
        <v>0</v>
      </c>
      <c r="AC436" t="b">
        <v>0</v>
      </c>
      <c r="AE436" t="b">
        <v>0</v>
      </c>
      <c r="AG436" t="b">
        <v>1</v>
      </c>
      <c r="AI436" t="b">
        <v>0</v>
      </c>
      <c r="AK436" t="s">
        <v>65</v>
      </c>
      <c r="AL436" t="s">
        <v>66</v>
      </c>
      <c r="AM436" s="3">
        <v>46277</v>
      </c>
      <c r="AN436" s="4">
        <v>0.64800925925925923</v>
      </c>
      <c r="AO436" t="s">
        <v>569</v>
      </c>
      <c r="AP436" t="s">
        <v>570</v>
      </c>
      <c r="AQ436" t="s">
        <v>69</v>
      </c>
      <c r="AR436">
        <v>73.8</v>
      </c>
      <c r="AS436" t="s">
        <v>70</v>
      </c>
      <c r="AT436" t="s">
        <v>128</v>
      </c>
      <c r="AU436" t="s">
        <v>221</v>
      </c>
      <c r="AV436" t="s">
        <v>73</v>
      </c>
      <c r="AW436" t="str">
        <f t="shared" si="12"/>
        <v>Ingeniería Mecatrónica</v>
      </c>
      <c r="AX436" t="str">
        <f t="shared" si="13"/>
        <v>300 4381621</v>
      </c>
      <c r="AY436" t="str">
        <f>IFERROR(INDEX(Vacantes!$C:$C,MATCH(AT436,Vacantes!$A:$A,0)),"")</f>
        <v>Cervecería de Tocancipá</v>
      </c>
      <c r="AZ436" t="str">
        <f>IFERROR(INDEX(Vacantes!$D:$D,MATCH(AT436,Vacantes!$A:$A,0)),"")</f>
        <v>27 de octubre de 2026</v>
      </c>
      <c r="BA436" t="str">
        <f>IFERROR(INDEX(Vacantes!$E:$E,MATCH(AT436,Vacantes!$A:$A,0)),"")</f>
        <v>12:30 p.m. a 4:00 p.m.</v>
      </c>
    </row>
    <row r="437" spans="1:53" x14ac:dyDescent="0.15">
      <c r="A437" t="s">
        <v>571</v>
      </c>
      <c r="B437" t="s">
        <v>572</v>
      </c>
      <c r="C437" t="s">
        <v>55</v>
      </c>
      <c r="D437">
        <v>1120561289</v>
      </c>
      <c r="E437" t="s">
        <v>56</v>
      </c>
      <c r="F437">
        <v>21</v>
      </c>
      <c r="G437" t="b">
        <v>1</v>
      </c>
      <c r="H437" t="s">
        <v>131</v>
      </c>
      <c r="I437" t="s">
        <v>122</v>
      </c>
      <c r="J437" t="s">
        <v>132</v>
      </c>
      <c r="K437" t="s">
        <v>573</v>
      </c>
      <c r="L437" t="s">
        <v>132</v>
      </c>
      <c r="M437" t="s">
        <v>574</v>
      </c>
      <c r="N437" t="b">
        <v>0</v>
      </c>
      <c r="O437" t="b">
        <v>0</v>
      </c>
      <c r="P437" t="s">
        <v>60</v>
      </c>
      <c r="Q437" t="s">
        <v>61</v>
      </c>
      <c r="R437" t="s">
        <v>125</v>
      </c>
      <c r="W437" t="s">
        <v>125</v>
      </c>
      <c r="X437" t="s">
        <v>306</v>
      </c>
      <c r="AB437" t="b">
        <v>0</v>
      </c>
      <c r="AC437" t="b">
        <v>0</v>
      </c>
      <c r="AE437" t="b">
        <v>0</v>
      </c>
      <c r="AG437" t="b">
        <v>0</v>
      </c>
      <c r="AI437" t="b">
        <v>0</v>
      </c>
      <c r="AK437" t="s">
        <v>94</v>
      </c>
      <c r="AL437" t="s">
        <v>66</v>
      </c>
      <c r="AM437" s="3">
        <v>46265</v>
      </c>
      <c r="AN437" s="4">
        <v>0.92298611111111106</v>
      </c>
      <c r="AO437" t="s">
        <v>575</v>
      </c>
      <c r="AP437" t="s">
        <v>576</v>
      </c>
      <c r="AQ437" t="s">
        <v>69</v>
      </c>
      <c r="AR437">
        <v>77.5</v>
      </c>
      <c r="AS437" t="s">
        <v>70</v>
      </c>
      <c r="AT437" t="s">
        <v>128</v>
      </c>
      <c r="AU437" t="s">
        <v>221</v>
      </c>
      <c r="AV437" t="s">
        <v>73</v>
      </c>
      <c r="AW437" t="str">
        <f t="shared" si="12"/>
        <v>ingenieria mecatronica</v>
      </c>
      <c r="AX437" t="str">
        <f t="shared" si="13"/>
        <v>315 6904793</v>
      </c>
      <c r="AY437" t="str">
        <f>IFERROR(INDEX(Vacantes!$C:$C,MATCH(AT437,Vacantes!$A:$A,0)),"")</f>
        <v>Cervecería de Tocancipá</v>
      </c>
      <c r="AZ437" t="str">
        <f>IFERROR(INDEX(Vacantes!$D:$D,MATCH(AT437,Vacantes!$A:$A,0)),"")</f>
        <v>27 de octubre de 2026</v>
      </c>
      <c r="BA437" t="str">
        <f>IFERROR(INDEX(Vacantes!$E:$E,MATCH(AT437,Vacantes!$A:$A,0)),"")</f>
        <v>12:30 p.m. a 4:00 p.m.</v>
      </c>
    </row>
    <row r="438" spans="1:53" x14ac:dyDescent="0.15">
      <c r="A438" t="s">
        <v>744</v>
      </c>
      <c r="B438" t="s">
        <v>745</v>
      </c>
      <c r="C438" t="s">
        <v>55</v>
      </c>
      <c r="D438">
        <v>1007106198</v>
      </c>
      <c r="E438" t="s">
        <v>76</v>
      </c>
      <c r="F438">
        <v>22</v>
      </c>
      <c r="G438" t="b">
        <v>1</v>
      </c>
      <c r="H438" t="s">
        <v>57</v>
      </c>
      <c r="I438" t="s">
        <v>122</v>
      </c>
      <c r="J438" t="s">
        <v>234</v>
      </c>
      <c r="L438" t="s">
        <v>305</v>
      </c>
      <c r="N438" t="b">
        <v>0</v>
      </c>
      <c r="O438" t="b">
        <v>0</v>
      </c>
      <c r="P438" t="s">
        <v>144</v>
      </c>
      <c r="Q438" t="s">
        <v>60</v>
      </c>
      <c r="R438" t="s">
        <v>125</v>
      </c>
      <c r="W438" t="s">
        <v>125</v>
      </c>
      <c r="X438" t="s">
        <v>145</v>
      </c>
      <c r="AB438" t="b">
        <v>0</v>
      </c>
      <c r="AC438" t="b">
        <v>0</v>
      </c>
      <c r="AE438" t="b">
        <v>0</v>
      </c>
      <c r="AG438" t="b">
        <v>0</v>
      </c>
      <c r="AI438" t="b">
        <v>0</v>
      </c>
      <c r="AK438" t="s">
        <v>94</v>
      </c>
      <c r="AL438" t="s">
        <v>66</v>
      </c>
      <c r="AM438" s="3">
        <v>46262</v>
      </c>
      <c r="AN438" s="4">
        <v>0.6090740740740741</v>
      </c>
      <c r="AO438" t="s">
        <v>746</v>
      </c>
      <c r="AP438" t="s">
        <v>747</v>
      </c>
      <c r="AQ438" t="s">
        <v>69</v>
      </c>
      <c r="AR438">
        <v>88.6</v>
      </c>
      <c r="AS438" t="s">
        <v>70</v>
      </c>
      <c r="AT438" t="s">
        <v>748</v>
      </c>
      <c r="AU438" t="s">
        <v>221</v>
      </c>
      <c r="AV438" t="s">
        <v>73</v>
      </c>
      <c r="AW438" t="str">
        <f t="shared" si="12"/>
        <v>Ingeniería Química</v>
      </c>
      <c r="AX438" t="str">
        <f t="shared" si="13"/>
        <v>319 6517955</v>
      </c>
      <c r="AY438" t="str">
        <f>IFERROR(INDEX(Vacantes!$C:$C,MATCH(AT438,Vacantes!$A:$A,0)),"")</f>
        <v>Cervecería de Tocancipá</v>
      </c>
      <c r="AZ438" t="str">
        <f>IFERROR(INDEX(Vacantes!$D:$D,MATCH(AT438,Vacantes!$A:$A,0)),"")</f>
        <v>27 de octubre de 2026</v>
      </c>
      <c r="BA438" t="str">
        <f>IFERROR(INDEX(Vacantes!$E:$E,MATCH(AT438,Vacantes!$A:$A,0)),"")</f>
        <v>12:30 p.m. a 4:00 p.m.</v>
      </c>
    </row>
    <row r="439" spans="1:53" x14ac:dyDescent="0.15">
      <c r="A439" t="s">
        <v>749</v>
      </c>
      <c r="B439" t="s">
        <v>750</v>
      </c>
      <c r="C439" t="s">
        <v>55</v>
      </c>
      <c r="D439">
        <v>1013108958</v>
      </c>
      <c r="E439" t="s">
        <v>56</v>
      </c>
      <c r="F439">
        <v>18</v>
      </c>
      <c r="G439" t="b">
        <v>1</v>
      </c>
      <c r="I439" t="s">
        <v>122</v>
      </c>
      <c r="J439" t="s">
        <v>463</v>
      </c>
      <c r="L439" t="s">
        <v>612</v>
      </c>
      <c r="N439" t="b">
        <v>0</v>
      </c>
      <c r="O439" t="b">
        <v>0</v>
      </c>
      <c r="P439" t="s">
        <v>61</v>
      </c>
      <c r="Q439" t="s">
        <v>60</v>
      </c>
      <c r="R439" t="s">
        <v>125</v>
      </c>
      <c r="W439" t="s">
        <v>125</v>
      </c>
      <c r="X439" t="s">
        <v>315</v>
      </c>
      <c r="AB439" t="b">
        <v>0</v>
      </c>
      <c r="AC439" t="b">
        <v>0</v>
      </c>
      <c r="AE439" t="b">
        <v>0</v>
      </c>
      <c r="AG439" t="b">
        <v>0</v>
      </c>
      <c r="AI439" t="b">
        <v>0</v>
      </c>
      <c r="AK439" t="s">
        <v>202</v>
      </c>
      <c r="AL439" t="s">
        <v>66</v>
      </c>
      <c r="AM439" s="3">
        <v>46256</v>
      </c>
      <c r="AN439" s="4">
        <v>0.42581018518518521</v>
      </c>
      <c r="AO439">
        <v>3112427382</v>
      </c>
      <c r="AP439" t="s">
        <v>751</v>
      </c>
      <c r="AQ439" t="s">
        <v>69</v>
      </c>
      <c r="AR439">
        <v>88.8</v>
      </c>
      <c r="AS439" t="s">
        <v>70</v>
      </c>
      <c r="AT439" t="s">
        <v>748</v>
      </c>
      <c r="AU439" t="s">
        <v>221</v>
      </c>
      <c r="AV439" t="s">
        <v>73</v>
      </c>
      <c r="AW439" t="str">
        <f t="shared" si="12"/>
        <v>Ingeniería Mecánica</v>
      </c>
      <c r="AX439" t="str">
        <f t="shared" si="13"/>
        <v>3112427382</v>
      </c>
      <c r="AY439" t="str">
        <f>IFERROR(INDEX(Vacantes!$C:$C,MATCH(AT439,Vacantes!$A:$A,0)),"")</f>
        <v>Cervecería de Tocancipá</v>
      </c>
      <c r="AZ439" t="str">
        <f>IFERROR(INDEX(Vacantes!$D:$D,MATCH(AT439,Vacantes!$A:$A,0)),"")</f>
        <v>27 de octubre de 2026</v>
      </c>
      <c r="BA439" t="str">
        <f>IFERROR(INDEX(Vacantes!$E:$E,MATCH(AT439,Vacantes!$A:$A,0)),"")</f>
        <v>12:30 p.m. a 4:00 p.m.</v>
      </c>
    </row>
    <row r="440" spans="1:53" x14ac:dyDescent="0.15">
      <c r="A440" t="s">
        <v>752</v>
      </c>
      <c r="B440" t="s">
        <v>753</v>
      </c>
      <c r="C440" t="s">
        <v>55</v>
      </c>
      <c r="D440">
        <v>1023162766</v>
      </c>
      <c r="E440" t="s">
        <v>56</v>
      </c>
      <c r="F440">
        <v>21</v>
      </c>
      <c r="G440" t="b">
        <v>1</v>
      </c>
      <c r="H440" t="s">
        <v>754</v>
      </c>
      <c r="I440" t="s">
        <v>122</v>
      </c>
      <c r="J440" t="s">
        <v>463</v>
      </c>
      <c r="L440" t="s">
        <v>755</v>
      </c>
      <c r="N440" t="b">
        <v>1</v>
      </c>
      <c r="O440" t="b">
        <v>0</v>
      </c>
      <c r="P440" t="s">
        <v>60</v>
      </c>
      <c r="Q440" t="s">
        <v>60</v>
      </c>
      <c r="R440" t="s">
        <v>125</v>
      </c>
      <c r="W440" t="s">
        <v>125</v>
      </c>
      <c r="X440" t="s">
        <v>306</v>
      </c>
      <c r="AB440" t="b">
        <v>0</v>
      </c>
      <c r="AC440" t="b">
        <v>0</v>
      </c>
      <c r="AE440" t="b">
        <v>0</v>
      </c>
      <c r="AG440" t="b">
        <v>0</v>
      </c>
      <c r="AI440" t="b">
        <v>0</v>
      </c>
      <c r="AK440" t="s">
        <v>202</v>
      </c>
      <c r="AL440" t="s">
        <v>66</v>
      </c>
      <c r="AM440" s="3">
        <v>46259</v>
      </c>
      <c r="AN440" s="4">
        <v>0.76331018518518523</v>
      </c>
      <c r="AO440" t="s">
        <v>756</v>
      </c>
      <c r="AP440" t="s">
        <v>757</v>
      </c>
      <c r="AQ440" t="s">
        <v>69</v>
      </c>
      <c r="AR440">
        <v>75.900000000000006</v>
      </c>
      <c r="AS440" t="s">
        <v>70</v>
      </c>
      <c r="AT440" t="s">
        <v>748</v>
      </c>
      <c r="AU440" t="s">
        <v>221</v>
      </c>
      <c r="AV440" t="s">
        <v>73</v>
      </c>
      <c r="AW440" t="str">
        <f t="shared" si="12"/>
        <v>Ingeniería Eléctrica</v>
      </c>
      <c r="AX440" t="str">
        <f t="shared" si="13"/>
        <v>310 2167568</v>
      </c>
      <c r="AY440" t="str">
        <f>IFERROR(INDEX(Vacantes!$C:$C,MATCH(AT440,Vacantes!$A:$A,0)),"")</f>
        <v>Cervecería de Tocancipá</v>
      </c>
      <c r="AZ440" t="str">
        <f>IFERROR(INDEX(Vacantes!$D:$D,MATCH(AT440,Vacantes!$A:$A,0)),"")</f>
        <v>27 de octubre de 2026</v>
      </c>
      <c r="BA440" t="str">
        <f>IFERROR(INDEX(Vacantes!$E:$E,MATCH(AT440,Vacantes!$A:$A,0)),"")</f>
        <v>12:30 p.m. a 4:00 p.m.</v>
      </c>
    </row>
    <row r="441" spans="1:53" x14ac:dyDescent="0.15">
      <c r="A441" t="s">
        <v>758</v>
      </c>
      <c r="B441" t="s">
        <v>759</v>
      </c>
      <c r="C441" t="s">
        <v>55</v>
      </c>
      <c r="D441">
        <v>1000327103</v>
      </c>
      <c r="E441" t="s">
        <v>56</v>
      </c>
      <c r="F441">
        <v>23</v>
      </c>
      <c r="G441" t="b">
        <v>1</v>
      </c>
      <c r="I441" t="s">
        <v>122</v>
      </c>
      <c r="J441" t="s">
        <v>123</v>
      </c>
      <c r="L441" t="s">
        <v>124</v>
      </c>
      <c r="N441" t="b">
        <v>0</v>
      </c>
      <c r="O441" t="b">
        <v>0</v>
      </c>
      <c r="P441" t="s">
        <v>60</v>
      </c>
      <c r="Q441" t="s">
        <v>60</v>
      </c>
      <c r="R441" t="s">
        <v>125</v>
      </c>
      <c r="W441" t="s">
        <v>62</v>
      </c>
      <c r="AB441" t="b">
        <v>0</v>
      </c>
      <c r="AC441" t="b">
        <v>0</v>
      </c>
      <c r="AE441" t="b">
        <v>0</v>
      </c>
      <c r="AG441" t="b">
        <v>0</v>
      </c>
      <c r="AI441" t="b">
        <v>0</v>
      </c>
      <c r="AK441" t="s">
        <v>94</v>
      </c>
      <c r="AL441" t="s">
        <v>66</v>
      </c>
      <c r="AM441" s="3">
        <v>46275</v>
      </c>
      <c r="AN441" s="4">
        <v>0.63245370370370368</v>
      </c>
      <c r="AO441" t="s">
        <v>760</v>
      </c>
      <c r="AP441" t="s">
        <v>761</v>
      </c>
      <c r="AQ441" t="s">
        <v>69</v>
      </c>
      <c r="AR441">
        <v>94.1</v>
      </c>
      <c r="AS441" t="s">
        <v>70</v>
      </c>
      <c r="AT441" t="s">
        <v>748</v>
      </c>
      <c r="AU441" t="s">
        <v>221</v>
      </c>
      <c r="AV441" t="s">
        <v>73</v>
      </c>
      <c r="AW441" t="str">
        <f t="shared" si="12"/>
        <v>Ingeniería Mecatrónica</v>
      </c>
      <c r="AX441" t="str">
        <f t="shared" si="13"/>
        <v>313 3207767</v>
      </c>
      <c r="AY441" t="str">
        <f>IFERROR(INDEX(Vacantes!$C:$C,MATCH(AT441,Vacantes!$A:$A,0)),"")</f>
        <v>Cervecería de Tocancipá</v>
      </c>
      <c r="AZ441" t="str">
        <f>IFERROR(INDEX(Vacantes!$D:$D,MATCH(AT441,Vacantes!$A:$A,0)),"")</f>
        <v>27 de octubre de 2026</v>
      </c>
      <c r="BA441" t="str">
        <f>IFERROR(INDEX(Vacantes!$E:$E,MATCH(AT441,Vacantes!$A:$A,0)),"")</f>
        <v>12:30 p.m. a 4:00 p.m.</v>
      </c>
    </row>
    <row r="442" spans="1:53" x14ac:dyDescent="0.15">
      <c r="A442" t="s">
        <v>762</v>
      </c>
      <c r="B442" t="s">
        <v>763</v>
      </c>
      <c r="C442" t="s">
        <v>55</v>
      </c>
      <c r="D442">
        <v>1034658511</v>
      </c>
      <c r="E442" t="s">
        <v>76</v>
      </c>
      <c r="F442">
        <v>21</v>
      </c>
      <c r="G442" t="b">
        <v>1</v>
      </c>
      <c r="H442" t="s">
        <v>131</v>
      </c>
      <c r="I442" t="s">
        <v>122</v>
      </c>
      <c r="J442" t="s">
        <v>123</v>
      </c>
      <c r="L442" t="s">
        <v>124</v>
      </c>
      <c r="N442" t="b">
        <v>0</v>
      </c>
      <c r="O442" t="b">
        <v>0</v>
      </c>
      <c r="P442" t="s">
        <v>60</v>
      </c>
      <c r="Q442" t="s">
        <v>60</v>
      </c>
      <c r="R442" t="s">
        <v>125</v>
      </c>
      <c r="W442" t="s">
        <v>62</v>
      </c>
      <c r="AB442" t="b">
        <v>0</v>
      </c>
      <c r="AC442" t="b">
        <v>0</v>
      </c>
      <c r="AE442" t="b">
        <v>0</v>
      </c>
      <c r="AG442" t="b">
        <v>0</v>
      </c>
      <c r="AI442" t="b">
        <v>0</v>
      </c>
      <c r="AK442" t="s">
        <v>65</v>
      </c>
      <c r="AL442" t="s">
        <v>66</v>
      </c>
      <c r="AM442" s="3">
        <v>46259</v>
      </c>
      <c r="AN442" s="4">
        <v>0.40982638888888889</v>
      </c>
      <c r="AO442">
        <v>3156386690</v>
      </c>
      <c r="AP442" t="s">
        <v>764</v>
      </c>
      <c r="AQ442" t="s">
        <v>69</v>
      </c>
      <c r="AR442">
        <v>94.4</v>
      </c>
      <c r="AS442" t="s">
        <v>85</v>
      </c>
      <c r="AT442" t="s">
        <v>748</v>
      </c>
      <c r="AU442" t="s">
        <v>221</v>
      </c>
      <c r="AV442" t="s">
        <v>73</v>
      </c>
      <c r="AW442" t="str">
        <f t="shared" si="12"/>
        <v>Ingeniería Mecatrónica</v>
      </c>
      <c r="AX442" t="str">
        <f t="shared" si="13"/>
        <v>3156386690</v>
      </c>
      <c r="AY442" t="str">
        <f>IFERROR(INDEX(Vacantes!$C:$C,MATCH(AT442,Vacantes!$A:$A,0)),"")</f>
        <v>Cervecería de Tocancipá</v>
      </c>
      <c r="AZ442" t="str">
        <f>IFERROR(INDEX(Vacantes!$D:$D,MATCH(AT442,Vacantes!$A:$A,0)),"")</f>
        <v>27 de octubre de 2026</v>
      </c>
      <c r="BA442" t="str">
        <f>IFERROR(INDEX(Vacantes!$E:$E,MATCH(AT442,Vacantes!$A:$A,0)),"")</f>
        <v>12:30 p.m. a 4:00 p.m.</v>
      </c>
    </row>
    <row r="443" spans="1:53" x14ac:dyDescent="0.15">
      <c r="A443" t="s">
        <v>1093</v>
      </c>
      <c r="B443" t="s">
        <v>1094</v>
      </c>
      <c r="C443" t="s">
        <v>55</v>
      </c>
      <c r="D443">
        <v>1014738447</v>
      </c>
      <c r="E443" t="s">
        <v>56</v>
      </c>
      <c r="F443">
        <v>21</v>
      </c>
      <c r="G443" t="b">
        <v>1</v>
      </c>
      <c r="H443" t="s">
        <v>1095</v>
      </c>
      <c r="I443" t="s">
        <v>122</v>
      </c>
      <c r="J443" t="s">
        <v>132</v>
      </c>
      <c r="K443" t="s">
        <v>1096</v>
      </c>
      <c r="L443" t="s">
        <v>755</v>
      </c>
      <c r="N443" t="b">
        <v>1</v>
      </c>
      <c r="O443" t="b">
        <v>0</v>
      </c>
      <c r="P443" t="s">
        <v>144</v>
      </c>
      <c r="Q443" t="s">
        <v>144</v>
      </c>
      <c r="R443" t="s">
        <v>125</v>
      </c>
      <c r="W443" t="s">
        <v>125</v>
      </c>
      <c r="X443" t="s">
        <v>145</v>
      </c>
      <c r="AB443" t="b">
        <v>0</v>
      </c>
      <c r="AC443" t="b">
        <v>0</v>
      </c>
      <c r="AE443" t="b">
        <v>0</v>
      </c>
      <c r="AG443" t="b">
        <v>0</v>
      </c>
      <c r="AI443" t="b">
        <v>0</v>
      </c>
      <c r="AK443" t="s">
        <v>94</v>
      </c>
      <c r="AL443" t="s">
        <v>66</v>
      </c>
      <c r="AM443" s="3">
        <v>46277</v>
      </c>
      <c r="AN443" s="4">
        <v>0.60349537037037038</v>
      </c>
      <c r="AO443">
        <v>3192705164</v>
      </c>
      <c r="AP443" t="s">
        <v>1097</v>
      </c>
      <c r="AQ443" t="s">
        <v>69</v>
      </c>
      <c r="AR443">
        <v>75</v>
      </c>
      <c r="AS443" t="s">
        <v>70</v>
      </c>
      <c r="AT443" t="s">
        <v>1098</v>
      </c>
      <c r="AU443" t="s">
        <v>221</v>
      </c>
      <c r="AV443" t="s">
        <v>184</v>
      </c>
      <c r="AW443" t="str">
        <f t="shared" si="12"/>
        <v>Ingeniería Eléctrica</v>
      </c>
      <c r="AX443" t="str">
        <f t="shared" si="13"/>
        <v>3192705164</v>
      </c>
      <c r="AY443" t="str">
        <f>IFERROR(INDEX(Vacantes!$C:$C,MATCH(AT443,Vacantes!$A:$A,0)),"")</f>
        <v>Cervecería de Tibitó</v>
      </c>
      <c r="AZ443" t="str">
        <f>IFERROR(INDEX(Vacantes!$D:$D,MATCH(AT443,Vacantes!$A:$A,0)),"")</f>
        <v>27 de octubre de 2026</v>
      </c>
      <c r="BA443" t="str">
        <f>IFERROR(INDEX(Vacantes!$E:$E,MATCH(AT443,Vacantes!$A:$A,0)),"")</f>
        <v>12:30 p.m. a 4:00 p.m.</v>
      </c>
    </row>
    <row r="444" spans="1:53" x14ac:dyDescent="0.15">
      <c r="A444" t="s">
        <v>1099</v>
      </c>
      <c r="B444" t="s">
        <v>1100</v>
      </c>
      <c r="C444" t="s">
        <v>55</v>
      </c>
      <c r="D444">
        <v>1013260438</v>
      </c>
      <c r="E444" t="s">
        <v>76</v>
      </c>
      <c r="F444">
        <v>20</v>
      </c>
      <c r="G444" t="b">
        <v>1</v>
      </c>
      <c r="H444" t="s">
        <v>754</v>
      </c>
      <c r="I444" t="s">
        <v>122</v>
      </c>
      <c r="J444" t="s">
        <v>463</v>
      </c>
      <c r="L444" t="s">
        <v>143</v>
      </c>
      <c r="N444" t="b">
        <v>1</v>
      </c>
      <c r="O444" t="b">
        <v>0</v>
      </c>
      <c r="P444" t="s">
        <v>60</v>
      </c>
      <c r="Q444" t="s">
        <v>60</v>
      </c>
      <c r="R444" t="s">
        <v>135</v>
      </c>
      <c r="W444" t="s">
        <v>125</v>
      </c>
      <c r="X444" t="s">
        <v>145</v>
      </c>
      <c r="AB444" t="b">
        <v>0</v>
      </c>
      <c r="AC444" t="b">
        <v>0</v>
      </c>
      <c r="AE444" t="b">
        <v>0</v>
      </c>
      <c r="AG444" t="b">
        <v>0</v>
      </c>
      <c r="AI444" t="b">
        <v>0</v>
      </c>
      <c r="AK444" t="s">
        <v>94</v>
      </c>
      <c r="AL444" t="s">
        <v>66</v>
      </c>
      <c r="AM444" s="3">
        <v>46276</v>
      </c>
      <c r="AN444" s="4">
        <v>0.61670138888888892</v>
      </c>
      <c r="AO444">
        <v>3143606567</v>
      </c>
      <c r="AP444" t="s">
        <v>1101</v>
      </c>
      <c r="AQ444" t="s">
        <v>69</v>
      </c>
      <c r="AR444">
        <v>97</v>
      </c>
      <c r="AS444" t="s">
        <v>70</v>
      </c>
      <c r="AT444" t="s">
        <v>1098</v>
      </c>
      <c r="AU444" t="s">
        <v>221</v>
      </c>
      <c r="AV444" t="s">
        <v>184</v>
      </c>
      <c r="AW444" t="str">
        <f t="shared" si="12"/>
        <v>Ingeniería Industrial</v>
      </c>
      <c r="AX444" t="str">
        <f t="shared" si="13"/>
        <v>3143606567</v>
      </c>
      <c r="AY444" t="str">
        <f>IFERROR(INDEX(Vacantes!$C:$C,MATCH(AT444,Vacantes!$A:$A,0)),"")</f>
        <v>Cervecería de Tibitó</v>
      </c>
      <c r="AZ444" t="str">
        <f>IFERROR(INDEX(Vacantes!$D:$D,MATCH(AT444,Vacantes!$A:$A,0)),"")</f>
        <v>27 de octubre de 2026</v>
      </c>
      <c r="BA444" t="str">
        <f>IFERROR(INDEX(Vacantes!$E:$E,MATCH(AT444,Vacantes!$A:$A,0)),"")</f>
        <v>12:30 p.m. a 4:00 p.m.</v>
      </c>
    </row>
    <row r="445" spans="1:53" x14ac:dyDescent="0.15">
      <c r="A445" t="s">
        <v>1197</v>
      </c>
      <c r="B445" t="s">
        <v>1198</v>
      </c>
      <c r="C445" t="s">
        <v>55</v>
      </c>
      <c r="D445">
        <v>1076241749</v>
      </c>
      <c r="E445" t="s">
        <v>56</v>
      </c>
      <c r="F445">
        <v>21</v>
      </c>
      <c r="G445" t="b">
        <v>1</v>
      </c>
      <c r="H445" t="s">
        <v>1199</v>
      </c>
      <c r="I445" t="s">
        <v>122</v>
      </c>
      <c r="J445" t="s">
        <v>463</v>
      </c>
      <c r="L445" t="s">
        <v>143</v>
      </c>
      <c r="N445" t="b">
        <v>1</v>
      </c>
      <c r="O445" t="b">
        <v>0</v>
      </c>
      <c r="P445" t="s">
        <v>144</v>
      </c>
      <c r="Q445" t="s">
        <v>144</v>
      </c>
      <c r="R445" t="s">
        <v>125</v>
      </c>
      <c r="W445" t="s">
        <v>81</v>
      </c>
      <c r="AB445" t="b">
        <v>0</v>
      </c>
      <c r="AC445" t="b">
        <v>0</v>
      </c>
      <c r="AE445" t="b">
        <v>0</v>
      </c>
      <c r="AG445" t="b">
        <v>0</v>
      </c>
      <c r="AI445" t="b">
        <v>0</v>
      </c>
      <c r="AK445" t="s">
        <v>248</v>
      </c>
      <c r="AL445" t="s">
        <v>66</v>
      </c>
      <c r="AM445" s="3">
        <v>46265</v>
      </c>
      <c r="AN445" s="4">
        <v>0.92298611111111106</v>
      </c>
      <c r="AO445" t="s">
        <v>1200</v>
      </c>
      <c r="AP445" t="s">
        <v>1201</v>
      </c>
      <c r="AQ445" t="s">
        <v>69</v>
      </c>
      <c r="AR445">
        <v>86</v>
      </c>
      <c r="AS445" t="s">
        <v>70</v>
      </c>
      <c r="AT445" t="s">
        <v>1202</v>
      </c>
      <c r="AU445" t="s">
        <v>221</v>
      </c>
      <c r="AV445" t="s">
        <v>73</v>
      </c>
      <c r="AW445" t="str">
        <f t="shared" si="12"/>
        <v>Ingeniería Industrial</v>
      </c>
      <c r="AX445" t="str">
        <f t="shared" si="13"/>
        <v>314 4777000</v>
      </c>
      <c r="AY445" t="str">
        <f>IFERROR(INDEX(Vacantes!$C:$C,MATCH(AT445,Vacantes!$A:$A,0)),"")</f>
        <v>Cervecería de Tocancipá</v>
      </c>
      <c r="AZ445" t="str">
        <f>IFERROR(INDEX(Vacantes!$D:$D,MATCH(AT445,Vacantes!$A:$A,0)),"")</f>
        <v>27 de octubre de 2026</v>
      </c>
      <c r="BA445" t="str">
        <f>IFERROR(INDEX(Vacantes!$E:$E,MATCH(AT445,Vacantes!$A:$A,0)),"")</f>
        <v>12:30 p.m. a 4:00 p.m.</v>
      </c>
    </row>
    <row r="446" spans="1:53" x14ac:dyDescent="0.15">
      <c r="A446" t="s">
        <v>1203</v>
      </c>
      <c r="B446" t="s">
        <v>1204</v>
      </c>
      <c r="C446" t="s">
        <v>55</v>
      </c>
      <c r="D446">
        <v>1018514708</v>
      </c>
      <c r="E446" t="s">
        <v>76</v>
      </c>
      <c r="F446">
        <v>26</v>
      </c>
      <c r="G446" t="b">
        <v>1</v>
      </c>
      <c r="I446" t="s">
        <v>122</v>
      </c>
      <c r="J446" t="s">
        <v>242</v>
      </c>
      <c r="L446" t="s">
        <v>107</v>
      </c>
      <c r="N446" t="b">
        <v>0</v>
      </c>
      <c r="O446" t="b">
        <v>0</v>
      </c>
      <c r="P446" t="s">
        <v>60</v>
      </c>
      <c r="Q446" t="s">
        <v>60</v>
      </c>
      <c r="R446" t="s">
        <v>81</v>
      </c>
      <c r="W446" t="s">
        <v>108</v>
      </c>
      <c r="AB446" t="b">
        <v>0</v>
      </c>
      <c r="AC446" t="b">
        <v>0</v>
      </c>
      <c r="AE446" t="b">
        <v>0</v>
      </c>
      <c r="AG446" t="b">
        <v>0</v>
      </c>
      <c r="AI446" t="b">
        <v>0</v>
      </c>
      <c r="AK446" t="s">
        <v>65</v>
      </c>
      <c r="AL446" t="s">
        <v>66</v>
      </c>
      <c r="AM446" s="3">
        <v>46256</v>
      </c>
      <c r="AN446" s="4">
        <v>0.42581018518518521</v>
      </c>
      <c r="AO446" t="s">
        <v>1205</v>
      </c>
      <c r="AP446" t="s">
        <v>1206</v>
      </c>
      <c r="AQ446" t="s">
        <v>69</v>
      </c>
      <c r="AR446">
        <v>88.5</v>
      </c>
      <c r="AS446" t="s">
        <v>70</v>
      </c>
      <c r="AT446" t="s">
        <v>1202</v>
      </c>
      <c r="AU446" t="s">
        <v>221</v>
      </c>
      <c r="AV446" t="s">
        <v>73</v>
      </c>
      <c r="AW446" t="str">
        <f t="shared" si="12"/>
        <v>Administración de Empresas</v>
      </c>
      <c r="AX446" t="str">
        <f t="shared" si="13"/>
        <v>316 8290681</v>
      </c>
      <c r="AY446" t="str">
        <f>IFERROR(INDEX(Vacantes!$C:$C,MATCH(AT446,Vacantes!$A:$A,0)),"")</f>
        <v>Cervecería de Tocancipá</v>
      </c>
      <c r="AZ446" t="str">
        <f>IFERROR(INDEX(Vacantes!$D:$D,MATCH(AT446,Vacantes!$A:$A,0)),"")</f>
        <v>27 de octubre de 2026</v>
      </c>
      <c r="BA446" t="str">
        <f>IFERROR(INDEX(Vacantes!$E:$E,MATCH(AT446,Vacantes!$A:$A,0)),"")</f>
        <v>12:30 p.m. a 4:00 p.m.</v>
      </c>
    </row>
    <row r="447" spans="1:53" x14ac:dyDescent="0.15">
      <c r="A447" t="s">
        <v>1207</v>
      </c>
      <c r="B447" t="s">
        <v>1208</v>
      </c>
      <c r="C447" t="s">
        <v>55</v>
      </c>
      <c r="D447">
        <v>1034280833</v>
      </c>
      <c r="E447" t="s">
        <v>76</v>
      </c>
      <c r="F447">
        <v>21</v>
      </c>
      <c r="G447" t="b">
        <v>1</v>
      </c>
      <c r="H447" t="s">
        <v>1209</v>
      </c>
      <c r="I447" t="s">
        <v>122</v>
      </c>
      <c r="J447" t="s">
        <v>123</v>
      </c>
      <c r="L447" t="s">
        <v>1043</v>
      </c>
      <c r="N447" t="b">
        <v>0</v>
      </c>
      <c r="O447" t="b">
        <v>0</v>
      </c>
      <c r="P447" t="s">
        <v>144</v>
      </c>
      <c r="Q447" t="s">
        <v>60</v>
      </c>
      <c r="R447" t="s">
        <v>80</v>
      </c>
      <c r="U447" t="s">
        <v>63</v>
      </c>
      <c r="W447" t="s">
        <v>64</v>
      </c>
      <c r="Y447" t="s">
        <v>82</v>
      </c>
      <c r="AB447" t="b">
        <v>0</v>
      </c>
      <c r="AC447" t="b">
        <v>0</v>
      </c>
      <c r="AE447" t="b">
        <v>0</v>
      </c>
      <c r="AG447" t="b">
        <v>0</v>
      </c>
      <c r="AI447" t="b">
        <v>0</v>
      </c>
      <c r="AK447" t="s">
        <v>94</v>
      </c>
      <c r="AL447" t="s">
        <v>66</v>
      </c>
      <c r="AM447" s="3">
        <v>46268</v>
      </c>
      <c r="AN447" s="4">
        <v>0.40910879629629632</v>
      </c>
      <c r="AO447" t="s">
        <v>1210</v>
      </c>
      <c r="AP447" t="s">
        <v>1211</v>
      </c>
      <c r="AQ447" t="s">
        <v>69</v>
      </c>
      <c r="AR447">
        <v>92.3</v>
      </c>
      <c r="AS447" t="s">
        <v>85</v>
      </c>
      <c r="AT447" t="s">
        <v>1202</v>
      </c>
      <c r="AU447" t="s">
        <v>221</v>
      </c>
      <c r="AV447" t="s">
        <v>73</v>
      </c>
      <c r="AW447" t="str">
        <f t="shared" si="12"/>
        <v>Contaduría Pública</v>
      </c>
      <c r="AX447" t="str">
        <f t="shared" si="13"/>
        <v>320 9550447</v>
      </c>
      <c r="AY447" t="str">
        <f>IFERROR(INDEX(Vacantes!$C:$C,MATCH(AT447,Vacantes!$A:$A,0)),"")</f>
        <v>Cervecería de Tocancipá</v>
      </c>
      <c r="AZ447" t="str">
        <f>IFERROR(INDEX(Vacantes!$D:$D,MATCH(AT447,Vacantes!$A:$A,0)),"")</f>
        <v>27 de octubre de 2026</v>
      </c>
      <c r="BA447" t="str">
        <f>IFERROR(INDEX(Vacantes!$E:$E,MATCH(AT447,Vacantes!$A:$A,0)),"")</f>
        <v>12:30 p.m. a 4:00 p.m.</v>
      </c>
    </row>
    <row r="448" spans="1:53" x14ac:dyDescent="0.15">
      <c r="A448" t="s">
        <v>1212</v>
      </c>
      <c r="B448" t="s">
        <v>1213</v>
      </c>
      <c r="C448" t="s">
        <v>55</v>
      </c>
      <c r="D448">
        <v>1019038060</v>
      </c>
      <c r="E448" t="s">
        <v>76</v>
      </c>
      <c r="F448">
        <v>18</v>
      </c>
      <c r="G448" t="b">
        <v>1</v>
      </c>
      <c r="H448" t="s">
        <v>1214</v>
      </c>
      <c r="I448" t="s">
        <v>122</v>
      </c>
      <c r="J448" t="s">
        <v>533</v>
      </c>
      <c r="L448" t="s">
        <v>117</v>
      </c>
      <c r="N448" t="b">
        <v>1</v>
      </c>
      <c r="O448" t="b">
        <v>0</v>
      </c>
      <c r="P448" t="s">
        <v>61</v>
      </c>
      <c r="Q448" t="s">
        <v>61</v>
      </c>
      <c r="R448" t="s">
        <v>108</v>
      </c>
      <c r="W448" t="s">
        <v>113</v>
      </c>
      <c r="AB448" t="b">
        <v>0</v>
      </c>
      <c r="AC448" t="b">
        <v>0</v>
      </c>
      <c r="AE448" t="b">
        <v>0</v>
      </c>
      <c r="AG448" t="b">
        <v>0</v>
      </c>
      <c r="AI448" t="b">
        <v>0</v>
      </c>
      <c r="AK448" t="s">
        <v>94</v>
      </c>
      <c r="AL448" t="s">
        <v>66</v>
      </c>
      <c r="AM448" s="3">
        <v>46265</v>
      </c>
      <c r="AN448" s="4">
        <v>0.37024305555555548</v>
      </c>
      <c r="AO448">
        <v>3013304652</v>
      </c>
      <c r="AP448" t="s">
        <v>1215</v>
      </c>
      <c r="AQ448" t="s">
        <v>69</v>
      </c>
      <c r="AR448">
        <v>79.5</v>
      </c>
      <c r="AS448" t="s">
        <v>70</v>
      </c>
      <c r="AT448" t="s">
        <v>1202</v>
      </c>
      <c r="AU448" t="s">
        <v>221</v>
      </c>
      <c r="AV448" t="s">
        <v>73</v>
      </c>
      <c r="AW448" t="str">
        <f t="shared" si="12"/>
        <v>Marketing / Mercadeo</v>
      </c>
      <c r="AX448" t="str">
        <f t="shared" si="13"/>
        <v>3013304652</v>
      </c>
      <c r="AY448" t="str">
        <f>IFERROR(INDEX(Vacantes!$C:$C,MATCH(AT448,Vacantes!$A:$A,0)),"")</f>
        <v>Cervecería de Tocancipá</v>
      </c>
      <c r="AZ448" t="str">
        <f>IFERROR(INDEX(Vacantes!$D:$D,MATCH(AT448,Vacantes!$A:$A,0)),"")</f>
        <v>27 de octubre de 2026</v>
      </c>
      <c r="BA448" t="str">
        <f>IFERROR(INDEX(Vacantes!$E:$E,MATCH(AT448,Vacantes!$A:$A,0)),"")</f>
        <v>12:30 p.m. a 4:00 p.m.</v>
      </c>
    </row>
    <row r="449" spans="1:53" x14ac:dyDescent="0.15">
      <c r="A449" t="s">
        <v>1216</v>
      </c>
      <c r="B449" t="s">
        <v>1217</v>
      </c>
      <c r="C449" t="s">
        <v>55</v>
      </c>
      <c r="D449">
        <v>1013258565</v>
      </c>
      <c r="E449" t="s">
        <v>76</v>
      </c>
      <c r="F449">
        <v>21</v>
      </c>
      <c r="G449" t="b">
        <v>1</v>
      </c>
      <c r="H449" t="s">
        <v>1218</v>
      </c>
      <c r="I449" t="s">
        <v>122</v>
      </c>
      <c r="J449" t="s">
        <v>106</v>
      </c>
      <c r="L449" t="s">
        <v>132</v>
      </c>
      <c r="M449" t="s">
        <v>1219</v>
      </c>
      <c r="N449" t="b">
        <v>0</v>
      </c>
      <c r="O449" t="b">
        <v>0</v>
      </c>
      <c r="P449" t="s">
        <v>60</v>
      </c>
      <c r="Q449" t="s">
        <v>60</v>
      </c>
      <c r="R449" t="s">
        <v>108</v>
      </c>
      <c r="W449" t="s">
        <v>113</v>
      </c>
      <c r="AB449" t="b">
        <v>0</v>
      </c>
      <c r="AC449" t="b">
        <v>0</v>
      </c>
      <c r="AE449" t="b">
        <v>0</v>
      </c>
      <c r="AG449" t="b">
        <v>0</v>
      </c>
      <c r="AI449" t="b">
        <v>0</v>
      </c>
      <c r="AK449" t="s">
        <v>65</v>
      </c>
      <c r="AL449" t="s">
        <v>66</v>
      </c>
      <c r="AM449" s="3">
        <v>46267</v>
      </c>
      <c r="AN449" s="4">
        <v>0.26954861111111111</v>
      </c>
      <c r="AO449" t="s">
        <v>1220</v>
      </c>
      <c r="AP449" t="s">
        <v>1221</v>
      </c>
      <c r="AQ449" t="s">
        <v>69</v>
      </c>
      <c r="AR449">
        <v>95.4</v>
      </c>
      <c r="AS449" t="s">
        <v>70</v>
      </c>
      <c r="AT449" t="s">
        <v>1202</v>
      </c>
      <c r="AU449" t="s">
        <v>221</v>
      </c>
      <c r="AV449" t="s">
        <v>73</v>
      </c>
      <c r="AW449" t="str">
        <f t="shared" si="12"/>
        <v>Comunicación audiovisual y multimedios</v>
      </c>
      <c r="AX449" t="str">
        <f t="shared" si="13"/>
        <v>312 5370247</v>
      </c>
      <c r="AY449" t="str">
        <f>IFERROR(INDEX(Vacantes!$C:$C,MATCH(AT449,Vacantes!$A:$A,0)),"")</f>
        <v>Cervecería de Tocancipá</v>
      </c>
      <c r="AZ449" t="str">
        <f>IFERROR(INDEX(Vacantes!$D:$D,MATCH(AT449,Vacantes!$A:$A,0)),"")</f>
        <v>27 de octubre de 2026</v>
      </c>
      <c r="BA449" t="str">
        <f>IFERROR(INDEX(Vacantes!$E:$E,MATCH(AT449,Vacantes!$A:$A,0)),"")</f>
        <v>12:30 p.m. a 4:00 p.m.</v>
      </c>
    </row>
    <row r="450" spans="1:53" x14ac:dyDescent="0.15">
      <c r="A450" s="5" t="s">
        <v>1339</v>
      </c>
      <c r="B450" s="5" t="s">
        <v>1340</v>
      </c>
      <c r="C450" s="5" t="s">
        <v>55</v>
      </c>
      <c r="D450" s="5">
        <v>1050604600</v>
      </c>
      <c r="E450" s="5" t="s">
        <v>76</v>
      </c>
      <c r="F450" s="5">
        <v>20</v>
      </c>
      <c r="G450" s="5" t="b">
        <v>1</v>
      </c>
      <c r="H450" s="5"/>
      <c r="I450" s="5" t="s">
        <v>122</v>
      </c>
      <c r="J450" s="5" t="s">
        <v>495</v>
      </c>
      <c r="K450" s="5"/>
      <c r="L450" s="5" t="s">
        <v>134</v>
      </c>
      <c r="M450" s="5"/>
      <c r="N450" s="5" t="b">
        <v>0</v>
      </c>
      <c r="O450" s="5" t="b">
        <v>0</v>
      </c>
      <c r="P450" s="5" t="s">
        <v>60</v>
      </c>
      <c r="Q450" s="5" t="s">
        <v>61</v>
      </c>
      <c r="R450" s="5" t="s">
        <v>135</v>
      </c>
      <c r="S450" s="5"/>
      <c r="T450" s="5"/>
      <c r="U450" s="5"/>
      <c r="V450" s="5"/>
      <c r="W450" s="5" t="s">
        <v>125</v>
      </c>
      <c r="X450" s="5" t="s">
        <v>315</v>
      </c>
      <c r="Y450" s="5"/>
      <c r="Z450" s="5"/>
      <c r="AA450" s="5"/>
      <c r="AB450" s="5" t="b">
        <v>0</v>
      </c>
      <c r="AC450" s="5" t="b">
        <v>0</v>
      </c>
      <c r="AD450" s="5"/>
      <c r="AE450" s="5" t="b">
        <v>0</v>
      </c>
      <c r="AF450" s="5"/>
      <c r="AG450" s="5" t="b">
        <v>0</v>
      </c>
      <c r="AH450" s="5"/>
      <c r="AI450" s="5" t="b">
        <v>0</v>
      </c>
      <c r="AJ450" s="5"/>
      <c r="AK450" s="5" t="s">
        <v>248</v>
      </c>
      <c r="AL450" s="5" t="s">
        <v>66</v>
      </c>
      <c r="AM450" s="6">
        <v>46255</v>
      </c>
      <c r="AN450" s="7">
        <v>0.54874999999999996</v>
      </c>
      <c r="AO450" s="5" t="s">
        <v>1341</v>
      </c>
      <c r="AP450" s="5" t="s">
        <v>1342</v>
      </c>
      <c r="AQ450" s="5" t="s">
        <v>69</v>
      </c>
      <c r="AR450" s="5">
        <v>95.2</v>
      </c>
      <c r="AS450" s="5" t="s">
        <v>70</v>
      </c>
      <c r="AT450" s="5" t="s">
        <v>128</v>
      </c>
      <c r="AU450" s="5" t="s">
        <v>221</v>
      </c>
      <c r="AV450" s="5" t="s">
        <v>73</v>
      </c>
      <c r="AW450" s="5" t="str">
        <f t="shared" ref="AW450:AW502" si="14">IF(L450="Otra",IF(M450="","Otra",M450&amp;""),L450&amp;"")</f>
        <v>Negocios Internacionales</v>
      </c>
      <c r="AX450" s="5" t="str">
        <f t="shared" ref="AX450:AX502" si="15">IF(OR(AO450="",AO450=0),"",TRIM(AO450))</f>
        <v>317 5933601</v>
      </c>
      <c r="AY450" s="5" t="str">
        <f>IFERROR(INDEX(Vacantes!$C:$C,MATCH(AT450,Vacantes!$A:$A,0)),"")</f>
        <v>Cervecería de Tocancipá</v>
      </c>
      <c r="AZ450" s="5" t="str">
        <f>IFERROR(INDEX(Vacantes!$D:$D,MATCH(AT450,Vacantes!$A:$A,0)),"")</f>
        <v>27 de octubre de 2026</v>
      </c>
      <c r="BA450" s="5" t="str">
        <f>IFERROR(INDEX(Vacantes!$E:$E,MATCH(AT450,Vacantes!$A:$A,0)),"")</f>
        <v>12:30 p.m. a 4:00 p.m.</v>
      </c>
    </row>
    <row r="451" spans="1:53" x14ac:dyDescent="0.15">
      <c r="A451" t="s">
        <v>1378</v>
      </c>
      <c r="B451" t="s">
        <v>1379</v>
      </c>
      <c r="C451" t="s">
        <v>55</v>
      </c>
      <c r="D451">
        <v>1003565150</v>
      </c>
      <c r="E451" t="s">
        <v>56</v>
      </c>
      <c r="F451">
        <v>23</v>
      </c>
      <c r="G451" t="b">
        <v>1</v>
      </c>
      <c r="H451" t="s">
        <v>1380</v>
      </c>
      <c r="I451" t="s">
        <v>122</v>
      </c>
      <c r="J451" t="s">
        <v>123</v>
      </c>
      <c r="L451" t="s">
        <v>356</v>
      </c>
      <c r="N451" t="b">
        <v>0</v>
      </c>
      <c r="O451" t="b">
        <v>0</v>
      </c>
      <c r="P451" t="s">
        <v>60</v>
      </c>
      <c r="Q451" t="s">
        <v>60</v>
      </c>
      <c r="R451" t="s">
        <v>125</v>
      </c>
      <c r="W451" t="s">
        <v>62</v>
      </c>
      <c r="AB451" t="b">
        <v>0</v>
      </c>
      <c r="AC451" t="b">
        <v>0</v>
      </c>
      <c r="AE451" t="b">
        <v>0</v>
      </c>
      <c r="AG451" t="b">
        <v>0</v>
      </c>
      <c r="AI451" t="b">
        <v>0</v>
      </c>
      <c r="AK451" t="s">
        <v>65</v>
      </c>
      <c r="AL451" t="s">
        <v>66</v>
      </c>
      <c r="AM451" s="3">
        <v>46277</v>
      </c>
      <c r="AN451" s="4">
        <v>0.54318287037037039</v>
      </c>
      <c r="AO451">
        <v>3147560352</v>
      </c>
      <c r="AP451" t="s">
        <v>1381</v>
      </c>
      <c r="AQ451" t="s">
        <v>69</v>
      </c>
      <c r="AR451">
        <v>77.900000000000006</v>
      </c>
      <c r="AS451" t="s">
        <v>70</v>
      </c>
      <c r="AT451" t="s">
        <v>128</v>
      </c>
      <c r="AU451" t="s">
        <v>221</v>
      </c>
      <c r="AV451" t="s">
        <v>73</v>
      </c>
      <c r="AW451" t="str">
        <f t="shared" si="14"/>
        <v>Ingeniería Ambiental</v>
      </c>
      <c r="AX451" t="str">
        <f t="shared" si="15"/>
        <v>3147560352</v>
      </c>
      <c r="AY451" t="str">
        <f>IFERROR(INDEX(Vacantes!$C:$C,MATCH(AT451,Vacantes!$A:$A,0)),"")</f>
        <v>Cervecería de Tocancipá</v>
      </c>
      <c r="AZ451" t="str">
        <f>IFERROR(INDEX(Vacantes!$D:$D,MATCH(AT451,Vacantes!$A:$A,0)),"")</f>
        <v>27 de octubre de 2026</v>
      </c>
      <c r="BA451" t="str">
        <f>IFERROR(INDEX(Vacantes!$E:$E,MATCH(AT451,Vacantes!$A:$A,0)),"")</f>
        <v>12:30 p.m. a 4:00 p.m.</v>
      </c>
    </row>
    <row r="452" spans="1:53" x14ac:dyDescent="0.15">
      <c r="A452" t="s">
        <v>1414</v>
      </c>
      <c r="B452" t="s">
        <v>1415</v>
      </c>
      <c r="C452" t="s">
        <v>55</v>
      </c>
      <c r="D452">
        <v>1010164509</v>
      </c>
      <c r="E452" t="s">
        <v>76</v>
      </c>
      <c r="F452">
        <v>22</v>
      </c>
      <c r="G452" t="b">
        <v>1</v>
      </c>
      <c r="I452" t="s">
        <v>122</v>
      </c>
      <c r="J452" t="s">
        <v>234</v>
      </c>
      <c r="L452" t="s">
        <v>305</v>
      </c>
      <c r="N452" t="b">
        <v>0</v>
      </c>
      <c r="O452" t="b">
        <v>0</v>
      </c>
      <c r="P452" t="s">
        <v>60</v>
      </c>
      <c r="Q452" t="s">
        <v>61</v>
      </c>
      <c r="R452" t="s">
        <v>125</v>
      </c>
      <c r="W452" t="s">
        <v>125</v>
      </c>
      <c r="X452" t="s">
        <v>145</v>
      </c>
      <c r="AB452" t="b">
        <v>0</v>
      </c>
      <c r="AC452" t="b">
        <v>0</v>
      </c>
      <c r="AE452" t="b">
        <v>0</v>
      </c>
      <c r="AG452" t="b">
        <v>0</v>
      </c>
      <c r="AI452" t="b">
        <v>0</v>
      </c>
      <c r="AK452" t="s">
        <v>94</v>
      </c>
      <c r="AL452" t="s">
        <v>66</v>
      </c>
      <c r="AM452" s="3">
        <v>46277</v>
      </c>
      <c r="AN452" s="4">
        <v>0.66531249999999997</v>
      </c>
      <c r="AO452" t="s">
        <v>1416</v>
      </c>
      <c r="AP452" t="s">
        <v>1417</v>
      </c>
      <c r="AQ452" t="s">
        <v>69</v>
      </c>
      <c r="AR452">
        <v>73.5</v>
      </c>
      <c r="AS452" t="s">
        <v>70</v>
      </c>
      <c r="AT452" t="s">
        <v>748</v>
      </c>
      <c r="AU452" t="s">
        <v>221</v>
      </c>
      <c r="AV452" t="s">
        <v>73</v>
      </c>
      <c r="AW452" t="str">
        <f t="shared" si="14"/>
        <v>Ingeniería Química</v>
      </c>
      <c r="AX452" t="str">
        <f t="shared" si="15"/>
        <v>313 4821880</v>
      </c>
      <c r="AY452" t="str">
        <f>IFERROR(INDEX(Vacantes!$C:$C,MATCH(AT452,Vacantes!$A:$A,0)),"")</f>
        <v>Cervecería de Tocancipá</v>
      </c>
      <c r="AZ452" t="str">
        <f>IFERROR(INDEX(Vacantes!$D:$D,MATCH(AT452,Vacantes!$A:$A,0)),"")</f>
        <v>27 de octubre de 2026</v>
      </c>
      <c r="BA452" t="str">
        <f>IFERROR(INDEX(Vacantes!$E:$E,MATCH(AT452,Vacantes!$A:$A,0)),"")</f>
        <v>12:30 p.m. a 4:00 p.m.</v>
      </c>
    </row>
    <row r="453" spans="1:53" x14ac:dyDescent="0.15">
      <c r="A453" t="s">
        <v>1418</v>
      </c>
      <c r="B453" t="s">
        <v>1419</v>
      </c>
      <c r="C453" t="s">
        <v>55</v>
      </c>
      <c r="D453">
        <v>1076242124</v>
      </c>
      <c r="E453" t="s">
        <v>56</v>
      </c>
      <c r="F453">
        <v>20</v>
      </c>
      <c r="G453" t="b">
        <v>1</v>
      </c>
      <c r="H453" t="s">
        <v>1199</v>
      </c>
      <c r="I453" t="s">
        <v>122</v>
      </c>
      <c r="J453" t="s">
        <v>463</v>
      </c>
      <c r="L453" t="s">
        <v>612</v>
      </c>
      <c r="N453" t="b">
        <v>0</v>
      </c>
      <c r="O453" t="b">
        <v>0</v>
      </c>
      <c r="P453" t="s">
        <v>144</v>
      </c>
      <c r="Q453" t="s">
        <v>60</v>
      </c>
      <c r="R453" t="s">
        <v>125</v>
      </c>
      <c r="W453" t="s">
        <v>125</v>
      </c>
      <c r="X453" t="s">
        <v>332</v>
      </c>
      <c r="AB453" t="b">
        <v>0</v>
      </c>
      <c r="AC453" t="b">
        <v>0</v>
      </c>
      <c r="AE453" t="b">
        <v>0</v>
      </c>
      <c r="AG453" t="b">
        <v>0</v>
      </c>
      <c r="AI453" t="b">
        <v>0</v>
      </c>
      <c r="AK453" t="s">
        <v>94</v>
      </c>
      <c r="AL453" t="s">
        <v>66</v>
      </c>
      <c r="AM453" s="3">
        <v>46278</v>
      </c>
      <c r="AN453" s="4">
        <v>0.50930555555555557</v>
      </c>
      <c r="AO453">
        <v>3132579156</v>
      </c>
      <c r="AP453" t="s">
        <v>1420</v>
      </c>
      <c r="AQ453" t="s">
        <v>69</v>
      </c>
      <c r="AR453">
        <v>73.8</v>
      </c>
      <c r="AS453" t="s">
        <v>70</v>
      </c>
      <c r="AT453" t="s">
        <v>748</v>
      </c>
      <c r="AU453" t="s">
        <v>221</v>
      </c>
      <c r="AV453" t="s">
        <v>73</v>
      </c>
      <c r="AW453" t="str">
        <f t="shared" si="14"/>
        <v>Ingeniería Mecánica</v>
      </c>
      <c r="AX453" t="str">
        <f t="shared" si="15"/>
        <v>3132579156</v>
      </c>
      <c r="AY453" t="str">
        <f>IFERROR(INDEX(Vacantes!$C:$C,MATCH(AT453,Vacantes!$A:$A,0)),"")</f>
        <v>Cervecería de Tocancipá</v>
      </c>
      <c r="AZ453" t="str">
        <f>IFERROR(INDEX(Vacantes!$D:$D,MATCH(AT453,Vacantes!$A:$A,0)),"")</f>
        <v>27 de octubre de 2026</v>
      </c>
      <c r="BA453" t="str">
        <f>IFERROR(INDEX(Vacantes!$E:$E,MATCH(AT453,Vacantes!$A:$A,0)),"")</f>
        <v>12:30 p.m. a 4:00 p.m.</v>
      </c>
    </row>
    <row r="454" spans="1:53" x14ac:dyDescent="0.15">
      <c r="A454" t="s">
        <v>1465</v>
      </c>
      <c r="B454" t="s">
        <v>1466</v>
      </c>
      <c r="C454" t="s">
        <v>55</v>
      </c>
      <c r="D454">
        <v>1016947267</v>
      </c>
      <c r="E454" t="s">
        <v>76</v>
      </c>
      <c r="F454">
        <v>20</v>
      </c>
      <c r="G454" t="b">
        <v>1</v>
      </c>
      <c r="H454" t="s">
        <v>553</v>
      </c>
      <c r="I454" t="s">
        <v>122</v>
      </c>
      <c r="J454" t="s">
        <v>495</v>
      </c>
      <c r="L454" t="s">
        <v>143</v>
      </c>
      <c r="N454" t="b">
        <v>1</v>
      </c>
      <c r="O454" t="b">
        <v>0</v>
      </c>
      <c r="P454" t="s">
        <v>60</v>
      </c>
      <c r="Q454" t="s">
        <v>60</v>
      </c>
      <c r="R454" t="s">
        <v>64</v>
      </c>
      <c r="W454" t="s">
        <v>125</v>
      </c>
      <c r="X454" t="s">
        <v>315</v>
      </c>
      <c r="Z454" t="s">
        <v>93</v>
      </c>
      <c r="AB454" t="b">
        <v>0</v>
      </c>
      <c r="AC454" t="b">
        <v>0</v>
      </c>
      <c r="AE454" t="b">
        <v>0</v>
      </c>
      <c r="AG454" t="b">
        <v>0</v>
      </c>
      <c r="AI454" t="b">
        <v>0</v>
      </c>
      <c r="AK454" t="s">
        <v>94</v>
      </c>
      <c r="AL454" t="s">
        <v>66</v>
      </c>
      <c r="AM454" s="3">
        <v>46265</v>
      </c>
      <c r="AN454" s="4">
        <v>0.45572916666666669</v>
      </c>
      <c r="AO454">
        <v>3209135713</v>
      </c>
      <c r="AP454" t="s">
        <v>1467</v>
      </c>
      <c r="AQ454" t="s">
        <v>69</v>
      </c>
      <c r="AR454">
        <v>84.5</v>
      </c>
      <c r="AS454" t="s">
        <v>70</v>
      </c>
      <c r="AT454" t="s">
        <v>1098</v>
      </c>
      <c r="AU454" t="s">
        <v>221</v>
      </c>
      <c r="AV454" t="s">
        <v>184</v>
      </c>
      <c r="AW454" t="str">
        <f t="shared" si="14"/>
        <v>Ingeniería Industrial</v>
      </c>
      <c r="AX454" t="str">
        <f t="shared" si="15"/>
        <v>3209135713</v>
      </c>
      <c r="AY454" t="str">
        <f>IFERROR(INDEX(Vacantes!$C:$C,MATCH(AT454,Vacantes!$A:$A,0)),"")</f>
        <v>Cervecería de Tibitó</v>
      </c>
      <c r="AZ454" t="str">
        <f>IFERROR(INDEX(Vacantes!$D:$D,MATCH(AT454,Vacantes!$A:$A,0)),"")</f>
        <v>27 de octubre de 2026</v>
      </c>
      <c r="BA454" t="str">
        <f>IFERROR(INDEX(Vacantes!$E:$E,MATCH(AT454,Vacantes!$A:$A,0)),"")</f>
        <v>12:30 p.m. a 4:00 p.m.</v>
      </c>
    </row>
    <row r="455" spans="1:53" x14ac:dyDescent="0.15">
      <c r="A455" t="s">
        <v>1490</v>
      </c>
      <c r="B455" t="s">
        <v>1491</v>
      </c>
      <c r="C455" t="s">
        <v>55</v>
      </c>
      <c r="D455">
        <v>1091965068</v>
      </c>
      <c r="E455" t="s">
        <v>76</v>
      </c>
      <c r="F455">
        <v>23</v>
      </c>
      <c r="G455" t="b">
        <v>1</v>
      </c>
      <c r="H455" t="s">
        <v>140</v>
      </c>
      <c r="I455" t="s">
        <v>122</v>
      </c>
      <c r="J455" t="s">
        <v>142</v>
      </c>
      <c r="L455" t="s">
        <v>143</v>
      </c>
      <c r="N455" t="b">
        <v>0</v>
      </c>
      <c r="O455" t="b">
        <v>0</v>
      </c>
      <c r="P455" t="s">
        <v>60</v>
      </c>
      <c r="Q455" t="s">
        <v>61</v>
      </c>
      <c r="R455" t="s">
        <v>125</v>
      </c>
      <c r="U455" t="s">
        <v>152</v>
      </c>
      <c r="W455" t="s">
        <v>64</v>
      </c>
      <c r="AB455" t="b">
        <v>0</v>
      </c>
      <c r="AC455" t="b">
        <v>0</v>
      </c>
      <c r="AE455" t="b">
        <v>0</v>
      </c>
      <c r="AG455" t="b">
        <v>0</v>
      </c>
      <c r="AI455" t="b">
        <v>0</v>
      </c>
      <c r="AK455" t="s">
        <v>153</v>
      </c>
      <c r="AL455" t="s">
        <v>66</v>
      </c>
      <c r="AM455" s="3">
        <v>46277</v>
      </c>
      <c r="AN455" s="4">
        <v>0.48131944444444452</v>
      </c>
      <c r="AO455">
        <v>3102549573</v>
      </c>
      <c r="AP455" t="s">
        <v>1492</v>
      </c>
      <c r="AQ455" t="s">
        <v>69</v>
      </c>
      <c r="AR455">
        <v>88.9</v>
      </c>
      <c r="AS455" t="s">
        <v>70</v>
      </c>
      <c r="AT455" t="s">
        <v>1202</v>
      </c>
      <c r="AU455" t="s">
        <v>221</v>
      </c>
      <c r="AV455" t="s">
        <v>73</v>
      </c>
      <c r="AW455" t="str">
        <f t="shared" si="14"/>
        <v>Ingeniería Industrial</v>
      </c>
      <c r="AX455" t="str">
        <f t="shared" si="15"/>
        <v>3102549573</v>
      </c>
      <c r="AY455" t="str">
        <f>IFERROR(INDEX(Vacantes!$C:$C,MATCH(AT455,Vacantes!$A:$A,0)),"")</f>
        <v>Cervecería de Tocancipá</v>
      </c>
      <c r="AZ455" t="str">
        <f>IFERROR(INDEX(Vacantes!$D:$D,MATCH(AT455,Vacantes!$A:$A,0)),"")</f>
        <v>27 de octubre de 2026</v>
      </c>
      <c r="BA455" t="str">
        <f>IFERROR(INDEX(Vacantes!$E:$E,MATCH(AT455,Vacantes!$A:$A,0)),"")</f>
        <v>12:30 p.m. a 4:00 p.m.</v>
      </c>
    </row>
    <row r="456" spans="1:53" x14ac:dyDescent="0.15">
      <c r="A456" t="s">
        <v>1602</v>
      </c>
      <c r="B456" t="s">
        <v>1603</v>
      </c>
      <c r="C456" t="s">
        <v>55</v>
      </c>
      <c r="D456">
        <v>1097783237</v>
      </c>
      <c r="E456" t="s">
        <v>76</v>
      </c>
      <c r="F456">
        <v>21</v>
      </c>
      <c r="G456" t="b">
        <v>1</v>
      </c>
      <c r="H456" t="s">
        <v>194</v>
      </c>
      <c r="I456" t="s">
        <v>122</v>
      </c>
      <c r="J456" t="s">
        <v>539</v>
      </c>
      <c r="L456" t="s">
        <v>305</v>
      </c>
      <c r="N456" t="b">
        <v>0</v>
      </c>
      <c r="O456" t="b">
        <v>0</v>
      </c>
      <c r="P456" t="s">
        <v>60</v>
      </c>
      <c r="Q456" t="s">
        <v>61</v>
      </c>
      <c r="R456" t="s">
        <v>125</v>
      </c>
      <c r="W456" t="s">
        <v>135</v>
      </c>
      <c r="AB456" t="b">
        <v>0</v>
      </c>
      <c r="AC456" t="b">
        <v>0</v>
      </c>
      <c r="AE456" t="b">
        <v>0</v>
      </c>
      <c r="AG456" t="b">
        <v>1</v>
      </c>
      <c r="AI456" t="b">
        <v>0</v>
      </c>
      <c r="AK456" t="s">
        <v>94</v>
      </c>
      <c r="AL456" t="s">
        <v>66</v>
      </c>
      <c r="AM456" s="3">
        <v>46278</v>
      </c>
      <c r="AN456" s="4">
        <v>0.48721064814814807</v>
      </c>
      <c r="AO456" t="s">
        <v>1604</v>
      </c>
      <c r="AP456" t="s">
        <v>1605</v>
      </c>
      <c r="AQ456" t="s">
        <v>69</v>
      </c>
      <c r="AR456">
        <v>92</v>
      </c>
      <c r="AS456" t="s">
        <v>70</v>
      </c>
      <c r="AT456" t="s">
        <v>342</v>
      </c>
      <c r="AU456" t="s">
        <v>221</v>
      </c>
      <c r="AV456" t="s">
        <v>184</v>
      </c>
      <c r="AW456" t="str">
        <f t="shared" si="14"/>
        <v>Ingeniería Química</v>
      </c>
      <c r="AX456" t="str">
        <f t="shared" si="15"/>
        <v>315 6794059</v>
      </c>
      <c r="AY456" t="str">
        <f>IFERROR(INDEX(Vacantes!$C:$C,MATCH(AT456,Vacantes!$A:$A,0)),"")</f>
        <v>Cervecería de Tocancipá</v>
      </c>
      <c r="AZ456" t="str">
        <f>IFERROR(INDEX(Vacantes!$D:$D,MATCH(AT456,Vacantes!$A:$A,0)),"")</f>
        <v>27 de octubre de 2026</v>
      </c>
      <c r="BA456" t="str">
        <f>IFERROR(INDEX(Vacantes!$E:$E,MATCH(AT456,Vacantes!$A:$A,0)),"")</f>
        <v>12:30 p.m. a 4:00 p.m.</v>
      </c>
    </row>
    <row r="457" spans="1:53" x14ac:dyDescent="0.15">
      <c r="A457" t="s">
        <v>1606</v>
      </c>
      <c r="B457" t="s">
        <v>1607</v>
      </c>
      <c r="C457" t="s">
        <v>55</v>
      </c>
      <c r="D457">
        <v>1034777926</v>
      </c>
      <c r="E457" t="s">
        <v>76</v>
      </c>
      <c r="F457">
        <v>21</v>
      </c>
      <c r="G457" t="b">
        <v>1</v>
      </c>
      <c r="I457" t="s">
        <v>122</v>
      </c>
      <c r="J457" t="s">
        <v>150</v>
      </c>
      <c r="L457" t="s">
        <v>393</v>
      </c>
      <c r="N457" t="b">
        <v>0</v>
      </c>
      <c r="O457" t="b">
        <v>0</v>
      </c>
      <c r="P457" t="s">
        <v>61</v>
      </c>
      <c r="Q457" t="s">
        <v>60</v>
      </c>
      <c r="R457" t="s">
        <v>125</v>
      </c>
      <c r="W457" t="s">
        <v>125</v>
      </c>
      <c r="X457" t="s">
        <v>145</v>
      </c>
      <c r="AB457" t="b">
        <v>0</v>
      </c>
      <c r="AC457" t="b">
        <v>1</v>
      </c>
      <c r="AE457" t="b">
        <v>0</v>
      </c>
      <c r="AG457" t="b">
        <v>0</v>
      </c>
      <c r="AH457" t="s">
        <v>1608</v>
      </c>
      <c r="AI457" t="b">
        <v>0</v>
      </c>
      <c r="AK457" t="s">
        <v>94</v>
      </c>
      <c r="AL457" t="s">
        <v>66</v>
      </c>
      <c r="AM457" s="3">
        <v>46278</v>
      </c>
      <c r="AN457" s="4">
        <v>0.37855324074074082</v>
      </c>
      <c r="AO457" t="s">
        <v>1609</v>
      </c>
      <c r="AP457" t="s">
        <v>1610</v>
      </c>
      <c r="AQ457" t="s">
        <v>69</v>
      </c>
      <c r="AR457">
        <v>70.900000000000006</v>
      </c>
      <c r="AS457" t="s">
        <v>70</v>
      </c>
      <c r="AT457" t="s">
        <v>342</v>
      </c>
      <c r="AV457" t="s">
        <v>184</v>
      </c>
      <c r="AW457" t="str">
        <f t="shared" si="14"/>
        <v>Microbiología</v>
      </c>
      <c r="AX457" t="str">
        <f t="shared" si="15"/>
        <v>310 5968649</v>
      </c>
      <c r="AY457" t="str">
        <f>IFERROR(INDEX(Vacantes!$C:$C,MATCH(AT457,Vacantes!$A:$A,0)),"")</f>
        <v>Cervecería de Tocancipá</v>
      </c>
      <c r="AZ457" t="str">
        <f>IFERROR(INDEX(Vacantes!$D:$D,MATCH(AT457,Vacantes!$A:$A,0)),"")</f>
        <v>27 de octubre de 2026</v>
      </c>
      <c r="BA457" t="str">
        <f>IFERROR(INDEX(Vacantes!$E:$E,MATCH(AT457,Vacantes!$A:$A,0)),"")</f>
        <v>12:30 p.m. a 4:00 p.m.</v>
      </c>
    </row>
    <row r="458" spans="1:53" x14ac:dyDescent="0.15">
      <c r="A458" t="s">
        <v>1776</v>
      </c>
      <c r="B458" t="s">
        <v>1777</v>
      </c>
      <c r="C458" t="s">
        <v>55</v>
      </c>
      <c r="D458">
        <v>1021395092</v>
      </c>
      <c r="E458" t="s">
        <v>76</v>
      </c>
      <c r="F458">
        <v>21</v>
      </c>
      <c r="G458" t="b">
        <v>1</v>
      </c>
      <c r="I458" t="s">
        <v>122</v>
      </c>
      <c r="J458" t="s">
        <v>78</v>
      </c>
      <c r="L458" t="s">
        <v>305</v>
      </c>
      <c r="N458" t="b">
        <v>0</v>
      </c>
      <c r="O458" t="b">
        <v>0</v>
      </c>
      <c r="P458" t="s">
        <v>60</v>
      </c>
      <c r="Q458" t="s">
        <v>60</v>
      </c>
      <c r="R458" t="s">
        <v>125</v>
      </c>
      <c r="W458" t="s">
        <v>125</v>
      </c>
      <c r="X458" t="s">
        <v>306</v>
      </c>
      <c r="AB458" t="b">
        <v>0</v>
      </c>
      <c r="AC458" t="b">
        <v>0</v>
      </c>
      <c r="AE458" t="b">
        <v>0</v>
      </c>
      <c r="AG458" t="b">
        <v>0</v>
      </c>
      <c r="AI458" t="b">
        <v>0</v>
      </c>
      <c r="AK458" t="s">
        <v>65</v>
      </c>
      <c r="AL458" t="s">
        <v>66</v>
      </c>
      <c r="AM458" s="3">
        <v>46255</v>
      </c>
      <c r="AN458" s="4">
        <v>0.41468749999999999</v>
      </c>
      <c r="AO458" t="s">
        <v>1778</v>
      </c>
      <c r="AP458" t="s">
        <v>1779</v>
      </c>
      <c r="AQ458" t="s">
        <v>69</v>
      </c>
      <c r="AR458">
        <v>95.2</v>
      </c>
      <c r="AS458" t="s">
        <v>70</v>
      </c>
      <c r="AT458" t="s">
        <v>128</v>
      </c>
      <c r="AU458" t="s">
        <v>72</v>
      </c>
      <c r="AV458" t="s">
        <v>73</v>
      </c>
      <c r="AW458" t="str">
        <f t="shared" si="14"/>
        <v>Ingeniería Química</v>
      </c>
      <c r="AX458" t="str">
        <f t="shared" si="15"/>
        <v>312 4693211</v>
      </c>
      <c r="AY458" t="str">
        <f>IFERROR(INDEX(Vacantes!$C:$C,MATCH(AT458,Vacantes!$A:$A,0)),"")</f>
        <v>Cervecería de Tocancipá</v>
      </c>
      <c r="AZ458" t="str">
        <f>IFERROR(INDEX(Vacantes!$D:$D,MATCH(AT458,Vacantes!$A:$A,0)),"")</f>
        <v>27 de octubre de 2026</v>
      </c>
      <c r="BA458" t="str">
        <f>IFERROR(INDEX(Vacantes!$E:$E,MATCH(AT458,Vacantes!$A:$A,0)),"")</f>
        <v>12:30 p.m. a 4:00 p.m.</v>
      </c>
    </row>
    <row r="459" spans="1:53" x14ac:dyDescent="0.15">
      <c r="A459" t="s">
        <v>1780</v>
      </c>
      <c r="B459" t="s">
        <v>1781</v>
      </c>
      <c r="C459" t="s">
        <v>55</v>
      </c>
      <c r="D459">
        <v>1011081594</v>
      </c>
      <c r="E459" t="s">
        <v>76</v>
      </c>
      <c r="F459">
        <v>21</v>
      </c>
      <c r="G459" t="b">
        <v>1</v>
      </c>
      <c r="H459" t="s">
        <v>1782</v>
      </c>
      <c r="I459" t="s">
        <v>122</v>
      </c>
      <c r="J459" t="s">
        <v>106</v>
      </c>
      <c r="L459" t="s">
        <v>305</v>
      </c>
      <c r="N459" t="b">
        <v>0</v>
      </c>
      <c r="O459" t="b">
        <v>0</v>
      </c>
      <c r="P459" t="s">
        <v>61</v>
      </c>
      <c r="Q459" t="s">
        <v>61</v>
      </c>
      <c r="R459" t="s">
        <v>125</v>
      </c>
      <c r="W459" t="s">
        <v>125</v>
      </c>
      <c r="X459" t="s">
        <v>306</v>
      </c>
      <c r="AB459" t="b">
        <v>0</v>
      </c>
      <c r="AC459" t="b">
        <v>0</v>
      </c>
      <c r="AE459" t="b">
        <v>0</v>
      </c>
      <c r="AG459" t="b">
        <v>0</v>
      </c>
      <c r="AI459" t="b">
        <v>0</v>
      </c>
      <c r="AK459" t="s">
        <v>202</v>
      </c>
      <c r="AL459" t="s">
        <v>66</v>
      </c>
      <c r="AM459" s="3">
        <v>46278</v>
      </c>
      <c r="AN459" s="4">
        <v>0.53342592592592597</v>
      </c>
      <c r="AO459">
        <v>3046547913</v>
      </c>
      <c r="AP459" t="s">
        <v>1783</v>
      </c>
      <c r="AQ459" t="s">
        <v>69</v>
      </c>
      <c r="AR459">
        <v>76.900000000000006</v>
      </c>
      <c r="AS459" t="s">
        <v>70</v>
      </c>
      <c r="AT459" t="s">
        <v>128</v>
      </c>
      <c r="AU459" t="s">
        <v>221</v>
      </c>
      <c r="AV459" t="s">
        <v>73</v>
      </c>
      <c r="AW459" t="str">
        <f t="shared" si="14"/>
        <v>Ingeniería Química</v>
      </c>
      <c r="AX459" t="str">
        <f t="shared" si="15"/>
        <v>3046547913</v>
      </c>
      <c r="AY459" t="str">
        <f>IFERROR(INDEX(Vacantes!$C:$C,MATCH(AT459,Vacantes!$A:$A,0)),"")</f>
        <v>Cervecería de Tocancipá</v>
      </c>
      <c r="AZ459" t="str">
        <f>IFERROR(INDEX(Vacantes!$D:$D,MATCH(AT459,Vacantes!$A:$A,0)),"")</f>
        <v>27 de octubre de 2026</v>
      </c>
      <c r="BA459" t="str">
        <f>IFERROR(INDEX(Vacantes!$E:$E,MATCH(AT459,Vacantes!$A:$A,0)),"")</f>
        <v>12:30 p.m. a 4:00 p.m.</v>
      </c>
    </row>
    <row r="460" spans="1:53" x14ac:dyDescent="0.15">
      <c r="A460" t="s">
        <v>1784</v>
      </c>
      <c r="B460" t="s">
        <v>1785</v>
      </c>
      <c r="C460" t="s">
        <v>55</v>
      </c>
      <c r="D460">
        <v>1002541388</v>
      </c>
      <c r="E460" t="s">
        <v>76</v>
      </c>
      <c r="F460">
        <v>22</v>
      </c>
      <c r="G460" t="b">
        <v>1</v>
      </c>
      <c r="H460" t="s">
        <v>77</v>
      </c>
      <c r="I460" t="s">
        <v>122</v>
      </c>
      <c r="J460" t="s">
        <v>132</v>
      </c>
      <c r="K460" t="s">
        <v>1786</v>
      </c>
      <c r="L460" t="s">
        <v>299</v>
      </c>
      <c r="N460" t="b">
        <v>1</v>
      </c>
      <c r="O460" t="b">
        <v>0</v>
      </c>
      <c r="P460" t="s">
        <v>60</v>
      </c>
      <c r="Q460" t="s">
        <v>61</v>
      </c>
      <c r="R460" t="s">
        <v>125</v>
      </c>
      <c r="W460" t="s">
        <v>135</v>
      </c>
      <c r="AB460" t="b">
        <v>0</v>
      </c>
      <c r="AC460" t="b">
        <v>0</v>
      </c>
      <c r="AE460" t="b">
        <v>0</v>
      </c>
      <c r="AG460" t="b">
        <v>0</v>
      </c>
      <c r="AI460" t="b">
        <v>0</v>
      </c>
      <c r="AK460" t="s">
        <v>94</v>
      </c>
      <c r="AL460" t="s">
        <v>66</v>
      </c>
      <c r="AM460" s="3">
        <v>46278</v>
      </c>
      <c r="AN460" s="4">
        <v>0.12543981481481481</v>
      </c>
      <c r="AO460" t="s">
        <v>1787</v>
      </c>
      <c r="AP460" t="s">
        <v>1788</v>
      </c>
      <c r="AQ460" t="s">
        <v>69</v>
      </c>
      <c r="AR460">
        <v>72.400000000000006</v>
      </c>
      <c r="AS460" t="s">
        <v>70</v>
      </c>
      <c r="AT460" t="s">
        <v>128</v>
      </c>
      <c r="AV460" t="s">
        <v>73</v>
      </c>
      <c r="AW460" t="str">
        <f t="shared" si="14"/>
        <v>Ingeniería de Alimentos</v>
      </c>
      <c r="AX460" t="str">
        <f t="shared" si="15"/>
        <v>322 3851073</v>
      </c>
      <c r="AY460" t="str">
        <f>IFERROR(INDEX(Vacantes!$C:$C,MATCH(AT460,Vacantes!$A:$A,0)),"")</f>
        <v>Cervecería de Tocancipá</v>
      </c>
      <c r="AZ460" t="str">
        <f>IFERROR(INDEX(Vacantes!$D:$D,MATCH(AT460,Vacantes!$A:$A,0)),"")</f>
        <v>27 de octubre de 2026</v>
      </c>
      <c r="BA460" t="str">
        <f>IFERROR(INDEX(Vacantes!$E:$E,MATCH(AT460,Vacantes!$A:$A,0)),"")</f>
        <v>12:30 p.m. a 4:00 p.m.</v>
      </c>
    </row>
    <row r="461" spans="1:53" x14ac:dyDescent="0.15">
      <c r="A461" t="s">
        <v>1789</v>
      </c>
      <c r="B461" t="s">
        <v>1790</v>
      </c>
      <c r="C461" t="s">
        <v>55</v>
      </c>
      <c r="D461">
        <v>1054398334</v>
      </c>
      <c r="E461" t="s">
        <v>56</v>
      </c>
      <c r="F461">
        <v>21</v>
      </c>
      <c r="G461" t="b">
        <v>1</v>
      </c>
      <c r="H461" t="s">
        <v>1791</v>
      </c>
      <c r="I461" t="s">
        <v>122</v>
      </c>
      <c r="J461" t="s">
        <v>106</v>
      </c>
      <c r="L461" t="s">
        <v>612</v>
      </c>
      <c r="N461" t="b">
        <v>0</v>
      </c>
      <c r="O461" t="b">
        <v>0</v>
      </c>
      <c r="P461" t="s">
        <v>61</v>
      </c>
      <c r="Q461" t="s">
        <v>60</v>
      </c>
      <c r="R461" t="s">
        <v>62</v>
      </c>
      <c r="W461" t="s">
        <v>125</v>
      </c>
      <c r="X461" t="s">
        <v>145</v>
      </c>
      <c r="AB461" t="b">
        <v>0</v>
      </c>
      <c r="AC461" t="b">
        <v>0</v>
      </c>
      <c r="AE461" t="b">
        <v>0</v>
      </c>
      <c r="AG461" t="b">
        <v>0</v>
      </c>
      <c r="AI461" t="b">
        <v>0</v>
      </c>
      <c r="AK461" t="s">
        <v>248</v>
      </c>
      <c r="AL461" t="s">
        <v>66</v>
      </c>
      <c r="AM461" s="3">
        <v>46277</v>
      </c>
      <c r="AN461" s="4">
        <v>0.63476851851851857</v>
      </c>
      <c r="AO461" t="s">
        <v>1792</v>
      </c>
      <c r="AP461" t="s">
        <v>1793</v>
      </c>
      <c r="AQ461" t="s">
        <v>69</v>
      </c>
      <c r="AR461">
        <v>72</v>
      </c>
      <c r="AS461" t="s">
        <v>70</v>
      </c>
      <c r="AT461" t="s">
        <v>128</v>
      </c>
      <c r="AV461" t="s">
        <v>73</v>
      </c>
      <c r="AW461" t="str">
        <f t="shared" si="14"/>
        <v>Ingeniería Mecánica</v>
      </c>
      <c r="AX461" t="str">
        <f t="shared" si="15"/>
        <v>310 2213837</v>
      </c>
      <c r="AY461" t="str">
        <f>IFERROR(INDEX(Vacantes!$C:$C,MATCH(AT461,Vacantes!$A:$A,0)),"")</f>
        <v>Cervecería de Tocancipá</v>
      </c>
      <c r="AZ461" t="str">
        <f>IFERROR(INDEX(Vacantes!$D:$D,MATCH(AT461,Vacantes!$A:$A,0)),"")</f>
        <v>27 de octubre de 2026</v>
      </c>
      <c r="BA461" t="str">
        <f>IFERROR(INDEX(Vacantes!$E:$E,MATCH(AT461,Vacantes!$A:$A,0)),"")</f>
        <v>12:30 p.m. a 4:00 p.m.</v>
      </c>
    </row>
    <row r="462" spans="1:53" x14ac:dyDescent="0.15">
      <c r="A462" t="s">
        <v>1849</v>
      </c>
      <c r="B462" t="s">
        <v>1850</v>
      </c>
      <c r="C462" t="s">
        <v>55</v>
      </c>
      <c r="D462">
        <v>1011081455</v>
      </c>
      <c r="E462" t="s">
        <v>56</v>
      </c>
      <c r="F462">
        <v>21</v>
      </c>
      <c r="G462" t="b">
        <v>1</v>
      </c>
      <c r="H462" t="s">
        <v>122</v>
      </c>
      <c r="I462" t="s">
        <v>122</v>
      </c>
      <c r="J462" t="s">
        <v>106</v>
      </c>
      <c r="L462" t="s">
        <v>705</v>
      </c>
      <c r="N462" t="b">
        <v>0</v>
      </c>
      <c r="O462" t="b">
        <v>0</v>
      </c>
      <c r="P462" t="s">
        <v>61</v>
      </c>
      <c r="Q462" t="s">
        <v>61</v>
      </c>
      <c r="R462" t="s">
        <v>62</v>
      </c>
      <c r="W462" t="s">
        <v>125</v>
      </c>
      <c r="X462" t="s">
        <v>145</v>
      </c>
      <c r="AB462" t="b">
        <v>0</v>
      </c>
      <c r="AC462" t="b">
        <v>0</v>
      </c>
      <c r="AE462" t="b">
        <v>0</v>
      </c>
      <c r="AG462" t="b">
        <v>0</v>
      </c>
      <c r="AI462" t="b">
        <v>0</v>
      </c>
      <c r="AK462" t="s">
        <v>65</v>
      </c>
      <c r="AL462" t="s">
        <v>66</v>
      </c>
      <c r="AM462" s="3">
        <v>46259</v>
      </c>
      <c r="AN462" s="4">
        <v>0.55434027777777772</v>
      </c>
      <c r="AO462" t="s">
        <v>1851</v>
      </c>
      <c r="AP462" t="s">
        <v>1852</v>
      </c>
      <c r="AQ462" t="s">
        <v>69</v>
      </c>
      <c r="AR462">
        <v>86</v>
      </c>
      <c r="AS462" t="s">
        <v>70</v>
      </c>
      <c r="AT462" t="s">
        <v>748</v>
      </c>
      <c r="AU462" t="s">
        <v>221</v>
      </c>
      <c r="AV462" t="s">
        <v>73</v>
      </c>
      <c r="AW462" t="str">
        <f t="shared" si="14"/>
        <v>Ingeniería de Software</v>
      </c>
      <c r="AX462" t="str">
        <f t="shared" si="15"/>
        <v>300 2853391</v>
      </c>
      <c r="AY462" t="str">
        <f>IFERROR(INDEX(Vacantes!$C:$C,MATCH(AT462,Vacantes!$A:$A,0)),"")</f>
        <v>Cervecería de Tocancipá</v>
      </c>
      <c r="AZ462" t="str">
        <f>IFERROR(INDEX(Vacantes!$D:$D,MATCH(AT462,Vacantes!$A:$A,0)),"")</f>
        <v>27 de octubre de 2026</v>
      </c>
      <c r="BA462" t="str">
        <f>IFERROR(INDEX(Vacantes!$E:$E,MATCH(AT462,Vacantes!$A:$A,0)),"")</f>
        <v>12:30 p.m. a 4:00 p.m.</v>
      </c>
    </row>
    <row r="463" spans="1:53" x14ac:dyDescent="0.15">
      <c r="A463" t="s">
        <v>1853</v>
      </c>
      <c r="B463" t="s">
        <v>1854</v>
      </c>
      <c r="C463" t="s">
        <v>55</v>
      </c>
      <c r="D463">
        <v>1013099587</v>
      </c>
      <c r="E463" t="s">
        <v>56</v>
      </c>
      <c r="F463">
        <v>22</v>
      </c>
      <c r="G463" t="b">
        <v>1</v>
      </c>
      <c r="H463" t="s">
        <v>57</v>
      </c>
      <c r="I463" t="s">
        <v>122</v>
      </c>
      <c r="J463" t="s">
        <v>78</v>
      </c>
      <c r="L463" t="s">
        <v>612</v>
      </c>
      <c r="N463" t="b">
        <v>0</v>
      </c>
      <c r="O463" t="b">
        <v>0</v>
      </c>
      <c r="P463" t="s">
        <v>61</v>
      </c>
      <c r="Q463" t="s">
        <v>61</v>
      </c>
      <c r="R463" t="s">
        <v>125</v>
      </c>
      <c r="W463" t="s">
        <v>125</v>
      </c>
      <c r="X463" t="s">
        <v>306</v>
      </c>
      <c r="AB463" t="b">
        <v>0</v>
      </c>
      <c r="AC463" t="b">
        <v>0</v>
      </c>
      <c r="AE463" t="b">
        <v>0</v>
      </c>
      <c r="AG463" t="b">
        <v>0</v>
      </c>
      <c r="AI463" t="b">
        <v>0</v>
      </c>
      <c r="AK463" t="s">
        <v>202</v>
      </c>
      <c r="AL463" t="s">
        <v>66</v>
      </c>
      <c r="AM463" s="3">
        <v>46258</v>
      </c>
      <c r="AN463" s="4">
        <v>0.85427083333333331</v>
      </c>
      <c r="AO463" t="s">
        <v>1855</v>
      </c>
      <c r="AP463" t="s">
        <v>1856</v>
      </c>
      <c r="AQ463" t="s">
        <v>69</v>
      </c>
      <c r="AR463">
        <v>93.4</v>
      </c>
      <c r="AS463" t="s">
        <v>70</v>
      </c>
      <c r="AT463" t="s">
        <v>748</v>
      </c>
      <c r="AU463" t="s">
        <v>221</v>
      </c>
      <c r="AV463" t="s">
        <v>73</v>
      </c>
      <c r="AW463" t="str">
        <f t="shared" si="14"/>
        <v>Ingeniería Mecánica</v>
      </c>
      <c r="AX463" t="str">
        <f t="shared" si="15"/>
        <v>321 3813413</v>
      </c>
      <c r="AY463" t="str">
        <f>IFERROR(INDEX(Vacantes!$C:$C,MATCH(AT463,Vacantes!$A:$A,0)),"")</f>
        <v>Cervecería de Tocancipá</v>
      </c>
      <c r="AZ463" t="str">
        <f>IFERROR(INDEX(Vacantes!$D:$D,MATCH(AT463,Vacantes!$A:$A,0)),"")</f>
        <v>27 de octubre de 2026</v>
      </c>
      <c r="BA463" t="str">
        <f>IFERROR(INDEX(Vacantes!$E:$E,MATCH(AT463,Vacantes!$A:$A,0)),"")</f>
        <v>12:30 p.m. a 4:00 p.m.</v>
      </c>
    </row>
    <row r="464" spans="1:53" x14ac:dyDescent="0.15">
      <c r="A464" t="s">
        <v>1857</v>
      </c>
      <c r="B464" t="s">
        <v>1858</v>
      </c>
      <c r="C464" t="s">
        <v>55</v>
      </c>
      <c r="D464">
        <v>1003190023</v>
      </c>
      <c r="E464" t="s">
        <v>56</v>
      </c>
      <c r="F464">
        <v>24</v>
      </c>
      <c r="G464" t="b">
        <v>1</v>
      </c>
      <c r="I464" t="s">
        <v>122</v>
      </c>
      <c r="J464" t="s">
        <v>132</v>
      </c>
      <c r="K464" t="s">
        <v>1840</v>
      </c>
      <c r="L464" t="s">
        <v>612</v>
      </c>
      <c r="N464" t="b">
        <v>0</v>
      </c>
      <c r="O464" t="b">
        <v>0</v>
      </c>
      <c r="P464" t="s">
        <v>60</v>
      </c>
      <c r="Q464" t="s">
        <v>60</v>
      </c>
      <c r="R464" t="s">
        <v>125</v>
      </c>
      <c r="W464" t="s">
        <v>125</v>
      </c>
      <c r="X464" t="s">
        <v>315</v>
      </c>
      <c r="AB464" t="b">
        <v>0</v>
      </c>
      <c r="AC464" t="b">
        <v>0</v>
      </c>
      <c r="AE464" t="b">
        <v>0</v>
      </c>
      <c r="AG464" t="b">
        <v>0</v>
      </c>
      <c r="AI464" t="b">
        <v>0</v>
      </c>
      <c r="AK464" t="s">
        <v>94</v>
      </c>
      <c r="AL464" t="s">
        <v>66</v>
      </c>
      <c r="AM464" s="3">
        <v>46255</v>
      </c>
      <c r="AN464" s="4">
        <v>0.41466435185185191</v>
      </c>
      <c r="AO464" t="s">
        <v>1859</v>
      </c>
      <c r="AP464" t="s">
        <v>1860</v>
      </c>
      <c r="AQ464" t="s">
        <v>69</v>
      </c>
      <c r="AR464">
        <v>81.400000000000006</v>
      </c>
      <c r="AS464" t="s">
        <v>70</v>
      </c>
      <c r="AT464" t="s">
        <v>748</v>
      </c>
      <c r="AU464" t="s">
        <v>221</v>
      </c>
      <c r="AV464" t="s">
        <v>73</v>
      </c>
      <c r="AW464" t="str">
        <f t="shared" si="14"/>
        <v>Ingeniería Mecánica</v>
      </c>
      <c r="AX464" t="str">
        <f t="shared" si="15"/>
        <v>300 8840493</v>
      </c>
      <c r="AY464" t="str">
        <f>IFERROR(INDEX(Vacantes!$C:$C,MATCH(AT464,Vacantes!$A:$A,0)),"")</f>
        <v>Cervecería de Tocancipá</v>
      </c>
      <c r="AZ464" t="str">
        <f>IFERROR(INDEX(Vacantes!$D:$D,MATCH(AT464,Vacantes!$A:$A,0)),"")</f>
        <v>27 de octubre de 2026</v>
      </c>
      <c r="BA464" t="str">
        <f>IFERROR(INDEX(Vacantes!$E:$E,MATCH(AT464,Vacantes!$A:$A,0)),"")</f>
        <v>12:30 p.m. a 4:00 p.m.</v>
      </c>
    </row>
    <row r="465" spans="1:53" x14ac:dyDescent="0.15">
      <c r="A465" t="s">
        <v>1938</v>
      </c>
      <c r="B465" t="s">
        <v>1939</v>
      </c>
      <c r="C465" t="s">
        <v>55</v>
      </c>
      <c r="D465">
        <v>1000953816</v>
      </c>
      <c r="E465" t="s">
        <v>76</v>
      </c>
      <c r="F465">
        <v>22</v>
      </c>
      <c r="G465" t="b">
        <v>1</v>
      </c>
      <c r="H465" t="s">
        <v>553</v>
      </c>
      <c r="I465" t="s">
        <v>1940</v>
      </c>
      <c r="J465" t="s">
        <v>554</v>
      </c>
      <c r="L465" t="s">
        <v>132</v>
      </c>
      <c r="M465" t="s">
        <v>1941</v>
      </c>
      <c r="N465" t="b">
        <v>0</v>
      </c>
      <c r="O465" t="b">
        <v>0</v>
      </c>
      <c r="P465" t="s">
        <v>60</v>
      </c>
      <c r="Q465" t="s">
        <v>60</v>
      </c>
      <c r="R465" t="s">
        <v>62</v>
      </c>
      <c r="W465" t="s">
        <v>109</v>
      </c>
      <c r="AA465" t="s">
        <v>188</v>
      </c>
      <c r="AB465" t="b">
        <v>0</v>
      </c>
      <c r="AC465" t="b">
        <v>0</v>
      </c>
      <c r="AE465" t="b">
        <v>0</v>
      </c>
      <c r="AG465" t="b">
        <v>0</v>
      </c>
      <c r="AI465" t="b">
        <v>0</v>
      </c>
      <c r="AK465" t="s">
        <v>94</v>
      </c>
      <c r="AL465" t="s">
        <v>66</v>
      </c>
      <c r="AM465" s="3">
        <v>46277</v>
      </c>
      <c r="AN465" s="4">
        <v>0.39241898148148152</v>
      </c>
      <c r="AO465" t="s">
        <v>1942</v>
      </c>
      <c r="AP465" t="s">
        <v>1943</v>
      </c>
      <c r="AQ465" t="s">
        <v>69</v>
      </c>
      <c r="AR465">
        <v>96.2</v>
      </c>
      <c r="AS465" t="s">
        <v>70</v>
      </c>
      <c r="AT465" t="s">
        <v>1098</v>
      </c>
      <c r="AU465" t="s">
        <v>221</v>
      </c>
      <c r="AV465" t="s">
        <v>184</v>
      </c>
      <c r="AW465" t="str">
        <f t="shared" si="14"/>
        <v>Administración de Empresas Agropecuarias</v>
      </c>
      <c r="AX465" t="str">
        <f t="shared" si="15"/>
        <v>333 7505212</v>
      </c>
      <c r="AY465" t="str">
        <f>IFERROR(INDEX(Vacantes!$C:$C,MATCH(AT465,Vacantes!$A:$A,0)),"")</f>
        <v>Cervecería de Tibitó</v>
      </c>
      <c r="AZ465" t="str">
        <f>IFERROR(INDEX(Vacantes!$D:$D,MATCH(AT465,Vacantes!$A:$A,0)),"")</f>
        <v>27 de octubre de 2026</v>
      </c>
      <c r="BA465" t="str">
        <f>IFERROR(INDEX(Vacantes!$E:$E,MATCH(AT465,Vacantes!$A:$A,0)),"")</f>
        <v>12:30 p.m. a 4:00 p.m.</v>
      </c>
    </row>
    <row r="466" spans="1:53" x14ac:dyDescent="0.15">
      <c r="A466" t="s">
        <v>1944</v>
      </c>
      <c r="B466" t="s">
        <v>1945</v>
      </c>
      <c r="C466" t="s">
        <v>55</v>
      </c>
      <c r="D466">
        <v>1076738061</v>
      </c>
      <c r="E466" t="s">
        <v>76</v>
      </c>
      <c r="F466">
        <v>20</v>
      </c>
      <c r="G466" t="b">
        <v>1</v>
      </c>
      <c r="H466" t="s">
        <v>1199</v>
      </c>
      <c r="I466" t="s">
        <v>122</v>
      </c>
      <c r="J466" t="s">
        <v>123</v>
      </c>
      <c r="L466" t="s">
        <v>107</v>
      </c>
      <c r="N466" t="b">
        <v>1</v>
      </c>
      <c r="O466" t="b">
        <v>0</v>
      </c>
      <c r="P466" t="s">
        <v>144</v>
      </c>
      <c r="Q466" t="s">
        <v>60</v>
      </c>
      <c r="R466" t="s">
        <v>135</v>
      </c>
      <c r="W466" t="s">
        <v>125</v>
      </c>
      <c r="X466" t="s">
        <v>64</v>
      </c>
      <c r="AB466" t="b">
        <v>0</v>
      </c>
      <c r="AC466" t="b">
        <v>0</v>
      </c>
      <c r="AE466" t="b">
        <v>0</v>
      </c>
      <c r="AG466" t="b">
        <v>0</v>
      </c>
      <c r="AI466" t="b">
        <v>0</v>
      </c>
      <c r="AK466" t="s">
        <v>94</v>
      </c>
      <c r="AL466" t="s">
        <v>66</v>
      </c>
      <c r="AM466" s="3">
        <v>46267</v>
      </c>
      <c r="AN466" s="4">
        <v>0.26954861111111111</v>
      </c>
      <c r="AO466" t="s">
        <v>1946</v>
      </c>
      <c r="AP466" t="s">
        <v>1947</v>
      </c>
      <c r="AQ466" t="s">
        <v>69</v>
      </c>
      <c r="AR466">
        <v>94.5</v>
      </c>
      <c r="AS466" t="s">
        <v>70</v>
      </c>
      <c r="AT466" t="s">
        <v>1098</v>
      </c>
      <c r="AU466" t="s">
        <v>72</v>
      </c>
      <c r="AV466" t="s">
        <v>184</v>
      </c>
      <c r="AW466" t="str">
        <f t="shared" si="14"/>
        <v>Administración de Empresas</v>
      </c>
      <c r="AX466" t="str">
        <f t="shared" si="15"/>
        <v>302 3133177</v>
      </c>
      <c r="AY466" t="str">
        <f>IFERROR(INDEX(Vacantes!$C:$C,MATCH(AT466,Vacantes!$A:$A,0)),"")</f>
        <v>Cervecería de Tibitó</v>
      </c>
      <c r="AZ466" t="str">
        <f>IFERROR(INDEX(Vacantes!$D:$D,MATCH(AT466,Vacantes!$A:$A,0)),"")</f>
        <v>27 de octubre de 2026</v>
      </c>
      <c r="BA466" t="str">
        <f>IFERROR(INDEX(Vacantes!$E:$E,MATCH(AT466,Vacantes!$A:$A,0)),"")</f>
        <v>12:30 p.m. a 4:00 p.m.</v>
      </c>
    </row>
    <row r="467" spans="1:53" x14ac:dyDescent="0.15">
      <c r="A467" t="s">
        <v>1948</v>
      </c>
      <c r="B467" t="s">
        <v>1949</v>
      </c>
      <c r="C467" t="s">
        <v>55</v>
      </c>
      <c r="D467">
        <v>1003912861</v>
      </c>
      <c r="E467" t="s">
        <v>56</v>
      </c>
      <c r="F467">
        <v>24</v>
      </c>
      <c r="G467" t="b">
        <v>1</v>
      </c>
      <c r="H467" t="s">
        <v>902</v>
      </c>
      <c r="I467" t="s">
        <v>122</v>
      </c>
      <c r="J467" t="s">
        <v>554</v>
      </c>
      <c r="L467" t="s">
        <v>709</v>
      </c>
      <c r="N467" t="b">
        <v>0</v>
      </c>
      <c r="O467" t="b">
        <v>0</v>
      </c>
      <c r="P467" t="s">
        <v>144</v>
      </c>
      <c r="Q467" t="s">
        <v>60</v>
      </c>
      <c r="R467" t="s">
        <v>62</v>
      </c>
      <c r="W467" t="s">
        <v>62</v>
      </c>
      <c r="AB467" t="b">
        <v>0</v>
      </c>
      <c r="AC467" t="b">
        <v>0</v>
      </c>
      <c r="AE467" t="b">
        <v>0</v>
      </c>
      <c r="AG467" t="b">
        <v>0</v>
      </c>
      <c r="AI467" t="b">
        <v>0</v>
      </c>
      <c r="AK467" t="s">
        <v>65</v>
      </c>
      <c r="AL467" t="s">
        <v>66</v>
      </c>
      <c r="AM467" s="3">
        <v>46261</v>
      </c>
      <c r="AN467" s="4">
        <v>0.76187499999999997</v>
      </c>
      <c r="AO467" t="s">
        <v>1950</v>
      </c>
      <c r="AP467" t="s">
        <v>1951</v>
      </c>
      <c r="AQ467" t="s">
        <v>69</v>
      </c>
      <c r="AR467">
        <v>93</v>
      </c>
      <c r="AS467" t="s">
        <v>70</v>
      </c>
      <c r="AT467" t="s">
        <v>1098</v>
      </c>
      <c r="AU467" t="s">
        <v>221</v>
      </c>
      <c r="AV467" t="s">
        <v>73</v>
      </c>
      <c r="AW467" t="str">
        <f t="shared" si="14"/>
        <v>Ingeniería de Sistemas</v>
      </c>
      <c r="AX467" t="str">
        <f t="shared" si="15"/>
        <v>322 2067541</v>
      </c>
      <c r="AY467" t="str">
        <f>IFERROR(INDEX(Vacantes!$C:$C,MATCH(AT467,Vacantes!$A:$A,0)),"")</f>
        <v>Cervecería de Tibitó</v>
      </c>
      <c r="AZ467" t="str">
        <f>IFERROR(INDEX(Vacantes!$D:$D,MATCH(AT467,Vacantes!$A:$A,0)),"")</f>
        <v>27 de octubre de 2026</v>
      </c>
      <c r="BA467" t="str">
        <f>IFERROR(INDEX(Vacantes!$E:$E,MATCH(AT467,Vacantes!$A:$A,0)),"")</f>
        <v>12:30 p.m. a 4:00 p.m.</v>
      </c>
    </row>
    <row r="468" spans="1:53" x14ac:dyDescent="0.15">
      <c r="A468" t="s">
        <v>1952</v>
      </c>
      <c r="B468" t="s">
        <v>1953</v>
      </c>
      <c r="C468" t="s">
        <v>55</v>
      </c>
      <c r="D468">
        <v>1054372023</v>
      </c>
      <c r="E468" t="s">
        <v>56</v>
      </c>
      <c r="F468">
        <v>22</v>
      </c>
      <c r="G468" t="b">
        <v>1</v>
      </c>
      <c r="H468" t="s">
        <v>1954</v>
      </c>
      <c r="I468" t="s">
        <v>122</v>
      </c>
      <c r="J468" t="s">
        <v>132</v>
      </c>
      <c r="K468" t="s">
        <v>1955</v>
      </c>
      <c r="L468" t="s">
        <v>709</v>
      </c>
      <c r="N468" t="b">
        <v>1</v>
      </c>
      <c r="O468" t="b">
        <v>0</v>
      </c>
      <c r="P468" t="s">
        <v>144</v>
      </c>
      <c r="Q468" t="s">
        <v>60</v>
      </c>
      <c r="R468" t="s">
        <v>62</v>
      </c>
      <c r="W468" t="s">
        <v>89</v>
      </c>
      <c r="AB468" t="b">
        <v>0</v>
      </c>
      <c r="AC468" t="b">
        <v>0</v>
      </c>
      <c r="AE468" t="b">
        <v>0</v>
      </c>
      <c r="AG468" t="b">
        <v>0</v>
      </c>
      <c r="AI468" t="b">
        <v>0</v>
      </c>
      <c r="AK468" t="s">
        <v>94</v>
      </c>
      <c r="AL468" t="s">
        <v>66</v>
      </c>
      <c r="AM468" s="3">
        <v>46264</v>
      </c>
      <c r="AN468" s="4">
        <v>0.78413194444444445</v>
      </c>
      <c r="AO468" t="s">
        <v>1956</v>
      </c>
      <c r="AP468" t="s">
        <v>1957</v>
      </c>
      <c r="AQ468" t="s">
        <v>69</v>
      </c>
      <c r="AR468">
        <v>90.8</v>
      </c>
      <c r="AS468" t="s">
        <v>70</v>
      </c>
      <c r="AT468" t="s">
        <v>1098</v>
      </c>
      <c r="AU468" t="s">
        <v>221</v>
      </c>
      <c r="AV468" t="s">
        <v>73</v>
      </c>
      <c r="AW468" t="str">
        <f t="shared" si="14"/>
        <v>Ingeniería de Sistemas</v>
      </c>
      <c r="AX468" t="str">
        <f t="shared" si="15"/>
        <v>314 2209452</v>
      </c>
      <c r="AY468" t="str">
        <f>IFERROR(INDEX(Vacantes!$C:$C,MATCH(AT468,Vacantes!$A:$A,0)),"")</f>
        <v>Cervecería de Tibitó</v>
      </c>
      <c r="AZ468" t="str">
        <f>IFERROR(INDEX(Vacantes!$D:$D,MATCH(AT468,Vacantes!$A:$A,0)),"")</f>
        <v>27 de octubre de 2026</v>
      </c>
      <c r="BA468" t="str">
        <f>IFERROR(INDEX(Vacantes!$E:$E,MATCH(AT468,Vacantes!$A:$A,0)),"")</f>
        <v>12:30 p.m. a 4:00 p.m.</v>
      </c>
    </row>
    <row r="469" spans="1:53" x14ac:dyDescent="0.15">
      <c r="A469" t="s">
        <v>1958</v>
      </c>
      <c r="B469" t="s">
        <v>1959</v>
      </c>
      <c r="C469" t="s">
        <v>55</v>
      </c>
      <c r="D469">
        <v>1002329465</v>
      </c>
      <c r="E469" t="s">
        <v>76</v>
      </c>
      <c r="F469">
        <v>23</v>
      </c>
      <c r="G469" t="b">
        <v>1</v>
      </c>
      <c r="H469" t="s">
        <v>902</v>
      </c>
      <c r="I469" t="s">
        <v>122</v>
      </c>
      <c r="J469" t="s">
        <v>554</v>
      </c>
      <c r="L469" t="s">
        <v>132</v>
      </c>
      <c r="M469" t="s">
        <v>1960</v>
      </c>
      <c r="N469" t="b">
        <v>0</v>
      </c>
      <c r="O469" t="b">
        <v>0</v>
      </c>
      <c r="P469" t="s">
        <v>60</v>
      </c>
      <c r="Q469" t="s">
        <v>60</v>
      </c>
      <c r="R469" t="s">
        <v>135</v>
      </c>
      <c r="W469" t="s">
        <v>125</v>
      </c>
      <c r="X469" t="s">
        <v>145</v>
      </c>
      <c r="AB469" t="b">
        <v>0</v>
      </c>
      <c r="AC469" t="b">
        <v>0</v>
      </c>
      <c r="AE469" t="b">
        <v>1</v>
      </c>
      <c r="AG469" t="b">
        <v>0</v>
      </c>
      <c r="AI469" t="b">
        <v>0</v>
      </c>
      <c r="AJ469" t="s">
        <v>1961</v>
      </c>
      <c r="AK469" t="s">
        <v>65</v>
      </c>
      <c r="AL469" t="s">
        <v>66</v>
      </c>
      <c r="AM469" s="3">
        <v>46269</v>
      </c>
      <c r="AN469" s="4">
        <v>0.2494791666666667</v>
      </c>
      <c r="AO469">
        <v>3174181366</v>
      </c>
      <c r="AP469" t="s">
        <v>1962</v>
      </c>
      <c r="AQ469" t="s">
        <v>69</v>
      </c>
      <c r="AR469">
        <v>87.7</v>
      </c>
      <c r="AS469" t="s">
        <v>70</v>
      </c>
      <c r="AT469" t="s">
        <v>1098</v>
      </c>
      <c r="AV469" t="s">
        <v>73</v>
      </c>
      <c r="AW469" t="str">
        <f t="shared" si="14"/>
        <v>Ingeniería de Transporte y Vías</v>
      </c>
      <c r="AX469" t="str">
        <f t="shared" si="15"/>
        <v>3174181366</v>
      </c>
      <c r="AY469" t="str">
        <f>IFERROR(INDEX(Vacantes!$C:$C,MATCH(AT469,Vacantes!$A:$A,0)),"")</f>
        <v>Cervecería de Tibitó</v>
      </c>
      <c r="AZ469" t="str">
        <f>IFERROR(INDEX(Vacantes!$D:$D,MATCH(AT469,Vacantes!$A:$A,0)),"")</f>
        <v>27 de octubre de 2026</v>
      </c>
      <c r="BA469" t="str">
        <f>IFERROR(INDEX(Vacantes!$E:$E,MATCH(AT469,Vacantes!$A:$A,0)),"")</f>
        <v>12:30 p.m. a 4:00 p.m.</v>
      </c>
    </row>
    <row r="470" spans="1:53" x14ac:dyDescent="0.15">
      <c r="A470" t="s">
        <v>2138</v>
      </c>
      <c r="B470" t="s">
        <v>2139</v>
      </c>
      <c r="C470" t="s">
        <v>55</v>
      </c>
      <c r="D470">
        <v>1003882497</v>
      </c>
      <c r="E470" t="s">
        <v>56</v>
      </c>
      <c r="F470">
        <v>23</v>
      </c>
      <c r="G470" t="b">
        <v>1</v>
      </c>
      <c r="H470" t="s">
        <v>754</v>
      </c>
      <c r="I470" t="s">
        <v>122</v>
      </c>
      <c r="J470" t="s">
        <v>123</v>
      </c>
      <c r="L470" t="s">
        <v>107</v>
      </c>
      <c r="N470" t="b">
        <v>1</v>
      </c>
      <c r="O470" t="b">
        <v>0</v>
      </c>
      <c r="P470" t="s">
        <v>144</v>
      </c>
      <c r="Q470" t="s">
        <v>144</v>
      </c>
      <c r="R470" t="s">
        <v>135</v>
      </c>
      <c r="W470" t="s">
        <v>125</v>
      </c>
      <c r="X470" t="s">
        <v>315</v>
      </c>
      <c r="AB470" t="b">
        <v>0</v>
      </c>
      <c r="AC470" t="b">
        <v>0</v>
      </c>
      <c r="AE470" t="b">
        <v>0</v>
      </c>
      <c r="AG470" t="b">
        <v>0</v>
      </c>
      <c r="AI470" t="b">
        <v>0</v>
      </c>
      <c r="AK470" t="s">
        <v>65</v>
      </c>
      <c r="AL470" t="s">
        <v>66</v>
      </c>
      <c r="AM470" s="3">
        <v>46267</v>
      </c>
      <c r="AN470" s="4">
        <v>0.55072916666666671</v>
      </c>
      <c r="AO470" t="s">
        <v>2140</v>
      </c>
      <c r="AP470" t="s">
        <v>2141</v>
      </c>
      <c r="AQ470" t="s">
        <v>69</v>
      </c>
      <c r="AR470">
        <v>80.099999999999994</v>
      </c>
      <c r="AS470" t="s">
        <v>70</v>
      </c>
      <c r="AT470" t="s">
        <v>1202</v>
      </c>
      <c r="AV470" t="s">
        <v>73</v>
      </c>
      <c r="AW470" t="str">
        <f t="shared" si="14"/>
        <v>Administración de Empresas</v>
      </c>
      <c r="AX470" t="str">
        <f t="shared" si="15"/>
        <v>305 4221048</v>
      </c>
      <c r="AY470" t="str">
        <f>IFERROR(INDEX(Vacantes!$C:$C,MATCH(AT470,Vacantes!$A:$A,0)),"")</f>
        <v>Cervecería de Tocancipá</v>
      </c>
      <c r="AZ470" t="str">
        <f>IFERROR(INDEX(Vacantes!$D:$D,MATCH(AT470,Vacantes!$A:$A,0)),"")</f>
        <v>27 de octubre de 2026</v>
      </c>
      <c r="BA470" t="str">
        <f>IFERROR(INDEX(Vacantes!$E:$E,MATCH(AT470,Vacantes!$A:$A,0)),"")</f>
        <v>12:30 p.m. a 4:00 p.m.</v>
      </c>
    </row>
    <row r="471" spans="1:53" x14ac:dyDescent="0.15">
      <c r="A471" t="s">
        <v>2142</v>
      </c>
      <c r="B471" t="s">
        <v>2143</v>
      </c>
      <c r="C471" t="s">
        <v>55</v>
      </c>
      <c r="D471">
        <v>1033098791</v>
      </c>
      <c r="E471" t="s">
        <v>76</v>
      </c>
      <c r="F471">
        <v>20</v>
      </c>
      <c r="G471" t="b">
        <v>1</v>
      </c>
      <c r="H471" t="s">
        <v>57</v>
      </c>
      <c r="I471" t="s">
        <v>122</v>
      </c>
      <c r="J471" t="s">
        <v>463</v>
      </c>
      <c r="L471" t="s">
        <v>143</v>
      </c>
      <c r="N471" t="b">
        <v>1</v>
      </c>
      <c r="O471" t="b">
        <v>0</v>
      </c>
      <c r="P471" t="s">
        <v>60</v>
      </c>
      <c r="Q471" t="s">
        <v>60</v>
      </c>
      <c r="R471" t="s">
        <v>125</v>
      </c>
      <c r="W471" t="s">
        <v>89</v>
      </c>
      <c r="AB471" t="b">
        <v>0</v>
      </c>
      <c r="AC471" t="b">
        <v>0</v>
      </c>
      <c r="AE471" t="b">
        <v>0</v>
      </c>
      <c r="AG471" t="b">
        <v>0</v>
      </c>
      <c r="AI471" t="b">
        <v>0</v>
      </c>
      <c r="AK471" t="s">
        <v>202</v>
      </c>
      <c r="AL471" t="s">
        <v>66</v>
      </c>
      <c r="AM471" s="3">
        <v>46265</v>
      </c>
      <c r="AN471" s="4">
        <v>0.92297453703703702</v>
      </c>
      <c r="AO471" t="s">
        <v>2144</v>
      </c>
      <c r="AP471" t="s">
        <v>2145</v>
      </c>
      <c r="AQ471" t="s">
        <v>69</v>
      </c>
      <c r="AR471">
        <v>93.1</v>
      </c>
      <c r="AS471" t="s">
        <v>85</v>
      </c>
      <c r="AT471" t="s">
        <v>1202</v>
      </c>
      <c r="AU471" t="s">
        <v>221</v>
      </c>
      <c r="AV471" t="s">
        <v>73</v>
      </c>
      <c r="AW471" t="str">
        <f t="shared" si="14"/>
        <v>Ingeniería Industrial</v>
      </c>
      <c r="AX471" t="str">
        <f t="shared" si="15"/>
        <v>302 8421772</v>
      </c>
      <c r="AY471" t="str">
        <f>IFERROR(INDEX(Vacantes!$C:$C,MATCH(AT471,Vacantes!$A:$A,0)),"")</f>
        <v>Cervecería de Tocancipá</v>
      </c>
      <c r="AZ471" t="str">
        <f>IFERROR(INDEX(Vacantes!$D:$D,MATCH(AT471,Vacantes!$A:$A,0)),"")</f>
        <v>27 de octubre de 2026</v>
      </c>
      <c r="BA471" t="str">
        <f>IFERROR(INDEX(Vacantes!$E:$E,MATCH(AT471,Vacantes!$A:$A,0)),"")</f>
        <v>12:30 p.m. a 4:00 p.m.</v>
      </c>
    </row>
    <row r="472" spans="1:53" x14ac:dyDescent="0.15">
      <c r="A472" s="5" t="s">
        <v>1515</v>
      </c>
      <c r="B472" s="5" t="s">
        <v>1516</v>
      </c>
      <c r="C472" s="5" t="s">
        <v>55</v>
      </c>
      <c r="D472" s="5">
        <v>1029981862</v>
      </c>
      <c r="E472" s="5" t="s">
        <v>76</v>
      </c>
      <c r="F472" s="5">
        <v>20</v>
      </c>
      <c r="G472" s="5" t="b">
        <v>1</v>
      </c>
      <c r="H472" s="5" t="s">
        <v>141</v>
      </c>
      <c r="I472" s="5" t="s">
        <v>141</v>
      </c>
      <c r="J472" s="5" t="s">
        <v>234</v>
      </c>
      <c r="K472" s="5"/>
      <c r="L472" s="5" t="s">
        <v>143</v>
      </c>
      <c r="M472" s="5"/>
      <c r="N472" s="5" t="b">
        <v>0</v>
      </c>
      <c r="O472" s="5" t="b">
        <v>0</v>
      </c>
      <c r="P472" s="5" t="s">
        <v>60</v>
      </c>
      <c r="Q472" s="5" t="s">
        <v>60</v>
      </c>
      <c r="R472" s="5" t="s">
        <v>135</v>
      </c>
      <c r="S472" s="5"/>
      <c r="T472" s="5"/>
      <c r="U472" s="5"/>
      <c r="V472" s="5"/>
      <c r="W472" s="5" t="s">
        <v>125</v>
      </c>
      <c r="X472" s="5" t="s">
        <v>145</v>
      </c>
      <c r="Y472" s="5"/>
      <c r="Z472" s="5"/>
      <c r="AA472" s="5"/>
      <c r="AB472" s="5" t="b">
        <v>0</v>
      </c>
      <c r="AC472" s="5" t="b">
        <v>0</v>
      </c>
      <c r="AD472" s="5"/>
      <c r="AE472" s="5" t="b">
        <v>0</v>
      </c>
      <c r="AF472" s="5"/>
      <c r="AG472" s="5" t="b">
        <v>0</v>
      </c>
      <c r="AH472" s="5"/>
      <c r="AI472" s="5" t="b">
        <v>0</v>
      </c>
      <c r="AJ472" s="5"/>
      <c r="AK472" s="5" t="s">
        <v>65</v>
      </c>
      <c r="AL472" s="5" t="s">
        <v>66</v>
      </c>
      <c r="AM472" s="6">
        <v>46269</v>
      </c>
      <c r="AN472" s="7">
        <v>0.24945601851851851</v>
      </c>
      <c r="AO472" s="5" t="s">
        <v>1517</v>
      </c>
      <c r="AP472" s="5" t="s">
        <v>1518</v>
      </c>
      <c r="AQ472" s="5" t="s">
        <v>69</v>
      </c>
      <c r="AR472" s="5">
        <v>84.1</v>
      </c>
      <c r="AS472" s="5" t="s">
        <v>85</v>
      </c>
      <c r="AT472" s="5" t="s">
        <v>1519</v>
      </c>
      <c r="AU472" s="5" t="s">
        <v>221</v>
      </c>
      <c r="AV472" s="5" t="s">
        <v>73</v>
      </c>
      <c r="AW472" s="5" t="str">
        <f t="shared" si="14"/>
        <v>Ingeniería Industrial</v>
      </c>
      <c r="AX472" s="5" t="str">
        <f t="shared" si="15"/>
        <v>322 8949260</v>
      </c>
      <c r="AY472" s="5" t="str">
        <f>IFERROR(INDEX(Vacantes!$C:$C,MATCH(AT472,Vacantes!$A:$A,0)),"")</f>
        <v>Cervecería de Medellín</v>
      </c>
      <c r="AZ472" s="5" t="str">
        <f>IFERROR(INDEX(Vacantes!$D:$D,MATCH(AT472,Vacantes!$A:$A,0)),"")</f>
        <v>21 de octubre de 2026</v>
      </c>
      <c r="BA472" s="5" t="str">
        <f>IFERROR(INDEX(Vacantes!$E:$E,MATCH(AT472,Vacantes!$A:$A,0)),"")</f>
        <v>12:30 p.m. a 4:30 p.m.</v>
      </c>
    </row>
    <row r="473" spans="1:53" x14ac:dyDescent="0.15">
      <c r="A473" t="s">
        <v>1667</v>
      </c>
      <c r="B473" t="s">
        <v>1668</v>
      </c>
      <c r="C473" t="s">
        <v>55</v>
      </c>
      <c r="D473">
        <v>1001029308</v>
      </c>
      <c r="E473" t="s">
        <v>56</v>
      </c>
      <c r="F473">
        <v>23</v>
      </c>
      <c r="G473" t="b">
        <v>1</v>
      </c>
      <c r="H473" t="s">
        <v>207</v>
      </c>
      <c r="I473" t="s">
        <v>141</v>
      </c>
      <c r="J473" t="s">
        <v>201</v>
      </c>
      <c r="L473" t="s">
        <v>305</v>
      </c>
      <c r="N473" t="b">
        <v>0</v>
      </c>
      <c r="O473" t="b">
        <v>0</v>
      </c>
      <c r="P473" t="s">
        <v>60</v>
      </c>
      <c r="Q473" t="s">
        <v>60</v>
      </c>
      <c r="R473" t="s">
        <v>125</v>
      </c>
      <c r="W473" t="s">
        <v>125</v>
      </c>
      <c r="X473" t="s">
        <v>145</v>
      </c>
      <c r="AB473" t="b">
        <v>0</v>
      </c>
      <c r="AC473" t="b">
        <v>0</v>
      </c>
      <c r="AE473" t="b">
        <v>0</v>
      </c>
      <c r="AG473" t="b">
        <v>0</v>
      </c>
      <c r="AI473" t="b">
        <v>0</v>
      </c>
      <c r="AK473" t="s">
        <v>202</v>
      </c>
      <c r="AL473" t="s">
        <v>1669</v>
      </c>
      <c r="AM473" s="3">
        <v>46268</v>
      </c>
      <c r="AN473" s="4">
        <v>0.54873842592592592</v>
      </c>
      <c r="AO473">
        <v>3006204601</v>
      </c>
      <c r="AP473" t="s">
        <v>1670</v>
      </c>
      <c r="AQ473" t="s">
        <v>69</v>
      </c>
      <c r="AR473">
        <v>97.2</v>
      </c>
      <c r="AS473" t="s">
        <v>70</v>
      </c>
      <c r="AT473" t="s">
        <v>1519</v>
      </c>
      <c r="AV473" t="s">
        <v>73</v>
      </c>
      <c r="AW473" t="str">
        <f t="shared" si="14"/>
        <v>Ingeniería Química</v>
      </c>
      <c r="AX473" t="str">
        <f t="shared" si="15"/>
        <v>3006204601</v>
      </c>
      <c r="AY473" t="str">
        <f>IFERROR(INDEX(Vacantes!$C:$C,MATCH(AT473,Vacantes!$A:$A,0)),"")</f>
        <v>Cervecería de Medellín</v>
      </c>
      <c r="AZ473" t="str">
        <f>IFERROR(INDEX(Vacantes!$D:$D,MATCH(AT473,Vacantes!$A:$A,0)),"")</f>
        <v>21 de octubre de 2026</v>
      </c>
      <c r="BA473" t="str">
        <f>IFERROR(INDEX(Vacantes!$E:$E,MATCH(AT473,Vacantes!$A:$A,0)),"")</f>
        <v>12:30 p.m. a 4:30 p.m.</v>
      </c>
    </row>
    <row r="474" spans="1:53" x14ac:dyDescent="0.15">
      <c r="A474" t="s">
        <v>1736</v>
      </c>
      <c r="B474" t="s">
        <v>1737</v>
      </c>
      <c r="C474" t="s">
        <v>55</v>
      </c>
      <c r="D474">
        <v>1000184650</v>
      </c>
      <c r="E474" t="s">
        <v>76</v>
      </c>
      <c r="F474">
        <v>23</v>
      </c>
      <c r="G474" t="b">
        <v>1</v>
      </c>
      <c r="H474" t="s">
        <v>207</v>
      </c>
      <c r="I474" t="s">
        <v>141</v>
      </c>
      <c r="J474" t="s">
        <v>1272</v>
      </c>
      <c r="L474" t="s">
        <v>299</v>
      </c>
      <c r="N474" t="b">
        <v>0</v>
      </c>
      <c r="O474" t="b">
        <v>0</v>
      </c>
      <c r="P474" t="s">
        <v>60</v>
      </c>
      <c r="Q474" t="s">
        <v>144</v>
      </c>
      <c r="R474" t="s">
        <v>125</v>
      </c>
      <c r="W474" t="s">
        <v>125</v>
      </c>
      <c r="X474" t="s">
        <v>306</v>
      </c>
      <c r="AB474" t="b">
        <v>0</v>
      </c>
      <c r="AC474" t="b">
        <v>0</v>
      </c>
      <c r="AE474" t="b">
        <v>0</v>
      </c>
      <c r="AG474" t="b">
        <v>0</v>
      </c>
      <c r="AI474" t="b">
        <v>0</v>
      </c>
      <c r="AK474" t="s">
        <v>94</v>
      </c>
      <c r="AL474" t="s">
        <v>1669</v>
      </c>
      <c r="AM474" s="3">
        <v>46265</v>
      </c>
      <c r="AN474" s="4">
        <v>0.5632638888888889</v>
      </c>
      <c r="AO474" t="s">
        <v>1738</v>
      </c>
      <c r="AP474" t="s">
        <v>1739</v>
      </c>
      <c r="AQ474" t="s">
        <v>69</v>
      </c>
      <c r="AR474">
        <v>82.5</v>
      </c>
      <c r="AS474" t="s">
        <v>70</v>
      </c>
      <c r="AT474" t="s">
        <v>1519</v>
      </c>
      <c r="AV474" t="s">
        <v>73</v>
      </c>
      <c r="AW474" t="str">
        <f t="shared" si="14"/>
        <v>Ingeniería de Alimentos</v>
      </c>
      <c r="AX474" t="str">
        <f t="shared" si="15"/>
        <v>322 4630169</v>
      </c>
      <c r="AY474" t="str">
        <f>IFERROR(INDEX(Vacantes!$C:$C,MATCH(AT474,Vacantes!$A:$A,0)),"")</f>
        <v>Cervecería de Medellín</v>
      </c>
      <c r="AZ474" t="str">
        <f>IFERROR(INDEX(Vacantes!$D:$D,MATCH(AT474,Vacantes!$A:$A,0)),"")</f>
        <v>21 de octubre de 2026</v>
      </c>
      <c r="BA474" t="str">
        <f>IFERROR(INDEX(Vacantes!$E:$E,MATCH(AT474,Vacantes!$A:$A,0)),"")</f>
        <v>12:30 p.m. a 4:30 p.m.</v>
      </c>
    </row>
    <row r="475" spans="1:53" x14ac:dyDescent="0.15">
      <c r="A475" t="s">
        <v>1740</v>
      </c>
      <c r="B475" t="s">
        <v>1741</v>
      </c>
      <c r="C475" t="s">
        <v>55</v>
      </c>
      <c r="D475">
        <v>1000414899</v>
      </c>
      <c r="E475" t="s">
        <v>76</v>
      </c>
      <c r="F475">
        <v>22</v>
      </c>
      <c r="G475" t="b">
        <v>1</v>
      </c>
      <c r="H475" t="s">
        <v>207</v>
      </c>
      <c r="I475" t="s">
        <v>141</v>
      </c>
      <c r="J475" t="s">
        <v>1272</v>
      </c>
      <c r="L475" t="s">
        <v>305</v>
      </c>
      <c r="N475" t="b">
        <v>0</v>
      </c>
      <c r="O475" t="b">
        <v>0</v>
      </c>
      <c r="P475" t="s">
        <v>144</v>
      </c>
      <c r="Q475" t="s">
        <v>60</v>
      </c>
      <c r="R475" t="s">
        <v>125</v>
      </c>
      <c r="W475" t="s">
        <v>125</v>
      </c>
      <c r="X475" t="s">
        <v>315</v>
      </c>
      <c r="AB475" t="b">
        <v>0</v>
      </c>
      <c r="AC475" t="b">
        <v>0</v>
      </c>
      <c r="AE475" t="b">
        <v>0</v>
      </c>
      <c r="AG475" t="b">
        <v>0</v>
      </c>
      <c r="AI475" t="b">
        <v>0</v>
      </c>
      <c r="AK475" t="s">
        <v>202</v>
      </c>
      <c r="AL475" t="s">
        <v>1669</v>
      </c>
      <c r="AM475" s="3">
        <v>46267</v>
      </c>
      <c r="AN475" s="4">
        <v>0.54263888888888889</v>
      </c>
      <c r="AO475" t="s">
        <v>1742</v>
      </c>
      <c r="AP475" t="s">
        <v>1743</v>
      </c>
      <c r="AQ475" t="s">
        <v>69</v>
      </c>
      <c r="AR475">
        <v>95.5</v>
      </c>
      <c r="AS475" t="s">
        <v>70</v>
      </c>
      <c r="AT475" t="s">
        <v>1519</v>
      </c>
      <c r="AV475" t="s">
        <v>73</v>
      </c>
      <c r="AW475" t="str">
        <f t="shared" si="14"/>
        <v>Ingeniería Química</v>
      </c>
      <c r="AX475" t="str">
        <f t="shared" si="15"/>
        <v>320 8896616</v>
      </c>
      <c r="AY475" t="str">
        <f>IFERROR(INDEX(Vacantes!$C:$C,MATCH(AT475,Vacantes!$A:$A,0)),"")</f>
        <v>Cervecería de Medellín</v>
      </c>
      <c r="AZ475" t="str">
        <f>IFERROR(INDEX(Vacantes!$D:$D,MATCH(AT475,Vacantes!$A:$A,0)),"")</f>
        <v>21 de octubre de 2026</v>
      </c>
      <c r="BA475" t="str">
        <f>IFERROR(INDEX(Vacantes!$E:$E,MATCH(AT475,Vacantes!$A:$A,0)),"")</f>
        <v>12:30 p.m. a 4:30 p.m.</v>
      </c>
    </row>
    <row r="476" spans="1:53" x14ac:dyDescent="0.15">
      <c r="A476" t="s">
        <v>1744</v>
      </c>
      <c r="B476" t="s">
        <v>1745</v>
      </c>
      <c r="C476" t="s">
        <v>55</v>
      </c>
      <c r="D476">
        <v>1001420520</v>
      </c>
      <c r="E476" t="s">
        <v>76</v>
      </c>
      <c r="F476">
        <v>25</v>
      </c>
      <c r="G476" t="b">
        <v>1</v>
      </c>
      <c r="H476" t="s">
        <v>207</v>
      </c>
      <c r="I476" t="s">
        <v>141</v>
      </c>
      <c r="J476" t="s">
        <v>1272</v>
      </c>
      <c r="L476" t="s">
        <v>356</v>
      </c>
      <c r="N476" t="b">
        <v>0</v>
      </c>
      <c r="O476" t="b">
        <v>0</v>
      </c>
      <c r="P476" t="s">
        <v>60</v>
      </c>
      <c r="Q476" t="s">
        <v>60</v>
      </c>
      <c r="R476" t="s">
        <v>125</v>
      </c>
      <c r="W476" t="s">
        <v>125</v>
      </c>
      <c r="X476" t="s">
        <v>145</v>
      </c>
      <c r="AB476" t="b">
        <v>0</v>
      </c>
      <c r="AC476" t="b">
        <v>0</v>
      </c>
      <c r="AE476" t="b">
        <v>0</v>
      </c>
      <c r="AG476" t="b">
        <v>0</v>
      </c>
      <c r="AI476" t="b">
        <v>0</v>
      </c>
      <c r="AK476" t="s">
        <v>202</v>
      </c>
      <c r="AL476" t="s">
        <v>1669</v>
      </c>
      <c r="AM476" s="3">
        <v>46260</v>
      </c>
      <c r="AN476" s="4">
        <v>0.54805555555555552</v>
      </c>
      <c r="AO476" t="s">
        <v>1746</v>
      </c>
      <c r="AP476" t="s">
        <v>1747</v>
      </c>
      <c r="AQ476" t="s">
        <v>69</v>
      </c>
      <c r="AR476">
        <v>88</v>
      </c>
      <c r="AS476" t="s">
        <v>70</v>
      </c>
      <c r="AT476" t="s">
        <v>1519</v>
      </c>
      <c r="AV476" t="s">
        <v>73</v>
      </c>
      <c r="AW476" t="str">
        <f t="shared" si="14"/>
        <v>Ingeniería Ambiental</v>
      </c>
      <c r="AX476" t="str">
        <f t="shared" si="15"/>
        <v>311 3236803</v>
      </c>
      <c r="AY476" t="str">
        <f>IFERROR(INDEX(Vacantes!$C:$C,MATCH(AT476,Vacantes!$A:$A,0)),"")</f>
        <v>Cervecería de Medellín</v>
      </c>
      <c r="AZ476" t="str">
        <f>IFERROR(INDEX(Vacantes!$D:$D,MATCH(AT476,Vacantes!$A:$A,0)),"")</f>
        <v>21 de octubre de 2026</v>
      </c>
      <c r="BA476" t="str">
        <f>IFERROR(INDEX(Vacantes!$E:$E,MATCH(AT476,Vacantes!$A:$A,0)),"")</f>
        <v>12:30 p.m. a 4:30 p.m.</v>
      </c>
    </row>
    <row r="477" spans="1:53" x14ac:dyDescent="0.15">
      <c r="A477" t="s">
        <v>1748</v>
      </c>
      <c r="B477" t="s">
        <v>1749</v>
      </c>
      <c r="C477" t="s">
        <v>55</v>
      </c>
      <c r="D477">
        <v>1036251392</v>
      </c>
      <c r="E477" t="s">
        <v>76</v>
      </c>
      <c r="F477">
        <v>21</v>
      </c>
      <c r="G477" t="b">
        <v>1</v>
      </c>
      <c r="H477" t="s">
        <v>1750</v>
      </c>
      <c r="I477" t="s">
        <v>141</v>
      </c>
      <c r="J477" t="s">
        <v>234</v>
      </c>
      <c r="L477" t="s">
        <v>132</v>
      </c>
      <c r="M477" t="s">
        <v>602</v>
      </c>
      <c r="N477" t="b">
        <v>0</v>
      </c>
      <c r="O477" t="b">
        <v>0</v>
      </c>
      <c r="P477" t="s">
        <v>60</v>
      </c>
      <c r="Q477" t="s">
        <v>144</v>
      </c>
      <c r="R477" t="s">
        <v>125</v>
      </c>
      <c r="W477" t="s">
        <v>125</v>
      </c>
      <c r="X477" t="s">
        <v>306</v>
      </c>
      <c r="AB477" t="b">
        <v>0</v>
      </c>
      <c r="AC477" t="b">
        <v>0</v>
      </c>
      <c r="AE477" t="b">
        <v>0</v>
      </c>
      <c r="AG477" t="b">
        <v>0</v>
      </c>
      <c r="AI477" t="b">
        <v>0</v>
      </c>
      <c r="AK477" t="s">
        <v>153</v>
      </c>
      <c r="AL477" t="s">
        <v>1669</v>
      </c>
      <c r="AM477" s="3">
        <v>46262</v>
      </c>
      <c r="AN477" s="4">
        <v>0.6090740740740741</v>
      </c>
      <c r="AO477" t="s">
        <v>1751</v>
      </c>
      <c r="AP477" t="s">
        <v>1752</v>
      </c>
      <c r="AQ477" t="s">
        <v>69</v>
      </c>
      <c r="AR477">
        <v>83</v>
      </c>
      <c r="AS477" t="s">
        <v>85</v>
      </c>
      <c r="AT477" t="s">
        <v>1519</v>
      </c>
      <c r="AV477" t="s">
        <v>73</v>
      </c>
      <c r="AW477" t="str">
        <f t="shared" si="14"/>
        <v>Ingeniería Biológica</v>
      </c>
      <c r="AX477" t="str">
        <f t="shared" si="15"/>
        <v>312 6440342</v>
      </c>
      <c r="AY477" t="str">
        <f>IFERROR(INDEX(Vacantes!$C:$C,MATCH(AT477,Vacantes!$A:$A,0)),"")</f>
        <v>Cervecería de Medellín</v>
      </c>
      <c r="AZ477" t="str">
        <f>IFERROR(INDEX(Vacantes!$D:$D,MATCH(AT477,Vacantes!$A:$A,0)),"")</f>
        <v>21 de octubre de 2026</v>
      </c>
      <c r="BA477" t="str">
        <f>IFERROR(INDEX(Vacantes!$E:$E,MATCH(AT477,Vacantes!$A:$A,0)),"")</f>
        <v>12:30 p.m. a 4:30 p.m.</v>
      </c>
    </row>
    <row r="478" spans="1:53" x14ac:dyDescent="0.15">
      <c r="A478" t="s">
        <v>1753</v>
      </c>
      <c r="B478" t="s">
        <v>1754</v>
      </c>
      <c r="C478" t="s">
        <v>55</v>
      </c>
      <c r="D478">
        <v>1043636565</v>
      </c>
      <c r="E478" t="s">
        <v>76</v>
      </c>
      <c r="F478">
        <v>22</v>
      </c>
      <c r="G478" t="b">
        <v>1</v>
      </c>
      <c r="H478" t="s">
        <v>1755</v>
      </c>
      <c r="I478" t="s">
        <v>141</v>
      </c>
      <c r="J478" t="s">
        <v>100</v>
      </c>
      <c r="L478" t="s">
        <v>1756</v>
      </c>
      <c r="N478" t="b">
        <v>0</v>
      </c>
      <c r="O478" t="b">
        <v>0</v>
      </c>
      <c r="P478" t="s">
        <v>60</v>
      </c>
      <c r="Q478" t="s">
        <v>60</v>
      </c>
      <c r="R478" t="s">
        <v>125</v>
      </c>
      <c r="W478" t="s">
        <v>125</v>
      </c>
      <c r="X478" t="s">
        <v>315</v>
      </c>
      <c r="AB478" t="b">
        <v>0</v>
      </c>
      <c r="AC478" t="b">
        <v>0</v>
      </c>
      <c r="AE478" t="b">
        <v>0</v>
      </c>
      <c r="AG478" t="b">
        <v>0</v>
      </c>
      <c r="AI478" t="b">
        <v>0</v>
      </c>
      <c r="AK478" t="s">
        <v>65</v>
      </c>
      <c r="AL478" t="s">
        <v>1669</v>
      </c>
      <c r="AM478" s="3">
        <v>46264</v>
      </c>
      <c r="AN478" s="4">
        <v>0.86814814814814811</v>
      </c>
      <c r="AO478">
        <v>3009099493</v>
      </c>
      <c r="AP478" t="s">
        <v>1757</v>
      </c>
      <c r="AQ478" t="s">
        <v>69</v>
      </c>
      <c r="AR478">
        <v>76.8</v>
      </c>
      <c r="AS478" t="s">
        <v>85</v>
      </c>
      <c r="AT478" t="s">
        <v>1519</v>
      </c>
      <c r="AV478" t="s">
        <v>73</v>
      </c>
      <c r="AW478" t="str">
        <f t="shared" si="14"/>
        <v>Biología</v>
      </c>
      <c r="AX478" t="str">
        <f t="shared" si="15"/>
        <v>3009099493</v>
      </c>
      <c r="AY478" t="str">
        <f>IFERROR(INDEX(Vacantes!$C:$C,MATCH(AT478,Vacantes!$A:$A,0)),"")</f>
        <v>Cervecería de Medellín</v>
      </c>
      <c r="AZ478" t="str">
        <f>IFERROR(INDEX(Vacantes!$D:$D,MATCH(AT478,Vacantes!$A:$A,0)),"")</f>
        <v>21 de octubre de 2026</v>
      </c>
      <c r="BA478" t="str">
        <f>IFERROR(INDEX(Vacantes!$E:$E,MATCH(AT478,Vacantes!$A:$A,0)),"")</f>
        <v>12:30 p.m. a 4:30 p.m.</v>
      </c>
    </row>
    <row r="479" spans="1:53" x14ac:dyDescent="0.15">
      <c r="A479" t="s">
        <v>1758</v>
      </c>
      <c r="B479" t="s">
        <v>1759</v>
      </c>
      <c r="C479" t="s">
        <v>55</v>
      </c>
      <c r="D479">
        <v>1000273617</v>
      </c>
      <c r="E479" t="s">
        <v>56</v>
      </c>
      <c r="F479">
        <v>23</v>
      </c>
      <c r="G479" t="b">
        <v>1</v>
      </c>
      <c r="H479" t="s">
        <v>207</v>
      </c>
      <c r="I479" t="s">
        <v>141</v>
      </c>
      <c r="J479" t="s">
        <v>234</v>
      </c>
      <c r="L479" t="s">
        <v>132</v>
      </c>
      <c r="M479" t="s">
        <v>1760</v>
      </c>
      <c r="N479" t="b">
        <v>0</v>
      </c>
      <c r="O479" t="b">
        <v>0</v>
      </c>
      <c r="P479" t="s">
        <v>61</v>
      </c>
      <c r="Q479" t="s">
        <v>60</v>
      </c>
      <c r="R479" t="s">
        <v>125</v>
      </c>
      <c r="W479" t="s">
        <v>125</v>
      </c>
      <c r="X479" t="s">
        <v>145</v>
      </c>
      <c r="AB479" t="b">
        <v>0</v>
      </c>
      <c r="AC479" t="b">
        <v>0</v>
      </c>
      <c r="AE479" t="b">
        <v>0</v>
      </c>
      <c r="AG479" t="b">
        <v>0</v>
      </c>
      <c r="AI479" t="b">
        <v>0</v>
      </c>
      <c r="AK479" t="s">
        <v>94</v>
      </c>
      <c r="AL479" t="s">
        <v>1669</v>
      </c>
      <c r="AM479" s="3">
        <v>46277</v>
      </c>
      <c r="AN479" s="4">
        <v>0.68451388888888887</v>
      </c>
      <c r="AO479">
        <v>3135999743</v>
      </c>
      <c r="AP479" t="s">
        <v>1761</v>
      </c>
      <c r="AQ479" t="s">
        <v>69</v>
      </c>
      <c r="AR479">
        <v>78.5</v>
      </c>
      <c r="AS479" t="s">
        <v>70</v>
      </c>
      <c r="AT479" t="s">
        <v>1519</v>
      </c>
      <c r="AV479" t="s">
        <v>73</v>
      </c>
      <c r="AW479" t="str">
        <f t="shared" si="14"/>
        <v>ingeniería biológica</v>
      </c>
      <c r="AX479" t="str">
        <f t="shared" si="15"/>
        <v>3135999743</v>
      </c>
      <c r="AY479" t="str">
        <f>IFERROR(INDEX(Vacantes!$C:$C,MATCH(AT479,Vacantes!$A:$A,0)),"")</f>
        <v>Cervecería de Medellín</v>
      </c>
      <c r="AZ479" t="str">
        <f>IFERROR(INDEX(Vacantes!$D:$D,MATCH(AT479,Vacantes!$A:$A,0)),"")</f>
        <v>21 de octubre de 2026</v>
      </c>
      <c r="BA479" t="str">
        <f>IFERROR(INDEX(Vacantes!$E:$E,MATCH(AT479,Vacantes!$A:$A,0)),"")</f>
        <v>12:30 p.m. a 4:30 p.m.</v>
      </c>
    </row>
    <row r="480" spans="1:53" x14ac:dyDescent="0.15">
      <c r="A480" t="s">
        <v>1762</v>
      </c>
      <c r="B480" t="s">
        <v>1763</v>
      </c>
      <c r="C480" t="s">
        <v>55</v>
      </c>
      <c r="D480">
        <v>1000537538</v>
      </c>
      <c r="E480" t="s">
        <v>76</v>
      </c>
      <c r="F480">
        <v>23</v>
      </c>
      <c r="G480" t="b">
        <v>1</v>
      </c>
      <c r="H480" t="s">
        <v>141</v>
      </c>
      <c r="I480" t="s">
        <v>141</v>
      </c>
      <c r="J480" t="s">
        <v>201</v>
      </c>
      <c r="L480" t="s">
        <v>305</v>
      </c>
      <c r="N480" t="b">
        <v>0</v>
      </c>
      <c r="O480" t="b">
        <v>0</v>
      </c>
      <c r="P480" t="s">
        <v>61</v>
      </c>
      <c r="Q480" t="s">
        <v>61</v>
      </c>
      <c r="R480" t="s">
        <v>125</v>
      </c>
      <c r="W480" t="s">
        <v>125</v>
      </c>
      <c r="X480" t="s">
        <v>315</v>
      </c>
      <c r="AB480" t="b">
        <v>0</v>
      </c>
      <c r="AC480" t="b">
        <v>0</v>
      </c>
      <c r="AE480" t="b">
        <v>0</v>
      </c>
      <c r="AG480" t="b">
        <v>0</v>
      </c>
      <c r="AI480" t="b">
        <v>0</v>
      </c>
      <c r="AK480" t="s">
        <v>202</v>
      </c>
      <c r="AL480" t="s">
        <v>1669</v>
      </c>
      <c r="AM480" s="3">
        <v>46259</v>
      </c>
      <c r="AN480" s="4">
        <v>0.68896990740740738</v>
      </c>
      <c r="AO480" t="s">
        <v>1764</v>
      </c>
      <c r="AP480" t="s">
        <v>1765</v>
      </c>
      <c r="AQ480" t="s">
        <v>69</v>
      </c>
      <c r="AR480">
        <v>89.7</v>
      </c>
      <c r="AS480" t="s">
        <v>70</v>
      </c>
      <c r="AT480" t="s">
        <v>1519</v>
      </c>
      <c r="AV480" t="s">
        <v>73</v>
      </c>
      <c r="AW480" t="str">
        <f t="shared" si="14"/>
        <v>Ingeniería Química</v>
      </c>
      <c r="AX480" t="str">
        <f t="shared" si="15"/>
        <v>317 4002460</v>
      </c>
      <c r="AY480" t="str">
        <f>IFERROR(INDEX(Vacantes!$C:$C,MATCH(AT480,Vacantes!$A:$A,0)),"")</f>
        <v>Cervecería de Medellín</v>
      </c>
      <c r="AZ480" t="str">
        <f>IFERROR(INDEX(Vacantes!$D:$D,MATCH(AT480,Vacantes!$A:$A,0)),"")</f>
        <v>21 de octubre de 2026</v>
      </c>
      <c r="BA480" t="str">
        <f>IFERROR(INDEX(Vacantes!$E:$E,MATCH(AT480,Vacantes!$A:$A,0)),"")</f>
        <v>12:30 p.m. a 4:30 p.m.</v>
      </c>
    </row>
    <row r="481" spans="1:53" x14ac:dyDescent="0.15">
      <c r="A481" t="s">
        <v>1766</v>
      </c>
      <c r="B481" t="s">
        <v>1767</v>
      </c>
      <c r="C481" t="s">
        <v>55</v>
      </c>
      <c r="D481">
        <v>1002635864</v>
      </c>
      <c r="E481" t="s">
        <v>56</v>
      </c>
      <c r="F481">
        <v>22</v>
      </c>
      <c r="G481" t="b">
        <v>1</v>
      </c>
      <c r="H481" t="s">
        <v>1768</v>
      </c>
      <c r="I481" t="s">
        <v>141</v>
      </c>
      <c r="J481" t="s">
        <v>234</v>
      </c>
      <c r="L481" t="s">
        <v>305</v>
      </c>
      <c r="N481" t="b">
        <v>0</v>
      </c>
      <c r="O481" t="b">
        <v>0</v>
      </c>
      <c r="P481" t="s">
        <v>61</v>
      </c>
      <c r="Q481" t="s">
        <v>60</v>
      </c>
      <c r="R481" t="s">
        <v>125</v>
      </c>
      <c r="W481" t="s">
        <v>125</v>
      </c>
      <c r="X481" t="s">
        <v>306</v>
      </c>
      <c r="AB481" t="b">
        <v>0</v>
      </c>
      <c r="AC481" t="b">
        <v>0</v>
      </c>
      <c r="AE481" t="b">
        <v>0</v>
      </c>
      <c r="AG481" t="b">
        <v>0</v>
      </c>
      <c r="AI481" t="b">
        <v>0</v>
      </c>
      <c r="AK481" t="s">
        <v>202</v>
      </c>
      <c r="AL481" t="s">
        <v>1669</v>
      </c>
      <c r="AM481" s="3">
        <v>46262</v>
      </c>
      <c r="AN481" s="4">
        <v>0.24175925925925931</v>
      </c>
      <c r="AO481" t="s">
        <v>1769</v>
      </c>
      <c r="AP481" t="s">
        <v>1770</v>
      </c>
      <c r="AQ481" t="s">
        <v>69</v>
      </c>
      <c r="AR481">
        <v>93.2</v>
      </c>
      <c r="AS481" t="s">
        <v>70</v>
      </c>
      <c r="AT481" t="s">
        <v>1519</v>
      </c>
      <c r="AV481" t="s">
        <v>73</v>
      </c>
      <c r="AW481" t="str">
        <f t="shared" si="14"/>
        <v>Ingeniería Química</v>
      </c>
      <c r="AX481" t="str">
        <f t="shared" si="15"/>
        <v>310 3774795</v>
      </c>
      <c r="AY481" t="str">
        <f>IFERROR(INDEX(Vacantes!$C:$C,MATCH(AT481,Vacantes!$A:$A,0)),"")</f>
        <v>Cervecería de Medellín</v>
      </c>
      <c r="AZ481" t="str">
        <f>IFERROR(INDEX(Vacantes!$D:$D,MATCH(AT481,Vacantes!$A:$A,0)),"")</f>
        <v>21 de octubre de 2026</v>
      </c>
      <c r="BA481" t="str">
        <f>IFERROR(INDEX(Vacantes!$E:$E,MATCH(AT481,Vacantes!$A:$A,0)),"")</f>
        <v>12:30 p.m. a 4:30 p.m.</v>
      </c>
    </row>
    <row r="482" spans="1:53" x14ac:dyDescent="0.15">
      <c r="A482" t="s">
        <v>1963</v>
      </c>
      <c r="B482" t="s">
        <v>1964</v>
      </c>
      <c r="C482" t="s">
        <v>55</v>
      </c>
      <c r="D482">
        <v>1021393550</v>
      </c>
      <c r="E482" t="s">
        <v>56</v>
      </c>
      <c r="F482">
        <v>21</v>
      </c>
      <c r="G482" t="b">
        <v>1</v>
      </c>
      <c r="I482" t="s">
        <v>57</v>
      </c>
      <c r="J482" t="s">
        <v>187</v>
      </c>
      <c r="L482" t="s">
        <v>80</v>
      </c>
      <c r="N482" t="b">
        <v>0</v>
      </c>
      <c r="O482" t="b">
        <v>0</v>
      </c>
      <c r="P482" t="s">
        <v>61</v>
      </c>
      <c r="Q482" t="s">
        <v>61</v>
      </c>
      <c r="R482" t="s">
        <v>80</v>
      </c>
      <c r="W482" t="s">
        <v>89</v>
      </c>
      <c r="Y482" t="s">
        <v>82</v>
      </c>
      <c r="AB482" t="b">
        <v>0</v>
      </c>
      <c r="AC482" t="b">
        <v>0</v>
      </c>
      <c r="AE482" t="b">
        <v>0</v>
      </c>
      <c r="AG482" t="b">
        <v>0</v>
      </c>
      <c r="AI482" t="b">
        <v>0</v>
      </c>
      <c r="AK482" t="s">
        <v>65</v>
      </c>
      <c r="AL482" t="s">
        <v>1669</v>
      </c>
      <c r="AM482" s="3">
        <v>46273</v>
      </c>
      <c r="AN482" s="4">
        <v>0.41012731481481479</v>
      </c>
      <c r="AO482" t="s">
        <v>1965</v>
      </c>
      <c r="AP482" t="s">
        <v>1966</v>
      </c>
      <c r="AQ482" t="s">
        <v>69</v>
      </c>
      <c r="AR482">
        <v>97.1</v>
      </c>
      <c r="AS482" t="s">
        <v>70</v>
      </c>
      <c r="AT482" t="s">
        <v>1967</v>
      </c>
      <c r="AV482" t="s">
        <v>73</v>
      </c>
      <c r="AW482" t="str">
        <f t="shared" si="14"/>
        <v>Finanzas</v>
      </c>
      <c r="AX482" t="str">
        <f t="shared" si="15"/>
        <v>322 4745812</v>
      </c>
      <c r="AY482" t="str">
        <f>IFERROR(INDEX(Vacantes!$C:$C,MATCH(AT482,Vacantes!$A:$A,0)),"")</f>
        <v>127</v>
      </c>
      <c r="AZ482" t="str">
        <f>IFERROR(INDEX(Vacantes!$D:$D,MATCH(AT482,Vacantes!$A:$A,0)),"")</f>
        <v>Por confirmar</v>
      </c>
      <c r="BA482" t="str">
        <f>IFERROR(INDEX(Vacantes!$E:$E,MATCH(AT482,Vacantes!$A:$A,0)),"")</f>
        <v>Por confirmar</v>
      </c>
    </row>
    <row r="483" spans="1:53" x14ac:dyDescent="0.15">
      <c r="A483" t="s">
        <v>1968</v>
      </c>
      <c r="B483" t="s">
        <v>1969</v>
      </c>
      <c r="C483" t="s">
        <v>55</v>
      </c>
      <c r="D483">
        <v>1108558398</v>
      </c>
      <c r="E483" t="s">
        <v>76</v>
      </c>
      <c r="F483">
        <v>22</v>
      </c>
      <c r="G483" t="b">
        <v>1</v>
      </c>
      <c r="I483" t="s">
        <v>57</v>
      </c>
      <c r="J483" t="s">
        <v>401</v>
      </c>
      <c r="L483" t="s">
        <v>143</v>
      </c>
      <c r="N483" t="b">
        <v>0</v>
      </c>
      <c r="O483" t="b">
        <v>0</v>
      </c>
      <c r="P483" t="s">
        <v>60</v>
      </c>
      <c r="Q483" t="s">
        <v>61</v>
      </c>
      <c r="R483" t="s">
        <v>80</v>
      </c>
      <c r="W483" t="s">
        <v>81</v>
      </c>
      <c r="Y483" t="s">
        <v>82</v>
      </c>
      <c r="AB483" t="b">
        <v>0</v>
      </c>
      <c r="AC483" t="b">
        <v>0</v>
      </c>
      <c r="AE483" t="b">
        <v>0</v>
      </c>
      <c r="AG483" t="b">
        <v>0</v>
      </c>
      <c r="AI483" t="b">
        <v>0</v>
      </c>
      <c r="AK483" t="s">
        <v>94</v>
      </c>
      <c r="AL483" t="s">
        <v>1669</v>
      </c>
      <c r="AM483" s="3">
        <v>46277</v>
      </c>
      <c r="AN483" s="4">
        <v>0.49656250000000002</v>
      </c>
      <c r="AO483" t="s">
        <v>1970</v>
      </c>
      <c r="AP483" t="s">
        <v>1971</v>
      </c>
      <c r="AQ483" t="s">
        <v>69</v>
      </c>
      <c r="AR483">
        <v>90</v>
      </c>
      <c r="AS483" t="s">
        <v>70</v>
      </c>
      <c r="AT483" t="s">
        <v>1967</v>
      </c>
      <c r="AV483" t="s">
        <v>73</v>
      </c>
      <c r="AW483" t="str">
        <f t="shared" si="14"/>
        <v>Ingeniería Industrial</v>
      </c>
      <c r="AX483" t="str">
        <f t="shared" si="15"/>
        <v>322 6765803</v>
      </c>
      <c r="AY483" t="str">
        <f>IFERROR(INDEX(Vacantes!$C:$C,MATCH(AT483,Vacantes!$A:$A,0)),"")</f>
        <v>127</v>
      </c>
      <c r="AZ483" t="str">
        <f>IFERROR(INDEX(Vacantes!$D:$D,MATCH(AT483,Vacantes!$A:$A,0)),"")</f>
        <v>Por confirmar</v>
      </c>
      <c r="BA483" t="str">
        <f>IFERROR(INDEX(Vacantes!$E:$E,MATCH(AT483,Vacantes!$A:$A,0)),"")</f>
        <v>Por confirmar</v>
      </c>
    </row>
    <row r="484" spans="1:53" x14ac:dyDescent="0.15">
      <c r="A484" t="s">
        <v>1972</v>
      </c>
      <c r="B484" t="s">
        <v>1973</v>
      </c>
      <c r="C484" t="s">
        <v>55</v>
      </c>
      <c r="D484">
        <v>1003239472</v>
      </c>
      <c r="E484" t="s">
        <v>76</v>
      </c>
      <c r="F484">
        <v>24</v>
      </c>
      <c r="G484" t="b">
        <v>1</v>
      </c>
      <c r="H484" t="s">
        <v>116</v>
      </c>
      <c r="I484" t="s">
        <v>57</v>
      </c>
      <c r="J484" t="s">
        <v>132</v>
      </c>
      <c r="K484" t="s">
        <v>1974</v>
      </c>
      <c r="L484" t="s">
        <v>243</v>
      </c>
      <c r="N484" t="b">
        <v>0</v>
      </c>
      <c r="O484" t="b">
        <v>0</v>
      </c>
      <c r="P484" t="s">
        <v>144</v>
      </c>
      <c r="Q484" t="s">
        <v>61</v>
      </c>
      <c r="R484" t="s">
        <v>244</v>
      </c>
      <c r="W484" t="s">
        <v>89</v>
      </c>
      <c r="AB484" t="b">
        <v>0</v>
      </c>
      <c r="AC484" t="b">
        <v>0</v>
      </c>
      <c r="AE484" t="b">
        <v>0</v>
      </c>
      <c r="AG484" t="b">
        <v>1</v>
      </c>
      <c r="AI484" t="b">
        <v>0</v>
      </c>
      <c r="AK484" t="s">
        <v>202</v>
      </c>
      <c r="AL484" t="s">
        <v>1669</v>
      </c>
      <c r="AM484" s="3">
        <v>46264</v>
      </c>
      <c r="AN484" s="4">
        <v>0.43060185185185179</v>
      </c>
      <c r="AO484" t="s">
        <v>1975</v>
      </c>
      <c r="AP484" t="s">
        <v>119</v>
      </c>
      <c r="AQ484" t="s">
        <v>69</v>
      </c>
      <c r="AR484">
        <v>84.5</v>
      </c>
      <c r="AS484" t="s">
        <v>70</v>
      </c>
      <c r="AT484" t="s">
        <v>1967</v>
      </c>
      <c r="AV484" t="s">
        <v>73</v>
      </c>
      <c r="AW484" t="str">
        <f t="shared" si="14"/>
        <v>Derecho</v>
      </c>
      <c r="AX484" t="str">
        <f t="shared" si="15"/>
        <v>324 6016605</v>
      </c>
      <c r="AY484" t="str">
        <f>IFERROR(INDEX(Vacantes!$C:$C,MATCH(AT484,Vacantes!$A:$A,0)),"")</f>
        <v>127</v>
      </c>
      <c r="AZ484" t="str">
        <f>IFERROR(INDEX(Vacantes!$D:$D,MATCH(AT484,Vacantes!$A:$A,0)),"")</f>
        <v>Por confirmar</v>
      </c>
      <c r="BA484" t="str">
        <f>IFERROR(INDEX(Vacantes!$E:$E,MATCH(AT484,Vacantes!$A:$A,0)),"")</f>
        <v>Por confirmar</v>
      </c>
    </row>
    <row r="485" spans="1:53" x14ac:dyDescent="0.15">
      <c r="A485" t="s">
        <v>1976</v>
      </c>
      <c r="B485" t="s">
        <v>1977</v>
      </c>
      <c r="C485" t="s">
        <v>55</v>
      </c>
      <c r="D485">
        <v>1013110125</v>
      </c>
      <c r="E485" t="s">
        <v>76</v>
      </c>
      <c r="F485">
        <v>20</v>
      </c>
      <c r="G485" t="b">
        <v>1</v>
      </c>
      <c r="I485" t="s">
        <v>57</v>
      </c>
      <c r="J485" t="s">
        <v>495</v>
      </c>
      <c r="L485" t="s">
        <v>59</v>
      </c>
      <c r="N485" t="b">
        <v>0</v>
      </c>
      <c r="O485" t="b">
        <v>0</v>
      </c>
      <c r="P485" t="s">
        <v>61</v>
      </c>
      <c r="Q485" t="s">
        <v>61</v>
      </c>
      <c r="R485" t="s">
        <v>80</v>
      </c>
      <c r="W485" t="s">
        <v>89</v>
      </c>
      <c r="Y485" t="s">
        <v>82</v>
      </c>
      <c r="AB485" t="b">
        <v>0</v>
      </c>
      <c r="AC485" t="b">
        <v>0</v>
      </c>
      <c r="AE485" t="b">
        <v>0</v>
      </c>
      <c r="AG485" t="b">
        <v>0</v>
      </c>
      <c r="AI485" t="b">
        <v>0</v>
      </c>
      <c r="AK485" t="s">
        <v>94</v>
      </c>
      <c r="AL485" t="s">
        <v>1669</v>
      </c>
      <c r="AM485" s="3">
        <v>46278</v>
      </c>
      <c r="AN485" s="4">
        <v>0.45679398148148148</v>
      </c>
      <c r="AO485">
        <v>3206944048</v>
      </c>
      <c r="AP485" t="s">
        <v>1978</v>
      </c>
      <c r="AQ485" t="s">
        <v>69</v>
      </c>
      <c r="AR485">
        <v>75.2</v>
      </c>
      <c r="AS485" t="s">
        <v>70</v>
      </c>
      <c r="AT485" t="s">
        <v>1967</v>
      </c>
      <c r="AV485" t="s">
        <v>73</v>
      </c>
      <c r="AW485" t="str">
        <f t="shared" si="14"/>
        <v>Estadística</v>
      </c>
      <c r="AX485" t="str">
        <f t="shared" si="15"/>
        <v>3206944048</v>
      </c>
      <c r="AY485" t="str">
        <f>IFERROR(INDEX(Vacantes!$C:$C,MATCH(AT485,Vacantes!$A:$A,0)),"")</f>
        <v>127</v>
      </c>
      <c r="AZ485" t="str">
        <f>IFERROR(INDEX(Vacantes!$D:$D,MATCH(AT485,Vacantes!$A:$A,0)),"")</f>
        <v>Por confirmar</v>
      </c>
      <c r="BA485" t="str">
        <f>IFERROR(INDEX(Vacantes!$E:$E,MATCH(AT485,Vacantes!$A:$A,0)),"")</f>
        <v>Por confirmar</v>
      </c>
    </row>
    <row r="486" spans="1:53" x14ac:dyDescent="0.15">
      <c r="A486" t="s">
        <v>1979</v>
      </c>
      <c r="B486" t="s">
        <v>1980</v>
      </c>
      <c r="C486" t="s">
        <v>55</v>
      </c>
      <c r="D486">
        <v>1013259326</v>
      </c>
      <c r="E486" t="s">
        <v>56</v>
      </c>
      <c r="F486">
        <v>21</v>
      </c>
      <c r="G486" t="b">
        <v>1</v>
      </c>
      <c r="H486" t="s">
        <v>57</v>
      </c>
      <c r="I486" t="s">
        <v>57</v>
      </c>
      <c r="J486" t="s">
        <v>187</v>
      </c>
      <c r="L486" t="s">
        <v>80</v>
      </c>
      <c r="N486" t="b">
        <v>0</v>
      </c>
      <c r="O486" t="b">
        <v>0</v>
      </c>
      <c r="P486" t="s">
        <v>60</v>
      </c>
      <c r="Q486" t="s">
        <v>61</v>
      </c>
      <c r="R486" t="s">
        <v>80</v>
      </c>
      <c r="W486" t="s">
        <v>89</v>
      </c>
      <c r="Y486" t="s">
        <v>82</v>
      </c>
      <c r="AB486" t="b">
        <v>0</v>
      </c>
      <c r="AC486" t="b">
        <v>0</v>
      </c>
      <c r="AE486" t="b">
        <v>0</v>
      </c>
      <c r="AG486" t="b">
        <v>0</v>
      </c>
      <c r="AI486" t="b">
        <v>0</v>
      </c>
      <c r="AK486" t="s">
        <v>202</v>
      </c>
      <c r="AL486" t="s">
        <v>1669</v>
      </c>
      <c r="AM486" s="3">
        <v>46277</v>
      </c>
      <c r="AN486" s="4">
        <v>0.97006944444444443</v>
      </c>
      <c r="AO486" t="s">
        <v>1981</v>
      </c>
      <c r="AP486" t="s">
        <v>1982</v>
      </c>
      <c r="AQ486" t="s">
        <v>69</v>
      </c>
      <c r="AR486">
        <v>73.5</v>
      </c>
      <c r="AS486" t="s">
        <v>70</v>
      </c>
      <c r="AT486" t="s">
        <v>1967</v>
      </c>
      <c r="AV486" t="s">
        <v>73</v>
      </c>
      <c r="AW486" t="str">
        <f t="shared" si="14"/>
        <v>Finanzas</v>
      </c>
      <c r="AX486" t="str">
        <f t="shared" si="15"/>
        <v>305 8860218</v>
      </c>
      <c r="AY486" t="str">
        <f>IFERROR(INDEX(Vacantes!$C:$C,MATCH(AT486,Vacantes!$A:$A,0)),"")</f>
        <v>127</v>
      </c>
      <c r="AZ486" t="str">
        <f>IFERROR(INDEX(Vacantes!$D:$D,MATCH(AT486,Vacantes!$A:$A,0)),"")</f>
        <v>Por confirmar</v>
      </c>
      <c r="BA486" t="str">
        <f>IFERROR(INDEX(Vacantes!$E:$E,MATCH(AT486,Vacantes!$A:$A,0)),"")</f>
        <v>Por confirmar</v>
      </c>
    </row>
    <row r="487" spans="1:53" x14ac:dyDescent="0.15">
      <c r="A487" t="s">
        <v>1983</v>
      </c>
      <c r="B487" t="s">
        <v>1984</v>
      </c>
      <c r="C487" t="s">
        <v>55</v>
      </c>
      <c r="D487">
        <v>1032938709</v>
      </c>
      <c r="E487" t="s">
        <v>56</v>
      </c>
      <c r="F487">
        <v>21</v>
      </c>
      <c r="G487" t="b">
        <v>1</v>
      </c>
      <c r="H487" t="s">
        <v>88</v>
      </c>
      <c r="I487" t="s">
        <v>57</v>
      </c>
      <c r="J487" t="s">
        <v>106</v>
      </c>
      <c r="L487" t="s">
        <v>134</v>
      </c>
      <c r="N487" t="b">
        <v>0</v>
      </c>
      <c r="O487" t="b">
        <v>0</v>
      </c>
      <c r="P487" t="s">
        <v>61</v>
      </c>
      <c r="Q487" t="s">
        <v>61</v>
      </c>
      <c r="R487" t="s">
        <v>244</v>
      </c>
      <c r="W487" t="s">
        <v>135</v>
      </c>
      <c r="AB487" t="b">
        <v>0</v>
      </c>
      <c r="AC487" t="b">
        <v>0</v>
      </c>
      <c r="AE487" t="b">
        <v>0</v>
      </c>
      <c r="AG487" t="b">
        <v>0</v>
      </c>
      <c r="AI487" t="b">
        <v>0</v>
      </c>
      <c r="AK487" t="s">
        <v>65</v>
      </c>
      <c r="AL487" t="s">
        <v>1669</v>
      </c>
      <c r="AM487" s="3">
        <v>46277</v>
      </c>
      <c r="AN487" s="4">
        <v>0.61949074074074073</v>
      </c>
      <c r="AO487" t="s">
        <v>1985</v>
      </c>
      <c r="AP487" t="s">
        <v>1986</v>
      </c>
      <c r="AQ487" t="s">
        <v>69</v>
      </c>
      <c r="AR487">
        <v>71.8</v>
      </c>
      <c r="AS487" t="s">
        <v>70</v>
      </c>
      <c r="AT487" t="s">
        <v>1967</v>
      </c>
      <c r="AV487" t="s">
        <v>73</v>
      </c>
      <c r="AW487" t="str">
        <f t="shared" si="14"/>
        <v>Negocios Internacionales</v>
      </c>
      <c r="AX487" t="str">
        <f t="shared" si="15"/>
        <v>317 7639732</v>
      </c>
      <c r="AY487" t="str">
        <f>IFERROR(INDEX(Vacantes!$C:$C,MATCH(AT487,Vacantes!$A:$A,0)),"")</f>
        <v>127</v>
      </c>
      <c r="AZ487" t="str">
        <f>IFERROR(INDEX(Vacantes!$D:$D,MATCH(AT487,Vacantes!$A:$A,0)),"")</f>
        <v>Por confirmar</v>
      </c>
      <c r="BA487" t="str">
        <f>IFERROR(INDEX(Vacantes!$E:$E,MATCH(AT487,Vacantes!$A:$A,0)),"")</f>
        <v>Por confirmar</v>
      </c>
    </row>
    <row r="488" spans="1:53" x14ac:dyDescent="0.15">
      <c r="A488" t="s">
        <v>1987</v>
      </c>
      <c r="B488" t="s">
        <v>1988</v>
      </c>
      <c r="C488" t="s">
        <v>55</v>
      </c>
      <c r="D488">
        <v>1107975100</v>
      </c>
      <c r="E488" t="s">
        <v>76</v>
      </c>
      <c r="F488">
        <v>21</v>
      </c>
      <c r="G488" t="b">
        <v>1</v>
      </c>
      <c r="H488" t="s">
        <v>88</v>
      </c>
      <c r="I488" t="s">
        <v>57</v>
      </c>
      <c r="J488" t="s">
        <v>187</v>
      </c>
      <c r="L488" t="s">
        <v>134</v>
      </c>
      <c r="N488" t="b">
        <v>0</v>
      </c>
      <c r="O488" t="b">
        <v>0</v>
      </c>
      <c r="P488" t="s">
        <v>60</v>
      </c>
      <c r="Q488" t="s">
        <v>60</v>
      </c>
      <c r="R488" t="s">
        <v>244</v>
      </c>
      <c r="W488" t="s">
        <v>135</v>
      </c>
      <c r="AB488" t="b">
        <v>0</v>
      </c>
      <c r="AC488" t="b">
        <v>0</v>
      </c>
      <c r="AE488" t="b">
        <v>0</v>
      </c>
      <c r="AG488" t="b">
        <v>0</v>
      </c>
      <c r="AI488" t="b">
        <v>0</v>
      </c>
      <c r="AK488" t="s">
        <v>65</v>
      </c>
      <c r="AL488" t="s">
        <v>1669</v>
      </c>
      <c r="AM488" s="3">
        <v>46277</v>
      </c>
      <c r="AN488" s="4">
        <v>0.82582175925925927</v>
      </c>
      <c r="AO488" t="s">
        <v>1989</v>
      </c>
      <c r="AP488" t="s">
        <v>1990</v>
      </c>
      <c r="AQ488" t="s">
        <v>69</v>
      </c>
      <c r="AR488">
        <v>87.5</v>
      </c>
      <c r="AS488" t="s">
        <v>70</v>
      </c>
      <c r="AT488" t="s">
        <v>1967</v>
      </c>
      <c r="AV488" t="s">
        <v>73</v>
      </c>
      <c r="AW488" t="str">
        <f t="shared" si="14"/>
        <v>Negocios Internacionales</v>
      </c>
      <c r="AX488" t="str">
        <f t="shared" si="15"/>
        <v>311 8143467</v>
      </c>
      <c r="AY488" t="str">
        <f>IFERROR(INDEX(Vacantes!$C:$C,MATCH(AT488,Vacantes!$A:$A,0)),"")</f>
        <v>127</v>
      </c>
      <c r="AZ488" t="str">
        <f>IFERROR(INDEX(Vacantes!$D:$D,MATCH(AT488,Vacantes!$A:$A,0)),"")</f>
        <v>Por confirmar</v>
      </c>
      <c r="BA488" t="str">
        <f>IFERROR(INDEX(Vacantes!$E:$E,MATCH(AT488,Vacantes!$A:$A,0)),"")</f>
        <v>Por confirmar</v>
      </c>
    </row>
    <row r="489" spans="1:53" x14ac:dyDescent="0.15">
      <c r="A489" t="s">
        <v>1991</v>
      </c>
      <c r="B489" t="s">
        <v>1992</v>
      </c>
      <c r="C489" t="s">
        <v>55</v>
      </c>
      <c r="D489">
        <v>1082859811</v>
      </c>
      <c r="E489" t="s">
        <v>56</v>
      </c>
      <c r="F489">
        <v>21</v>
      </c>
      <c r="G489" t="b">
        <v>1</v>
      </c>
      <c r="I489" t="s">
        <v>57</v>
      </c>
      <c r="J489" t="s">
        <v>150</v>
      </c>
      <c r="L489" t="s">
        <v>143</v>
      </c>
      <c r="N489" t="b">
        <v>1</v>
      </c>
      <c r="O489" t="b">
        <v>0</v>
      </c>
      <c r="P489" t="s">
        <v>61</v>
      </c>
      <c r="Q489" t="s">
        <v>61</v>
      </c>
      <c r="R489" t="s">
        <v>135</v>
      </c>
      <c r="W489" t="s">
        <v>89</v>
      </c>
      <c r="AB489" t="b">
        <v>0</v>
      </c>
      <c r="AC489" t="b">
        <v>0</v>
      </c>
      <c r="AE489" t="b">
        <v>0</v>
      </c>
      <c r="AG489" t="b">
        <v>0</v>
      </c>
      <c r="AI489" t="b">
        <v>0</v>
      </c>
      <c r="AK489" t="s">
        <v>202</v>
      </c>
      <c r="AL489" t="s">
        <v>1669</v>
      </c>
      <c r="AM489" s="3">
        <v>46277</v>
      </c>
      <c r="AN489" s="4">
        <v>0.90405092592592595</v>
      </c>
      <c r="AO489" t="s">
        <v>1993</v>
      </c>
      <c r="AP489" t="s">
        <v>349</v>
      </c>
      <c r="AQ489" t="s">
        <v>69</v>
      </c>
      <c r="AR489">
        <v>93.7</v>
      </c>
      <c r="AS489" t="s">
        <v>70</v>
      </c>
      <c r="AT489" t="s">
        <v>1967</v>
      </c>
      <c r="AV489" t="s">
        <v>73</v>
      </c>
      <c r="AW489" t="str">
        <f t="shared" si="14"/>
        <v>Ingeniería Industrial</v>
      </c>
      <c r="AX489" t="str">
        <f t="shared" si="15"/>
        <v>323 3367001</v>
      </c>
      <c r="AY489" t="str">
        <f>IFERROR(INDEX(Vacantes!$C:$C,MATCH(AT489,Vacantes!$A:$A,0)),"")</f>
        <v>127</v>
      </c>
      <c r="AZ489" t="str">
        <f>IFERROR(INDEX(Vacantes!$D:$D,MATCH(AT489,Vacantes!$A:$A,0)),"")</f>
        <v>Por confirmar</v>
      </c>
      <c r="BA489" t="str">
        <f>IFERROR(INDEX(Vacantes!$E:$E,MATCH(AT489,Vacantes!$A:$A,0)),"")</f>
        <v>Por confirmar</v>
      </c>
    </row>
    <row r="490" spans="1:53" x14ac:dyDescent="0.15">
      <c r="A490" t="s">
        <v>1994</v>
      </c>
      <c r="B490" t="s">
        <v>1995</v>
      </c>
      <c r="C490" t="s">
        <v>55</v>
      </c>
      <c r="D490">
        <v>1065582886</v>
      </c>
      <c r="E490" t="s">
        <v>56</v>
      </c>
      <c r="F490">
        <v>21</v>
      </c>
      <c r="G490" t="b">
        <v>1</v>
      </c>
      <c r="I490" t="s">
        <v>57</v>
      </c>
      <c r="J490" t="s">
        <v>1996</v>
      </c>
      <c r="L490" t="s">
        <v>143</v>
      </c>
      <c r="N490" t="b">
        <v>0</v>
      </c>
      <c r="O490" t="b">
        <v>0</v>
      </c>
      <c r="P490" t="s">
        <v>61</v>
      </c>
      <c r="Q490" t="s">
        <v>61</v>
      </c>
      <c r="R490" t="s">
        <v>125</v>
      </c>
      <c r="W490" t="s">
        <v>89</v>
      </c>
      <c r="AB490" t="b">
        <v>0</v>
      </c>
      <c r="AC490" t="b">
        <v>0</v>
      </c>
      <c r="AE490" t="b">
        <v>0</v>
      </c>
      <c r="AG490" t="b">
        <v>0</v>
      </c>
      <c r="AI490" t="b">
        <v>0</v>
      </c>
      <c r="AK490" t="s">
        <v>65</v>
      </c>
      <c r="AL490" t="s">
        <v>1669</v>
      </c>
      <c r="AM490" s="3">
        <v>46255</v>
      </c>
      <c r="AN490" s="4">
        <v>0.41467592592592589</v>
      </c>
      <c r="AO490" t="s">
        <v>1997</v>
      </c>
      <c r="AP490" t="s">
        <v>1998</v>
      </c>
      <c r="AQ490" t="s">
        <v>69</v>
      </c>
      <c r="AR490">
        <v>93.5</v>
      </c>
      <c r="AS490" t="s">
        <v>70</v>
      </c>
      <c r="AT490" t="s">
        <v>1967</v>
      </c>
      <c r="AV490" t="s">
        <v>73</v>
      </c>
      <c r="AW490" t="str">
        <f t="shared" si="14"/>
        <v>Ingeniería Industrial</v>
      </c>
      <c r="AX490" t="str">
        <f t="shared" si="15"/>
        <v>313 5117090</v>
      </c>
      <c r="AY490" t="str">
        <f>IFERROR(INDEX(Vacantes!$C:$C,MATCH(AT490,Vacantes!$A:$A,0)),"")</f>
        <v>127</v>
      </c>
      <c r="AZ490" t="str">
        <f>IFERROR(INDEX(Vacantes!$D:$D,MATCH(AT490,Vacantes!$A:$A,0)),"")</f>
        <v>Por confirmar</v>
      </c>
      <c r="BA490" t="str">
        <f>IFERROR(INDEX(Vacantes!$E:$E,MATCH(AT490,Vacantes!$A:$A,0)),"")</f>
        <v>Por confirmar</v>
      </c>
    </row>
    <row r="491" spans="1:53" x14ac:dyDescent="0.15">
      <c r="A491" t="s">
        <v>1999</v>
      </c>
      <c r="B491" t="s">
        <v>2000</v>
      </c>
      <c r="C491" t="s">
        <v>55</v>
      </c>
      <c r="D491">
        <v>1125760316</v>
      </c>
      <c r="E491" t="s">
        <v>76</v>
      </c>
      <c r="F491">
        <v>21</v>
      </c>
      <c r="G491" t="b">
        <v>1</v>
      </c>
      <c r="H491" t="s">
        <v>930</v>
      </c>
      <c r="I491" t="s">
        <v>57</v>
      </c>
      <c r="J491" t="s">
        <v>463</v>
      </c>
      <c r="L491" t="s">
        <v>143</v>
      </c>
      <c r="N491" t="b">
        <v>0</v>
      </c>
      <c r="O491" t="b">
        <v>0</v>
      </c>
      <c r="P491" t="s">
        <v>60</v>
      </c>
      <c r="Q491" t="s">
        <v>60</v>
      </c>
      <c r="R491" t="s">
        <v>108</v>
      </c>
      <c r="W491" t="s">
        <v>89</v>
      </c>
      <c r="AB491" t="b">
        <v>0</v>
      </c>
      <c r="AC491" t="b">
        <v>0</v>
      </c>
      <c r="AE491" t="b">
        <v>0</v>
      </c>
      <c r="AG491" t="b">
        <v>0</v>
      </c>
      <c r="AI491" t="b">
        <v>0</v>
      </c>
      <c r="AK491" t="s">
        <v>65</v>
      </c>
      <c r="AL491" t="s">
        <v>1669</v>
      </c>
      <c r="AM491" s="3">
        <v>46274</v>
      </c>
      <c r="AN491" s="4">
        <v>0.31745370370370368</v>
      </c>
      <c r="AO491" t="s">
        <v>2001</v>
      </c>
      <c r="AP491" t="s">
        <v>2002</v>
      </c>
      <c r="AQ491" t="s">
        <v>69</v>
      </c>
      <c r="AR491">
        <v>70.8</v>
      </c>
      <c r="AS491" t="s">
        <v>70</v>
      </c>
      <c r="AT491" t="s">
        <v>1967</v>
      </c>
      <c r="AV491" t="s">
        <v>73</v>
      </c>
      <c r="AW491" t="str">
        <f t="shared" si="14"/>
        <v>Ingeniería Industrial</v>
      </c>
      <c r="AX491" t="str">
        <f t="shared" si="15"/>
        <v>313 8394233</v>
      </c>
      <c r="AY491" t="str">
        <f>IFERROR(INDEX(Vacantes!$C:$C,MATCH(AT491,Vacantes!$A:$A,0)),"")</f>
        <v>127</v>
      </c>
      <c r="AZ491" t="str">
        <f>IFERROR(INDEX(Vacantes!$D:$D,MATCH(AT491,Vacantes!$A:$A,0)),"")</f>
        <v>Por confirmar</v>
      </c>
      <c r="BA491" t="str">
        <f>IFERROR(INDEX(Vacantes!$E:$E,MATCH(AT491,Vacantes!$A:$A,0)),"")</f>
        <v>Por confirmar</v>
      </c>
    </row>
    <row r="492" spans="1:53" x14ac:dyDescent="0.15">
      <c r="A492" t="s">
        <v>2003</v>
      </c>
      <c r="B492" t="s">
        <v>2004</v>
      </c>
      <c r="C492" t="s">
        <v>55</v>
      </c>
      <c r="D492">
        <v>1007604121</v>
      </c>
      <c r="E492" t="s">
        <v>56</v>
      </c>
      <c r="F492">
        <v>23</v>
      </c>
      <c r="G492" t="b">
        <v>1</v>
      </c>
      <c r="I492" t="s">
        <v>57</v>
      </c>
      <c r="J492" t="s">
        <v>150</v>
      </c>
      <c r="L492" t="s">
        <v>936</v>
      </c>
      <c r="N492" t="b">
        <v>0</v>
      </c>
      <c r="O492" t="b">
        <v>0</v>
      </c>
      <c r="P492" t="s">
        <v>61</v>
      </c>
      <c r="Q492" t="s">
        <v>60</v>
      </c>
      <c r="R492" t="s">
        <v>244</v>
      </c>
      <c r="W492" t="s">
        <v>109</v>
      </c>
      <c r="AA492" t="s">
        <v>188</v>
      </c>
      <c r="AB492" t="b">
        <v>0</v>
      </c>
      <c r="AC492" t="b">
        <v>0</v>
      </c>
      <c r="AE492" t="b">
        <v>0</v>
      </c>
      <c r="AG492" t="b">
        <v>0</v>
      </c>
      <c r="AI492" t="b">
        <v>0</v>
      </c>
      <c r="AK492" t="s">
        <v>153</v>
      </c>
      <c r="AL492" t="s">
        <v>1669</v>
      </c>
      <c r="AM492" s="3">
        <v>46278</v>
      </c>
      <c r="AN492" s="4">
        <v>0.65511574074074075</v>
      </c>
      <c r="AO492" t="s">
        <v>2005</v>
      </c>
      <c r="AP492" t="s">
        <v>2006</v>
      </c>
      <c r="AQ492" t="s">
        <v>69</v>
      </c>
      <c r="AR492">
        <v>72.900000000000006</v>
      </c>
      <c r="AS492" t="s">
        <v>70</v>
      </c>
      <c r="AT492" t="s">
        <v>1967</v>
      </c>
      <c r="AV492" t="s">
        <v>73</v>
      </c>
      <c r="AW492" t="str">
        <f t="shared" si="14"/>
        <v>Relaciones Internacionales</v>
      </c>
      <c r="AX492" t="str">
        <f t="shared" si="15"/>
        <v>318 8778478</v>
      </c>
      <c r="AY492" t="str">
        <f>IFERROR(INDEX(Vacantes!$C:$C,MATCH(AT492,Vacantes!$A:$A,0)),"")</f>
        <v>127</v>
      </c>
      <c r="AZ492" t="str">
        <f>IFERROR(INDEX(Vacantes!$D:$D,MATCH(AT492,Vacantes!$A:$A,0)),"")</f>
        <v>Por confirmar</v>
      </c>
      <c r="BA492" t="str">
        <f>IFERROR(INDEX(Vacantes!$E:$E,MATCH(AT492,Vacantes!$A:$A,0)),"")</f>
        <v>Por confirmar</v>
      </c>
    </row>
    <row r="493" spans="1:53" x14ac:dyDescent="0.15">
      <c r="A493" t="s">
        <v>2100</v>
      </c>
      <c r="B493" t="s">
        <v>2101</v>
      </c>
      <c r="C493" t="s">
        <v>55</v>
      </c>
      <c r="D493">
        <v>1031940150</v>
      </c>
      <c r="E493" t="s">
        <v>76</v>
      </c>
      <c r="F493">
        <v>22</v>
      </c>
      <c r="G493" t="b">
        <v>1</v>
      </c>
      <c r="H493" t="s">
        <v>207</v>
      </c>
      <c r="I493" t="s">
        <v>141</v>
      </c>
      <c r="J493" t="s">
        <v>234</v>
      </c>
      <c r="L493" t="s">
        <v>1263</v>
      </c>
      <c r="N493" t="b">
        <v>0</v>
      </c>
      <c r="O493" t="b">
        <v>0</v>
      </c>
      <c r="P493" t="s">
        <v>60</v>
      </c>
      <c r="Q493" t="s">
        <v>60</v>
      </c>
      <c r="R493" t="s">
        <v>64</v>
      </c>
      <c r="U493" t="s">
        <v>63</v>
      </c>
      <c r="W493" t="s">
        <v>64</v>
      </c>
      <c r="Z493" t="s">
        <v>152</v>
      </c>
      <c r="AB493" t="b">
        <v>0</v>
      </c>
      <c r="AC493" t="b">
        <v>0</v>
      </c>
      <c r="AE493" t="b">
        <v>0</v>
      </c>
      <c r="AG493" t="b">
        <v>0</v>
      </c>
      <c r="AI493" t="b">
        <v>0</v>
      </c>
      <c r="AK493" t="s">
        <v>202</v>
      </c>
      <c r="AL493" t="s">
        <v>1669</v>
      </c>
      <c r="AM493" s="3">
        <v>46267</v>
      </c>
      <c r="AN493" s="4">
        <v>0.77231481481481479</v>
      </c>
      <c r="AO493" t="s">
        <v>2102</v>
      </c>
      <c r="AP493" t="s">
        <v>2103</v>
      </c>
      <c r="AQ493" t="s">
        <v>69</v>
      </c>
      <c r="AR493">
        <v>92.1</v>
      </c>
      <c r="AS493" t="s">
        <v>85</v>
      </c>
      <c r="AT493" t="s">
        <v>2104</v>
      </c>
      <c r="AV493" t="s">
        <v>73</v>
      </c>
      <c r="AW493" t="str">
        <f t="shared" si="14"/>
        <v>Ingeniería Administrativa</v>
      </c>
      <c r="AX493" t="str">
        <f t="shared" si="15"/>
        <v>315 8066945</v>
      </c>
      <c r="AY493" t="str">
        <f>IFERROR(INDEX(Vacantes!$C:$C,MATCH(AT493,Vacantes!$A:$A,0)),"")</f>
        <v>Cervecería de Medellín</v>
      </c>
      <c r="AZ493" t="str">
        <f>IFERROR(INDEX(Vacantes!$D:$D,MATCH(AT493,Vacantes!$A:$A,0)),"")</f>
        <v>21 de octubre de 2026</v>
      </c>
      <c r="BA493" t="str">
        <f>IFERROR(INDEX(Vacantes!$E:$E,MATCH(AT493,Vacantes!$A:$A,0)),"")</f>
        <v>12:30 p.m. a 4:30 p.m.</v>
      </c>
    </row>
    <row r="494" spans="1:53" x14ac:dyDescent="0.15">
      <c r="A494" t="s">
        <v>2105</v>
      </c>
      <c r="B494" t="s">
        <v>2106</v>
      </c>
      <c r="C494" t="s">
        <v>55</v>
      </c>
      <c r="D494">
        <v>1040570384</v>
      </c>
      <c r="E494" t="s">
        <v>76</v>
      </c>
      <c r="F494">
        <v>22</v>
      </c>
      <c r="G494" t="b">
        <v>1</v>
      </c>
      <c r="H494" t="s">
        <v>141</v>
      </c>
      <c r="I494" t="s">
        <v>141</v>
      </c>
      <c r="J494" t="s">
        <v>234</v>
      </c>
      <c r="L494" t="s">
        <v>143</v>
      </c>
      <c r="N494" t="b">
        <v>0</v>
      </c>
      <c r="O494" t="b">
        <v>0</v>
      </c>
      <c r="P494" t="s">
        <v>60</v>
      </c>
      <c r="Q494" t="s">
        <v>61</v>
      </c>
      <c r="R494" t="s">
        <v>244</v>
      </c>
      <c r="W494" t="s">
        <v>125</v>
      </c>
      <c r="X494" t="s">
        <v>145</v>
      </c>
      <c r="AB494" t="b">
        <v>0</v>
      </c>
      <c r="AC494" t="b">
        <v>0</v>
      </c>
      <c r="AE494" t="b">
        <v>0</v>
      </c>
      <c r="AG494" t="b">
        <v>0</v>
      </c>
      <c r="AI494" t="b">
        <v>0</v>
      </c>
      <c r="AK494" t="s">
        <v>94</v>
      </c>
      <c r="AL494" t="s">
        <v>1669</v>
      </c>
      <c r="AM494" s="3">
        <v>46265</v>
      </c>
      <c r="AN494" s="4">
        <v>0.6862731481481481</v>
      </c>
      <c r="AO494">
        <v>3192800000</v>
      </c>
      <c r="AP494" t="s">
        <v>2107</v>
      </c>
      <c r="AQ494" t="s">
        <v>69</v>
      </c>
      <c r="AR494">
        <v>94</v>
      </c>
      <c r="AS494" t="s">
        <v>85</v>
      </c>
      <c r="AT494" t="s">
        <v>2104</v>
      </c>
      <c r="AV494" t="s">
        <v>73</v>
      </c>
      <c r="AW494" t="str">
        <f t="shared" si="14"/>
        <v>Ingeniería Industrial</v>
      </c>
      <c r="AX494" t="str">
        <f t="shared" si="15"/>
        <v>3192800000</v>
      </c>
      <c r="AY494" t="str">
        <f>IFERROR(INDEX(Vacantes!$C:$C,MATCH(AT494,Vacantes!$A:$A,0)),"")</f>
        <v>Cervecería de Medellín</v>
      </c>
      <c r="AZ494" t="str">
        <f>IFERROR(INDEX(Vacantes!$D:$D,MATCH(AT494,Vacantes!$A:$A,0)),"")</f>
        <v>21 de octubre de 2026</v>
      </c>
      <c r="BA494" t="str">
        <f>IFERROR(INDEX(Vacantes!$E:$E,MATCH(AT494,Vacantes!$A:$A,0)),"")</f>
        <v>12:30 p.m. a 4:30 p.m.</v>
      </c>
    </row>
    <row r="495" spans="1:53" x14ac:dyDescent="0.15">
      <c r="A495" t="s">
        <v>2108</v>
      </c>
      <c r="B495" t="s">
        <v>2109</v>
      </c>
      <c r="C495" t="s">
        <v>55</v>
      </c>
      <c r="D495">
        <v>1034987035</v>
      </c>
      <c r="E495" t="s">
        <v>56</v>
      </c>
      <c r="F495">
        <v>22</v>
      </c>
      <c r="G495" t="b">
        <v>1</v>
      </c>
      <c r="H495" t="s">
        <v>141</v>
      </c>
      <c r="I495" t="s">
        <v>141</v>
      </c>
      <c r="J495" t="s">
        <v>100</v>
      </c>
      <c r="L495" t="s">
        <v>107</v>
      </c>
      <c r="N495" t="b">
        <v>0</v>
      </c>
      <c r="O495" t="b">
        <v>0</v>
      </c>
      <c r="P495" t="s">
        <v>60</v>
      </c>
      <c r="Q495" t="s">
        <v>61</v>
      </c>
      <c r="R495" t="s">
        <v>64</v>
      </c>
      <c r="W495" t="s">
        <v>89</v>
      </c>
      <c r="Z495" t="s">
        <v>151</v>
      </c>
      <c r="AB495" t="b">
        <v>0</v>
      </c>
      <c r="AC495" t="b">
        <v>0</v>
      </c>
      <c r="AE495" t="b">
        <v>0</v>
      </c>
      <c r="AG495" t="b">
        <v>0</v>
      </c>
      <c r="AI495" t="b">
        <v>0</v>
      </c>
      <c r="AK495" t="s">
        <v>94</v>
      </c>
      <c r="AL495" t="s">
        <v>1669</v>
      </c>
      <c r="AM495" s="3">
        <v>46277</v>
      </c>
      <c r="AN495" s="4">
        <v>0.66601851851851857</v>
      </c>
      <c r="AO495">
        <v>3135455802</v>
      </c>
      <c r="AP495" t="s">
        <v>2062</v>
      </c>
      <c r="AQ495" t="s">
        <v>69</v>
      </c>
      <c r="AR495">
        <v>79.7</v>
      </c>
      <c r="AS495" t="s">
        <v>70</v>
      </c>
      <c r="AT495" t="s">
        <v>2104</v>
      </c>
      <c r="AV495" t="s">
        <v>73</v>
      </c>
      <c r="AW495" t="str">
        <f t="shared" si="14"/>
        <v>Administración de Empresas</v>
      </c>
      <c r="AX495" t="str">
        <f t="shared" si="15"/>
        <v>3135455802</v>
      </c>
      <c r="AY495" t="str">
        <f>IFERROR(INDEX(Vacantes!$C:$C,MATCH(AT495,Vacantes!$A:$A,0)),"")</f>
        <v>Cervecería de Medellín</v>
      </c>
      <c r="AZ495" t="str">
        <f>IFERROR(INDEX(Vacantes!$D:$D,MATCH(AT495,Vacantes!$A:$A,0)),"")</f>
        <v>21 de octubre de 2026</v>
      </c>
      <c r="BA495" t="str">
        <f>IFERROR(INDEX(Vacantes!$E:$E,MATCH(AT495,Vacantes!$A:$A,0)),"")</f>
        <v>12:30 p.m. a 4:30 p.m.</v>
      </c>
    </row>
    <row r="496" spans="1:53" x14ac:dyDescent="0.15">
      <c r="A496" t="s">
        <v>2110</v>
      </c>
      <c r="B496" t="s">
        <v>2111</v>
      </c>
      <c r="C496" t="s">
        <v>55</v>
      </c>
      <c r="D496">
        <v>1097182783</v>
      </c>
      <c r="E496" t="s">
        <v>76</v>
      </c>
      <c r="F496">
        <v>21</v>
      </c>
      <c r="G496" t="b">
        <v>1</v>
      </c>
      <c r="I496" t="s">
        <v>141</v>
      </c>
      <c r="J496" t="s">
        <v>201</v>
      </c>
      <c r="L496" t="s">
        <v>143</v>
      </c>
      <c r="N496" t="b">
        <v>0</v>
      </c>
      <c r="O496" t="b">
        <v>0</v>
      </c>
      <c r="P496" t="s">
        <v>60</v>
      </c>
      <c r="Q496" t="s">
        <v>61</v>
      </c>
      <c r="R496" t="s">
        <v>64</v>
      </c>
      <c r="W496" t="s">
        <v>125</v>
      </c>
      <c r="X496" t="s">
        <v>315</v>
      </c>
      <c r="Z496" t="s">
        <v>93</v>
      </c>
      <c r="AB496" t="b">
        <v>0</v>
      </c>
      <c r="AC496" t="b">
        <v>0</v>
      </c>
      <c r="AE496" t="b">
        <v>0</v>
      </c>
      <c r="AG496" t="b">
        <v>0</v>
      </c>
      <c r="AI496" t="b">
        <v>0</v>
      </c>
      <c r="AK496" t="s">
        <v>94</v>
      </c>
      <c r="AL496" t="s">
        <v>1669</v>
      </c>
      <c r="AM496" s="3">
        <v>46278</v>
      </c>
      <c r="AN496" s="4">
        <v>0.50392361111111106</v>
      </c>
      <c r="AO496" t="s">
        <v>2112</v>
      </c>
      <c r="AP496" t="s">
        <v>2113</v>
      </c>
      <c r="AQ496" t="s">
        <v>69</v>
      </c>
      <c r="AR496">
        <v>82.3</v>
      </c>
      <c r="AS496" t="s">
        <v>70</v>
      </c>
      <c r="AT496" t="s">
        <v>2104</v>
      </c>
      <c r="AV496" t="s">
        <v>73</v>
      </c>
      <c r="AW496" t="str">
        <f t="shared" si="14"/>
        <v>Ingeniería Industrial</v>
      </c>
      <c r="AX496" t="str">
        <f t="shared" si="15"/>
        <v>315 4695560</v>
      </c>
      <c r="AY496" t="str">
        <f>IFERROR(INDEX(Vacantes!$C:$C,MATCH(AT496,Vacantes!$A:$A,0)),"")</f>
        <v>Cervecería de Medellín</v>
      </c>
      <c r="AZ496" t="str">
        <f>IFERROR(INDEX(Vacantes!$D:$D,MATCH(AT496,Vacantes!$A:$A,0)),"")</f>
        <v>21 de octubre de 2026</v>
      </c>
      <c r="BA496" t="str">
        <f>IFERROR(INDEX(Vacantes!$E:$E,MATCH(AT496,Vacantes!$A:$A,0)),"")</f>
        <v>12:30 p.m. a 4:30 p.m.</v>
      </c>
    </row>
    <row r="497" spans="1:53" x14ac:dyDescent="0.15">
      <c r="A497" t="s">
        <v>2114</v>
      </c>
      <c r="B497" t="s">
        <v>2115</v>
      </c>
      <c r="C497" t="s">
        <v>55</v>
      </c>
      <c r="D497">
        <v>1127584762</v>
      </c>
      <c r="E497" t="s">
        <v>76</v>
      </c>
      <c r="F497">
        <v>25</v>
      </c>
      <c r="G497" t="b">
        <v>1</v>
      </c>
      <c r="H497" t="s">
        <v>2116</v>
      </c>
      <c r="I497" t="s">
        <v>141</v>
      </c>
      <c r="J497" t="s">
        <v>234</v>
      </c>
      <c r="L497" t="s">
        <v>1263</v>
      </c>
      <c r="N497" t="b">
        <v>0</v>
      </c>
      <c r="O497" t="b">
        <v>0</v>
      </c>
      <c r="P497" t="s">
        <v>61</v>
      </c>
      <c r="Q497" t="s">
        <v>60</v>
      </c>
      <c r="R497" t="s">
        <v>64</v>
      </c>
      <c r="W497" t="s">
        <v>109</v>
      </c>
      <c r="Z497" t="s">
        <v>93</v>
      </c>
      <c r="AA497" t="s">
        <v>439</v>
      </c>
      <c r="AB497" t="b">
        <v>0</v>
      </c>
      <c r="AC497" t="b">
        <v>0</v>
      </c>
      <c r="AE497" t="b">
        <v>0</v>
      </c>
      <c r="AG497" t="b">
        <v>0</v>
      </c>
      <c r="AI497" t="b">
        <v>0</v>
      </c>
      <c r="AK497" t="s">
        <v>153</v>
      </c>
      <c r="AL497" t="s">
        <v>1669</v>
      </c>
      <c r="AM497" s="3">
        <v>46277</v>
      </c>
      <c r="AN497" s="4">
        <v>0.51260416666666664</v>
      </c>
      <c r="AO497">
        <v>3178286241</v>
      </c>
      <c r="AP497" t="s">
        <v>2117</v>
      </c>
      <c r="AQ497" t="s">
        <v>69</v>
      </c>
      <c r="AR497">
        <v>97.5</v>
      </c>
      <c r="AS497" t="s">
        <v>70</v>
      </c>
      <c r="AT497" t="s">
        <v>2104</v>
      </c>
      <c r="AV497" t="s">
        <v>73</v>
      </c>
      <c r="AW497" t="str">
        <f t="shared" si="14"/>
        <v>Ingeniería Administrativa</v>
      </c>
      <c r="AX497" t="str">
        <f t="shared" si="15"/>
        <v>3178286241</v>
      </c>
      <c r="AY497" t="str">
        <f>IFERROR(INDEX(Vacantes!$C:$C,MATCH(AT497,Vacantes!$A:$A,0)),"")</f>
        <v>Cervecería de Medellín</v>
      </c>
      <c r="AZ497" t="str">
        <f>IFERROR(INDEX(Vacantes!$D:$D,MATCH(AT497,Vacantes!$A:$A,0)),"")</f>
        <v>21 de octubre de 2026</v>
      </c>
      <c r="BA497" t="str">
        <f>IFERROR(INDEX(Vacantes!$E:$E,MATCH(AT497,Vacantes!$A:$A,0)),"")</f>
        <v>12:30 p.m. a 4:30 p.m.</v>
      </c>
    </row>
    <row r="498" spans="1:53" x14ac:dyDescent="0.15">
      <c r="A498" t="s">
        <v>2118</v>
      </c>
      <c r="B498" t="s">
        <v>2119</v>
      </c>
      <c r="C498" t="s">
        <v>55</v>
      </c>
      <c r="D498">
        <v>1071349324</v>
      </c>
      <c r="E498" t="s">
        <v>76</v>
      </c>
      <c r="F498">
        <v>21</v>
      </c>
      <c r="G498" t="b">
        <v>1</v>
      </c>
      <c r="H498" t="s">
        <v>1922</v>
      </c>
      <c r="I498" t="s">
        <v>141</v>
      </c>
      <c r="J498" t="s">
        <v>2120</v>
      </c>
      <c r="L498" t="s">
        <v>107</v>
      </c>
      <c r="N498" t="b">
        <v>0</v>
      </c>
      <c r="O498" t="b">
        <v>0</v>
      </c>
      <c r="P498" t="s">
        <v>144</v>
      </c>
      <c r="Q498" t="s">
        <v>60</v>
      </c>
      <c r="R498" t="s">
        <v>64</v>
      </c>
      <c r="W498" t="s">
        <v>109</v>
      </c>
      <c r="Z498" t="s">
        <v>93</v>
      </c>
      <c r="AA498" t="s">
        <v>176</v>
      </c>
      <c r="AB498" t="b">
        <v>0</v>
      </c>
      <c r="AC498" t="b">
        <v>0</v>
      </c>
      <c r="AE498" t="b">
        <v>0</v>
      </c>
      <c r="AG498" t="b">
        <v>0</v>
      </c>
      <c r="AI498" t="b">
        <v>0</v>
      </c>
      <c r="AK498" t="s">
        <v>94</v>
      </c>
      <c r="AL498" t="s">
        <v>1669</v>
      </c>
      <c r="AM498" s="3">
        <v>46263</v>
      </c>
      <c r="AN498" s="4">
        <v>0.50124999999999997</v>
      </c>
      <c r="AO498" t="s">
        <v>2121</v>
      </c>
      <c r="AP498" t="s">
        <v>2122</v>
      </c>
      <c r="AQ498" t="s">
        <v>69</v>
      </c>
      <c r="AR498">
        <v>84.6</v>
      </c>
      <c r="AS498" t="s">
        <v>70</v>
      </c>
      <c r="AT498" t="s">
        <v>2104</v>
      </c>
      <c r="AV498" t="s">
        <v>73</v>
      </c>
      <c r="AW498" t="str">
        <f t="shared" si="14"/>
        <v>Administración de Empresas</v>
      </c>
      <c r="AX498" t="str">
        <f t="shared" si="15"/>
        <v>321 9335836</v>
      </c>
      <c r="AY498" t="str">
        <f>IFERROR(INDEX(Vacantes!$C:$C,MATCH(AT498,Vacantes!$A:$A,0)),"")</f>
        <v>Cervecería de Medellín</v>
      </c>
      <c r="AZ498" t="str">
        <f>IFERROR(INDEX(Vacantes!$D:$D,MATCH(AT498,Vacantes!$A:$A,0)),"")</f>
        <v>21 de octubre de 2026</v>
      </c>
      <c r="BA498" t="str">
        <f>IFERROR(INDEX(Vacantes!$E:$E,MATCH(AT498,Vacantes!$A:$A,0)),"")</f>
        <v>12:30 p.m. a 4:30 p.m.</v>
      </c>
    </row>
    <row r="499" spans="1:53" x14ac:dyDescent="0.15">
      <c r="A499" t="s">
        <v>2123</v>
      </c>
      <c r="B499" t="s">
        <v>2124</v>
      </c>
      <c r="C499" t="s">
        <v>55</v>
      </c>
      <c r="D499">
        <v>1034988528</v>
      </c>
      <c r="E499" t="s">
        <v>76</v>
      </c>
      <c r="F499">
        <v>20</v>
      </c>
      <c r="G499" t="b">
        <v>1</v>
      </c>
      <c r="H499" t="s">
        <v>2125</v>
      </c>
      <c r="I499" t="s">
        <v>141</v>
      </c>
      <c r="J499" t="s">
        <v>100</v>
      </c>
      <c r="L499" t="s">
        <v>277</v>
      </c>
      <c r="N499" t="b">
        <v>0</v>
      </c>
      <c r="O499" t="b">
        <v>0</v>
      </c>
      <c r="P499" t="s">
        <v>61</v>
      </c>
      <c r="Q499" t="s">
        <v>144</v>
      </c>
      <c r="R499" t="s">
        <v>64</v>
      </c>
      <c r="U499" t="s">
        <v>93</v>
      </c>
      <c r="W499" t="s">
        <v>64</v>
      </c>
      <c r="Z499" t="s">
        <v>151</v>
      </c>
      <c r="AB499" t="b">
        <v>0</v>
      </c>
      <c r="AC499" t="b">
        <v>0</v>
      </c>
      <c r="AE499" t="b">
        <v>0</v>
      </c>
      <c r="AG499" t="b">
        <v>0</v>
      </c>
      <c r="AI499" t="b">
        <v>0</v>
      </c>
      <c r="AK499" t="s">
        <v>202</v>
      </c>
      <c r="AL499" t="s">
        <v>1669</v>
      </c>
      <c r="AM499" s="3">
        <v>46277</v>
      </c>
      <c r="AN499" s="4">
        <v>0.62225694444444446</v>
      </c>
      <c r="AO499">
        <v>3195991889</v>
      </c>
      <c r="AP499" t="s">
        <v>2126</v>
      </c>
      <c r="AQ499" t="s">
        <v>69</v>
      </c>
      <c r="AR499">
        <v>78.900000000000006</v>
      </c>
      <c r="AS499" t="s">
        <v>70</v>
      </c>
      <c r="AT499" t="s">
        <v>2104</v>
      </c>
      <c r="AV499" t="s">
        <v>73</v>
      </c>
      <c r="AW499" t="str">
        <f t="shared" si="14"/>
        <v>Psicología</v>
      </c>
      <c r="AX499" t="str">
        <f t="shared" si="15"/>
        <v>3195991889</v>
      </c>
      <c r="AY499" t="str">
        <f>IFERROR(INDEX(Vacantes!$C:$C,MATCH(AT499,Vacantes!$A:$A,0)),"")</f>
        <v>Cervecería de Medellín</v>
      </c>
      <c r="AZ499" t="str">
        <f>IFERROR(INDEX(Vacantes!$D:$D,MATCH(AT499,Vacantes!$A:$A,0)),"")</f>
        <v>21 de octubre de 2026</v>
      </c>
      <c r="BA499" t="str">
        <f>IFERROR(INDEX(Vacantes!$E:$E,MATCH(AT499,Vacantes!$A:$A,0)),"")</f>
        <v>12:30 p.m. a 4:30 p.m.</v>
      </c>
    </row>
    <row r="500" spans="1:53" x14ac:dyDescent="0.15">
      <c r="A500" t="s">
        <v>2127</v>
      </c>
      <c r="B500" t="s">
        <v>2128</v>
      </c>
      <c r="C500" t="s">
        <v>55</v>
      </c>
      <c r="D500">
        <v>1005028536</v>
      </c>
      <c r="E500" t="s">
        <v>56</v>
      </c>
      <c r="F500">
        <v>23</v>
      </c>
      <c r="G500" t="b">
        <v>1</v>
      </c>
      <c r="H500" t="s">
        <v>207</v>
      </c>
      <c r="I500" t="s">
        <v>141</v>
      </c>
      <c r="J500" t="s">
        <v>1272</v>
      </c>
      <c r="L500" t="s">
        <v>79</v>
      </c>
      <c r="N500" t="b">
        <v>0</v>
      </c>
      <c r="O500" t="b">
        <v>0</v>
      </c>
      <c r="P500" t="s">
        <v>61</v>
      </c>
      <c r="Q500" t="s">
        <v>61</v>
      </c>
      <c r="R500" t="s">
        <v>64</v>
      </c>
      <c r="W500" t="s">
        <v>109</v>
      </c>
      <c r="Z500" t="s">
        <v>63</v>
      </c>
      <c r="AA500" t="s">
        <v>283</v>
      </c>
      <c r="AB500" t="b">
        <v>0</v>
      </c>
      <c r="AC500" t="b">
        <v>0</v>
      </c>
      <c r="AE500" t="b">
        <v>0</v>
      </c>
      <c r="AG500" t="b">
        <v>0</v>
      </c>
      <c r="AI500" t="b">
        <v>0</v>
      </c>
      <c r="AK500" t="s">
        <v>202</v>
      </c>
      <c r="AL500" t="s">
        <v>1669</v>
      </c>
      <c r="AM500" s="3">
        <v>46277</v>
      </c>
      <c r="AN500" s="4">
        <v>0.81719907407407411</v>
      </c>
      <c r="AO500" t="s">
        <v>2129</v>
      </c>
      <c r="AP500" t="s">
        <v>2062</v>
      </c>
      <c r="AQ500" t="s">
        <v>69</v>
      </c>
      <c r="AR500">
        <v>70.2</v>
      </c>
      <c r="AS500" t="s">
        <v>70</v>
      </c>
      <c r="AT500" t="s">
        <v>2104</v>
      </c>
      <c r="AV500" t="s">
        <v>73</v>
      </c>
      <c r="AW500" t="str">
        <f t="shared" si="14"/>
        <v>Economía</v>
      </c>
      <c r="AX500" t="str">
        <f t="shared" si="15"/>
        <v>315 7364602</v>
      </c>
      <c r="AY500" t="str">
        <f>IFERROR(INDEX(Vacantes!$C:$C,MATCH(AT500,Vacantes!$A:$A,0)),"")</f>
        <v>Cervecería de Medellín</v>
      </c>
      <c r="AZ500" t="str">
        <f>IFERROR(INDEX(Vacantes!$D:$D,MATCH(AT500,Vacantes!$A:$A,0)),"")</f>
        <v>21 de octubre de 2026</v>
      </c>
      <c r="BA500" t="str">
        <f>IFERROR(INDEX(Vacantes!$E:$E,MATCH(AT500,Vacantes!$A:$A,0)),"")</f>
        <v>12:30 p.m. a 4:30 p.m.</v>
      </c>
    </row>
    <row r="501" spans="1:53" x14ac:dyDescent="0.15">
      <c r="A501" t="s">
        <v>2130</v>
      </c>
      <c r="B501" t="s">
        <v>2131</v>
      </c>
      <c r="C501" t="s">
        <v>55</v>
      </c>
      <c r="D501">
        <v>1033257457</v>
      </c>
      <c r="E501" t="s">
        <v>76</v>
      </c>
      <c r="F501">
        <v>21</v>
      </c>
      <c r="G501" t="b">
        <v>1</v>
      </c>
      <c r="I501" t="s">
        <v>141</v>
      </c>
      <c r="J501" t="s">
        <v>1502</v>
      </c>
      <c r="L501" t="s">
        <v>134</v>
      </c>
      <c r="N501" t="b">
        <v>1</v>
      </c>
      <c r="O501" t="b">
        <v>0</v>
      </c>
      <c r="P501" t="s">
        <v>60</v>
      </c>
      <c r="Q501" t="s">
        <v>144</v>
      </c>
      <c r="R501" t="s">
        <v>64</v>
      </c>
      <c r="W501" t="s">
        <v>109</v>
      </c>
      <c r="Z501" t="s">
        <v>151</v>
      </c>
      <c r="AA501" t="s">
        <v>283</v>
      </c>
      <c r="AB501" t="b">
        <v>0</v>
      </c>
      <c r="AC501" t="b">
        <v>0</v>
      </c>
      <c r="AE501" t="b">
        <v>0</v>
      </c>
      <c r="AG501" t="b">
        <v>0</v>
      </c>
      <c r="AI501" t="b">
        <v>0</v>
      </c>
      <c r="AK501" t="s">
        <v>65</v>
      </c>
      <c r="AL501" t="s">
        <v>1669</v>
      </c>
      <c r="AM501" s="3">
        <v>46277</v>
      </c>
      <c r="AN501" s="4">
        <v>0.6209027777777778</v>
      </c>
      <c r="AO501">
        <v>3148502569</v>
      </c>
      <c r="AP501" t="s">
        <v>2132</v>
      </c>
      <c r="AQ501" t="s">
        <v>69</v>
      </c>
      <c r="AR501">
        <v>75.3</v>
      </c>
      <c r="AS501" t="s">
        <v>70</v>
      </c>
      <c r="AT501" t="s">
        <v>2104</v>
      </c>
      <c r="AV501" t="s">
        <v>73</v>
      </c>
      <c r="AW501" t="str">
        <f t="shared" si="14"/>
        <v>Negocios Internacionales</v>
      </c>
      <c r="AX501" t="str">
        <f t="shared" si="15"/>
        <v>3148502569</v>
      </c>
      <c r="AY501" t="str">
        <f>IFERROR(INDEX(Vacantes!$C:$C,MATCH(AT501,Vacantes!$A:$A,0)),"")</f>
        <v>Cervecería de Medellín</v>
      </c>
      <c r="AZ501" t="str">
        <f>IFERROR(INDEX(Vacantes!$D:$D,MATCH(AT501,Vacantes!$A:$A,0)),"")</f>
        <v>21 de octubre de 2026</v>
      </c>
      <c r="BA501" t="str">
        <f>IFERROR(INDEX(Vacantes!$E:$E,MATCH(AT501,Vacantes!$A:$A,0)),"")</f>
        <v>12:30 p.m. a 4:30 p.m.</v>
      </c>
    </row>
    <row r="502" spans="1:53" x14ac:dyDescent="0.15">
      <c r="A502" t="s">
        <v>2133</v>
      </c>
      <c r="B502" t="s">
        <v>2134</v>
      </c>
      <c r="C502" t="s">
        <v>55</v>
      </c>
      <c r="D502">
        <v>1022002946</v>
      </c>
      <c r="E502" t="s">
        <v>76</v>
      </c>
      <c r="F502">
        <v>20</v>
      </c>
      <c r="G502" t="b">
        <v>1</v>
      </c>
      <c r="H502" t="s">
        <v>2135</v>
      </c>
      <c r="I502" t="s">
        <v>141</v>
      </c>
      <c r="J502" t="s">
        <v>100</v>
      </c>
      <c r="L502" t="s">
        <v>107</v>
      </c>
      <c r="N502" t="b">
        <v>0</v>
      </c>
      <c r="O502" t="b">
        <v>0</v>
      </c>
      <c r="P502" t="s">
        <v>60</v>
      </c>
      <c r="Q502" t="s">
        <v>60</v>
      </c>
      <c r="R502" t="s">
        <v>64</v>
      </c>
      <c r="W502" t="s">
        <v>113</v>
      </c>
      <c r="Z502" t="s">
        <v>151</v>
      </c>
      <c r="AB502" t="b">
        <v>0</v>
      </c>
      <c r="AC502" t="b">
        <v>0</v>
      </c>
      <c r="AE502" t="b">
        <v>0</v>
      </c>
      <c r="AG502" t="b">
        <v>0</v>
      </c>
      <c r="AI502" t="b">
        <v>0</v>
      </c>
      <c r="AK502" t="s">
        <v>202</v>
      </c>
      <c r="AL502" t="s">
        <v>1669</v>
      </c>
      <c r="AM502" s="3">
        <v>46277</v>
      </c>
      <c r="AN502" s="4">
        <v>0.66531249999999997</v>
      </c>
      <c r="AO502" t="s">
        <v>2136</v>
      </c>
      <c r="AP502" t="s">
        <v>2137</v>
      </c>
      <c r="AQ502" t="s">
        <v>69</v>
      </c>
      <c r="AR502">
        <v>72.7</v>
      </c>
      <c r="AS502" t="s">
        <v>70</v>
      </c>
      <c r="AT502" t="s">
        <v>2104</v>
      </c>
      <c r="AV502" t="s">
        <v>73</v>
      </c>
      <c r="AW502" t="str">
        <f t="shared" si="14"/>
        <v>Administración de Empresas</v>
      </c>
      <c r="AX502" t="str">
        <f t="shared" si="15"/>
        <v>300 6329432</v>
      </c>
      <c r="AY502" t="str">
        <f>IFERROR(INDEX(Vacantes!$C:$C,MATCH(AT502,Vacantes!$A:$A,0)),"")</f>
        <v>Cervecería de Medellín</v>
      </c>
      <c r="AZ502" t="str">
        <f>IFERROR(INDEX(Vacantes!$D:$D,MATCH(AT502,Vacantes!$A:$A,0)),"")</f>
        <v>21 de octubre de 2026</v>
      </c>
      <c r="BA502" t="str">
        <f>IFERROR(INDEX(Vacantes!$E:$E,MATCH(AT502,Vacantes!$A:$A,0)),"")</f>
        <v>12:30 p.m. a 4:30 p.m.</v>
      </c>
    </row>
    <row r="503" spans="1:53">
      <c r="A503" t="inlineStr">
        <is>
          <t xml:space="preserve">saldarriaga8004@gmail.com</t>
        </is>
      </c>
      <c r="B503" t="inlineStr">
        <is>
          <t xml:space="preserve">Juan Diego Saldarriaga Muñoz</t>
        </is>
      </c>
      <c r="C503" t="inlineStr">
        <is>
          <t xml:space="preserve">Cédula de ciudadanía</t>
        </is>
      </c>
      <c r="D503">
        <v>1099735353</v>
      </c>
      <c r="E503" t="inlineStr">
        <is>
          <t xml:space="preserve">Hombre</t>
        </is>
      </c>
      <c r="F503">
        <v>21</v>
      </c>
      <c r="G503" t="b">
        <v>1</v>
      </c>
      <c r="I503" t="inlineStr">
        <is>
          <t xml:space="preserve">Bogotá</t>
        </is>
      </c>
      <c r="J503" t="inlineStr">
        <is>
          <t xml:space="preserve">Universidad de La Sabana</t>
        </is>
      </c>
      <c r="L503" t="inlineStr">
        <is>
          <t xml:space="preserve">Ingeniería Industrial</t>
        </is>
      </c>
      <c r="N503" t="b">
        <v>0</v>
      </c>
      <c r="O503" t="b">
        <v>0</v>
      </c>
      <c r="P503" t="inlineStr">
        <is>
          <t xml:space="preserve">Avanzado</t>
        </is>
      </c>
      <c r="Q503" t="inlineStr">
        <is>
          <t xml:space="preserve">Avanzado</t>
        </is>
      </c>
      <c r="R503" t="inlineStr">
        <is>
          <t xml:space="preserve">Logística</t>
        </is>
      </c>
      <c r="W503" t="inlineStr">
        <is>
          <t xml:space="preserve">Tecnología</t>
        </is>
      </c>
      <c r="AB503" t="b">
        <v>0</v>
      </c>
      <c r="AC503" t="b">
        <v>0</v>
      </c>
      <c r="AE503" t="b">
        <v>0</v>
      </c>
      <c r="AG503" t="b">
        <v>0</v>
      </c>
      <c r="AI503" t="b">
        <v>0</v>
      </c>
      <c r="AK503" t="inlineStr">
        <is>
          <t xml:space="preserve">LinkedIn</t>
        </is>
      </c>
      <c r="AL503" t="inlineStr">
        <is>
          <t xml:space="preserve">ONE PAGER CARGADO</t>
        </is>
      </c>
      <c r="AM503" s="3">
        <v>46277</v>
      </c>
      <c r="AN503" s="4">
        <v>0.4882638888888889</v>
      </c>
      <c r="AO503" t="inlineStr">
        <is>
          <t xml:space="preserve"> 311 3385162</t>
        </is>
      </c>
      <c r="AP503" t="inlineStr">
        <is>
          <t xml:space="preserve">Cota, Colombia</t>
        </is>
      </c>
      <c r="AQ503" t="inlineStr">
        <is>
          <t xml:space="preserve">DP</t>
        </is>
      </c>
      <c r="AR503">
        <v>86.2</v>
      </c>
      <c r="AS503" t="inlineStr">
        <is>
          <t xml:space="preserve">Cata</t>
        </is>
      </c>
      <c r="AT503" t="inlineStr">
        <is>
          <t xml:space="preserve">TEV Transporte T1</t>
        </is>
      </c>
      <c r="AV503" t="inlineStr">
        <is>
          <t xml:space="preserve">OK</t>
        </is>
      </c>
      <c r="AW503" t="str">
        <f>IF(L503="Otra",IF(M503="","Otra",M503&amp;""),L503&amp;"")</f>
        <v>Ingeniería Industrial</v>
      </c>
      <c r="AX503" t="str">
        <f>IF(OR(AO503="",AO503=0),"",TRIM(AO503))</f>
        <v>311 3385162</v>
      </c>
      <c r="AY503" t="str">
        <f>IFERROR(INDEX(Vacantes!$C:$C,MATCH(AT503,Vacantes!$A:$A,0)),"")</f>
        <v>Cervecería de Tocancipá</v>
      </c>
      <c r="AZ503" t="str">
        <f>IFERROR(INDEX(Vacantes!$D:$D,MATCH(AT503,Vacantes!$A:$A,0)),"")</f>
        <v>27 de octubre de 2026</v>
      </c>
      <c r="BA503" t="str">
        <f>IFERROR(INDEX(Vacantes!$E:$E,MATCH(AT503,Vacantes!$A:$A,0)),"")</f>
        <v>12:30 p.m. a 4:00 p.m.</v>
      </c>
    </row>
    <row r="504" spans="1:53">
      <c r="A504" t="inlineStr">
        <is>
          <t xml:space="preserve">mariajmendezcoqueco@gmail.com</t>
        </is>
      </c>
      <c r="B504" t="inlineStr">
        <is>
          <t xml:space="preserve">Maria Jose Mendez Coqueco</t>
        </is>
      </c>
      <c r="C504" t="inlineStr">
        <is>
          <t xml:space="preserve">Cédula de ciudadanía</t>
        </is>
      </c>
      <c r="D504">
        <v>1076501542</v>
      </c>
      <c r="E504" t="inlineStr">
        <is>
          <t xml:space="preserve">Mujer</t>
        </is>
      </c>
      <c r="F504">
        <v>21</v>
      </c>
      <c r="G504" t="b">
        <v>1</v>
      </c>
      <c r="H504" t="inlineStr">
        <is>
          <t xml:space="preserve">Bogotá</t>
        </is>
      </c>
      <c r="I504" t="inlineStr">
        <is>
          <t xml:space="preserve">Bogotá</t>
        </is>
      </c>
      <c r="J504" t="inlineStr">
        <is>
          <t xml:space="preserve">Universidad Católica de Colombia</t>
        </is>
      </c>
      <c r="L504" t="inlineStr">
        <is>
          <t xml:space="preserve">Ingeniería Industrial</t>
        </is>
      </c>
      <c r="N504" t="b">
        <v>0</v>
      </c>
      <c r="O504" t="b">
        <v>0</v>
      </c>
      <c r="P504" t="inlineStr">
        <is>
          <t xml:space="preserve">Intermedio</t>
        </is>
      </c>
      <c r="Q504" t="inlineStr">
        <is>
          <t xml:space="preserve">Avanzado</t>
        </is>
      </c>
      <c r="R504" t="inlineStr">
        <is>
          <t xml:space="preserve">Logística</t>
        </is>
      </c>
      <c r="W504" t="inlineStr">
        <is>
          <t xml:space="preserve">Producción (Operaciones)</t>
        </is>
      </c>
      <c r="X504" t="inlineStr">
        <is>
          <t xml:space="preserve">Calidad</t>
        </is>
      </c>
      <c r="AB504" t="b">
        <v>0</v>
      </c>
      <c r="AC504" t="b">
        <v>0</v>
      </c>
      <c r="AE504" t="b">
        <v>0</v>
      </c>
      <c r="AG504" t="b">
        <v>0</v>
      </c>
      <c r="AI504" t="b">
        <v>0</v>
      </c>
      <c r="AK504" t="inlineStr">
        <is>
          <t xml:space="preserve">LinkedIn</t>
        </is>
      </c>
      <c r="AL504" t="inlineStr">
        <is>
          <t xml:space="preserve">ONE PAGER CARGADO</t>
        </is>
      </c>
      <c r="AM504" s="3">
        <v>46262</v>
      </c>
      <c r="AN504" s="4">
        <v>0.46677083333333336</v>
      </c>
      <c r="AO504" t="inlineStr">
        <is>
          <t xml:space="preserve"> 321 5160748</t>
        </is>
      </c>
      <c r="AP504" t="inlineStr">
        <is>
          <t xml:space="preserve">Calle 22A 19-39, 111411 Bogota, D.C., Colombia</t>
        </is>
      </c>
      <c r="AQ504" t="inlineStr">
        <is>
          <t xml:space="preserve">DP</t>
        </is>
      </c>
      <c r="AR504">
        <v>91.7</v>
      </c>
      <c r="AS504" t="inlineStr">
        <is>
          <t xml:space="preserve">Cata</t>
        </is>
      </c>
      <c r="AT504" t="inlineStr">
        <is>
          <t xml:space="preserve">TEV Transporte T1</t>
        </is>
      </c>
      <c r="AV504" t="inlineStr">
        <is>
          <t xml:space="preserve">OK</t>
        </is>
      </c>
      <c r="AW504" t="str">
        <f>IF(L504="Otra",IF(M504="","Otra",M504&amp;""),L504&amp;"")</f>
        <v>Ingeniería Industrial</v>
      </c>
      <c r="AX504" t="str">
        <f>IF(OR(AO504="",AO504=0),"",TRIM(AO504))</f>
        <v>321 5160748</v>
      </c>
      <c r="AY504" t="str">
        <f>IFERROR(INDEX(Vacantes!$C:$C,MATCH(AT504,Vacantes!$A:$A,0)),"")</f>
        <v>Cervecería de Tocancipá</v>
      </c>
      <c r="AZ504" t="str">
        <f>IFERROR(INDEX(Vacantes!$D:$D,MATCH(AT504,Vacantes!$A:$A,0)),"")</f>
        <v>27 de octubre de 2026</v>
      </c>
      <c r="BA504" t="str">
        <f>IFERROR(INDEX(Vacantes!$E:$E,MATCH(AT504,Vacantes!$A:$A,0)),"")</f>
        <v>12:30 p.m. a 4:00 p.m.</v>
      </c>
    </row>
    <row r="505" spans="1:53">
      <c r="A505" t="inlineStr">
        <is>
          <t xml:space="preserve">casierra1903@gmail.com</t>
        </is>
      </c>
      <c r="B505" t="inlineStr">
        <is>
          <t xml:space="preserve">Camilo Sierra</t>
        </is>
      </c>
      <c r="C505" t="inlineStr">
        <is>
          <t xml:space="preserve">Cédula de ciudadanía</t>
        </is>
      </c>
      <c r="D505">
        <v>1000944325</v>
      </c>
      <c r="E505" t="inlineStr">
        <is>
          <t xml:space="preserve">Hombre</t>
        </is>
      </c>
      <c r="F505">
        <v>23</v>
      </c>
      <c r="G505" t="b">
        <v>1</v>
      </c>
      <c r="H505" t="inlineStr">
        <is>
          <t xml:space="preserve">BOGOTA</t>
        </is>
      </c>
      <c r="I505" t="inlineStr">
        <is>
          <t xml:space="preserve">Bogotá</t>
        </is>
      </c>
      <c r="J505" t="inlineStr">
        <is>
          <t xml:space="preserve">Universidad Militar Nueva Granada</t>
        </is>
      </c>
      <c r="L505" t="inlineStr">
        <is>
          <t xml:space="preserve">Ingeniería Industrial</t>
        </is>
      </c>
      <c r="N505" t="b">
        <v>0</v>
      </c>
      <c r="O505" t="b">
        <v>0</v>
      </c>
      <c r="P505" t="inlineStr">
        <is>
          <t xml:space="preserve">Intermedio</t>
        </is>
      </c>
      <c r="Q505" t="inlineStr">
        <is>
          <t xml:space="preserve">Avanzado</t>
        </is>
      </c>
      <c r="R505" t="inlineStr">
        <is>
          <t xml:space="preserve">Logística</t>
        </is>
      </c>
      <c r="W505" t="inlineStr">
        <is>
          <t xml:space="preserve">Tecnología</t>
        </is>
      </c>
      <c r="AB505" t="b">
        <v>0</v>
      </c>
      <c r="AC505" t="b">
        <v>0</v>
      </c>
      <c r="AE505" t="b">
        <v>0</v>
      </c>
      <c r="AG505" t="b">
        <v>0</v>
      </c>
      <c r="AI505" t="b">
        <v>0</v>
      </c>
      <c r="AK505" t="inlineStr">
        <is>
          <t xml:space="preserve">Instagram</t>
        </is>
      </c>
      <c r="AL505" t="inlineStr">
        <is>
          <t xml:space="preserve">ONE PAGER CARGADO</t>
        </is>
      </c>
      <c r="AM505" s="3">
        <v>46268</v>
      </c>
      <c r="AN505" s="4">
        <v>0.4090972222222222</v>
      </c>
      <c r="AO505" t="inlineStr">
        <is>
          <t xml:space="preserve"> 313 7118416</t>
        </is>
      </c>
      <c r="AP505" t="inlineStr">
        <is>
          <t xml:space="preserve">Calle 148-27, 111161 Bogota, D.C., Colombia</t>
        </is>
      </c>
      <c r="AQ505" t="inlineStr">
        <is>
          <t xml:space="preserve">DP</t>
        </is>
      </c>
      <c r="AR505">
        <v>83.4</v>
      </c>
      <c r="AS505" t="inlineStr">
        <is>
          <t xml:space="preserve">Cata</t>
        </is>
      </c>
      <c r="AT505" t="inlineStr">
        <is>
          <t xml:space="preserve">TEV Transporte T1</t>
        </is>
      </c>
      <c r="AV505" t="inlineStr">
        <is>
          <t xml:space="preserve">OK</t>
        </is>
      </c>
      <c r="AW505" t="str">
        <f>IF(L505="Otra",IF(M505="","Otra",M505&amp;""),L505&amp;"")</f>
        <v>Ingeniería Industrial</v>
      </c>
      <c r="AX505" t="str">
        <f>IF(OR(AO505="",AO505=0),"",TRIM(AO505))</f>
        <v>313 7118416</v>
      </c>
      <c r="AY505" t="str">
        <f>IFERROR(INDEX(Vacantes!$C:$C,MATCH(AT505,Vacantes!$A:$A,0)),"")</f>
        <v>Cervecería de Tocancipá</v>
      </c>
      <c r="AZ505" t="str">
        <f>IFERROR(INDEX(Vacantes!$D:$D,MATCH(AT505,Vacantes!$A:$A,0)),"")</f>
        <v>27 de octubre de 2026</v>
      </c>
      <c r="BA505" t="str">
        <f>IFERROR(INDEX(Vacantes!$E:$E,MATCH(AT505,Vacantes!$A:$A,0)),"")</f>
        <v>12:30 p.m. a 4:00 p.m.</v>
      </c>
    </row>
    <row r="506" spans="1:53">
      <c r="A506" t="inlineStr">
        <is>
          <t xml:space="preserve">crisritri@gmail.com</t>
        </is>
      </c>
      <c r="B506" t="inlineStr">
        <is>
          <t xml:space="preserve">Cristian Riaño</t>
        </is>
      </c>
      <c r="C506" t="inlineStr">
        <is>
          <t xml:space="preserve">Cédula de ciudadanía</t>
        </is>
      </c>
      <c r="D506">
        <v>1013258330</v>
      </c>
      <c r="E506" t="inlineStr">
        <is>
          <t xml:space="preserve">Hombre</t>
        </is>
      </c>
      <c r="F506">
        <v>21</v>
      </c>
      <c r="G506" t="b">
        <v>1</v>
      </c>
      <c r="H506" t="inlineStr">
        <is>
          <t xml:space="preserve">BOGOTA</t>
        </is>
      </c>
      <c r="I506" t="inlineStr">
        <is>
          <t xml:space="preserve">Bogotá</t>
        </is>
      </c>
      <c r="J506" t="inlineStr">
        <is>
          <t xml:space="preserve">Universidad del Rosario</t>
        </is>
      </c>
      <c r="L506" t="inlineStr">
        <is>
          <t xml:space="preserve">Logística</t>
        </is>
      </c>
      <c r="N506" t="b">
        <v>0</v>
      </c>
      <c r="O506" t="b">
        <v>0</v>
      </c>
      <c r="P506" t="inlineStr">
        <is>
          <t xml:space="preserve">Intermedio</t>
        </is>
      </c>
      <c r="Q506" t="inlineStr">
        <is>
          <t xml:space="preserve">Avanzado</t>
        </is>
      </c>
      <c r="R506" t="inlineStr">
        <is>
          <t xml:space="preserve">Logística</t>
        </is>
      </c>
      <c r="T506" t="inlineStr">
        <is>
          <t xml:space="preserve">Finanzas Impuestos</t>
        </is>
      </c>
      <c r="W506" t="inlineStr">
        <is>
          <t xml:space="preserve">Finanzas</t>
        </is>
      </c>
      <c r="AB506" t="b">
        <v>0</v>
      </c>
      <c r="AC506" t="b">
        <v>0</v>
      </c>
      <c r="AE506" t="b">
        <v>0</v>
      </c>
      <c r="AG506" t="b">
        <v>0</v>
      </c>
      <c r="AI506" t="b">
        <v>0</v>
      </c>
      <c r="AK506" t="inlineStr">
        <is>
          <t xml:space="preserve">LinkedIn</t>
        </is>
      </c>
      <c r="AL506" t="inlineStr">
        <is>
          <t xml:space="preserve">ONE PAGER CARGADO</t>
        </is>
      </c>
      <c r="AM506" s="3">
        <v>46265</v>
      </c>
      <c r="AN506" s="4">
        <v>0.41399305555555554</v>
      </c>
      <c r="AO506" t="inlineStr">
        <is>
          <t xml:space="preserve"> 321 4695967</t>
        </is>
      </c>
      <c r="AP506" t="inlineStr">
        <is>
          <t xml:space="preserve">Calle 160 73-47, 111156 Bogota, D.C., Colombia</t>
        </is>
      </c>
      <c r="AQ506" t="inlineStr">
        <is>
          <t xml:space="preserve">DP</t>
        </is>
      </c>
      <c r="AR506">
        <v>71.8</v>
      </c>
      <c r="AS506" t="inlineStr">
        <is>
          <t xml:space="preserve">Cata</t>
        </is>
      </c>
      <c r="AT506" t="inlineStr">
        <is>
          <t xml:space="preserve">TEV Transporte T1</t>
        </is>
      </c>
      <c r="AV506" t="inlineStr">
        <is>
          <t xml:space="preserve">OK</t>
        </is>
      </c>
      <c r="AW506" t="str">
        <f>IF(L506="Otra",IF(M506="","Otra",M506&amp;""),L506&amp;"")</f>
        <v>Logística</v>
      </c>
      <c r="AX506" t="str">
        <f>IF(OR(AO506="",AO506=0),"",TRIM(AO506))</f>
        <v>321 4695967</v>
      </c>
      <c r="AY506" t="str">
        <f>IFERROR(INDEX(Vacantes!$C:$C,MATCH(AT506,Vacantes!$A:$A,0)),"")</f>
        <v>Cervecería de Tocancipá</v>
      </c>
      <c r="AZ506" t="str">
        <f>IFERROR(INDEX(Vacantes!$D:$D,MATCH(AT506,Vacantes!$A:$A,0)),"")</f>
        <v>27 de octubre de 2026</v>
      </c>
      <c r="BA506" t="str">
        <f>IFERROR(INDEX(Vacantes!$E:$E,MATCH(AT506,Vacantes!$A:$A,0)),"")</f>
        <v>12:30 p.m. a 4:00 p.m.</v>
      </c>
    </row>
    <row r="507" spans="1:53">
      <c r="A507" t="inlineStr">
        <is>
          <t xml:space="preserve">saenz.alejo.17@gmail.com</t>
        </is>
      </c>
      <c r="B507" t="inlineStr">
        <is>
          <t xml:space="preserve">Luis Saenz</t>
        </is>
      </c>
      <c r="C507" t="inlineStr">
        <is>
          <t xml:space="preserve">Cédula de ciudadanía</t>
        </is>
      </c>
      <c r="D507">
        <v>1014662376</v>
      </c>
      <c r="E507" t="inlineStr">
        <is>
          <t xml:space="preserve">Hombre</t>
        </is>
      </c>
      <c r="F507">
        <v>20</v>
      </c>
      <c r="G507" t="b">
        <v>1</v>
      </c>
      <c r="H507" t="inlineStr">
        <is>
          <t xml:space="preserve">BOGOTA</t>
        </is>
      </c>
      <c r="I507" t="inlineStr">
        <is>
          <t xml:space="preserve">Bogotá</t>
        </is>
      </c>
      <c r="J507" t="inlineStr">
        <is>
          <t xml:space="preserve">Pontificia Universidad Javeriana</t>
        </is>
      </c>
      <c r="L507" t="inlineStr">
        <is>
          <t xml:space="preserve">Ingeniería Industrial</t>
        </is>
      </c>
      <c r="N507" t="b">
        <v>0</v>
      </c>
      <c r="O507" t="b">
        <v>0</v>
      </c>
      <c r="P507" t="inlineStr">
        <is>
          <t xml:space="preserve">Avanzado</t>
        </is>
      </c>
      <c r="Q507" t="inlineStr">
        <is>
          <t xml:space="preserve">Avanzado</t>
        </is>
      </c>
      <c r="R507" t="inlineStr">
        <is>
          <t xml:space="preserve">Logística</t>
        </is>
      </c>
      <c r="W507" t="inlineStr">
        <is>
          <t xml:space="preserve">Producción (Operaciones)</t>
        </is>
      </c>
      <c r="X507" t="inlineStr">
        <is>
          <t xml:space="preserve">Elaboración</t>
        </is>
      </c>
      <c r="AB507" t="b">
        <v>0</v>
      </c>
      <c r="AC507" t="b">
        <v>0</v>
      </c>
      <c r="AE507" t="b">
        <v>0</v>
      </c>
      <c r="AG507" t="b">
        <v>0</v>
      </c>
      <c r="AI507" t="b">
        <v>0</v>
      </c>
      <c r="AK507" t="inlineStr">
        <is>
          <t xml:space="preserve">Página Web Oficial</t>
        </is>
      </c>
      <c r="AL507" t="inlineStr">
        <is>
          <t xml:space="preserve">ONE PAGER CARGADO</t>
        </is>
      </c>
      <c r="AM507" s="3">
        <v>46262</v>
      </c>
      <c r="AN507" s="4">
        <v>0.46677083333333336</v>
      </c>
      <c r="AO507" t="inlineStr">
        <is>
          <t xml:space="preserve"> 322 7006275</t>
        </is>
      </c>
      <c r="AP507" t="inlineStr">
        <is>
          <t xml:space="preserve">Calle 12A 71C-40, 110831 Bogota, D.C., Colombia</t>
        </is>
      </c>
      <c r="AQ507" t="inlineStr">
        <is>
          <t xml:space="preserve">DP</t>
        </is>
      </c>
      <c r="AR507">
        <v>84.5</v>
      </c>
      <c r="AS507" t="inlineStr">
        <is>
          <t xml:space="preserve">Cata</t>
        </is>
      </c>
      <c r="AT507" t="inlineStr">
        <is>
          <t xml:space="preserve">TEV Transporte T1</t>
        </is>
      </c>
      <c r="AV507" t="inlineStr">
        <is>
          <t xml:space="preserve">OK</t>
        </is>
      </c>
      <c r="AW507" t="str">
        <f>IF(L507="Otra",IF(M507="","Otra",M507&amp;""),L507&amp;"")</f>
        <v>Ingeniería Industrial</v>
      </c>
      <c r="AX507" t="str">
        <f>IF(OR(AO507="",AO507=0),"",TRIM(AO507))</f>
        <v>322 7006275</v>
      </c>
      <c r="AY507" t="str">
        <f>IFERROR(INDEX(Vacantes!$C:$C,MATCH(AT507,Vacantes!$A:$A,0)),"")</f>
        <v>Cervecería de Tocancipá</v>
      </c>
      <c r="AZ507" t="str">
        <f>IFERROR(INDEX(Vacantes!$D:$D,MATCH(AT507,Vacantes!$A:$A,0)),"")</f>
        <v>27 de octubre de 2026</v>
      </c>
      <c r="BA507" t="str">
        <f>IFERROR(INDEX(Vacantes!$E:$E,MATCH(AT507,Vacantes!$A:$A,0)),"")</f>
        <v>12:30 p.m. a 4:00 p.m.</v>
      </c>
    </row>
    <row r="508" spans="1:53">
      <c r="A508" t="inlineStr">
        <is>
          <t xml:space="preserve">gabrielaposada773@gmail.com</t>
        </is>
      </c>
      <c r="B508" t="inlineStr">
        <is>
          <t xml:space="preserve">Eylen Posada Salgado</t>
        </is>
      </c>
      <c r="C508" t="inlineStr">
        <is>
          <t xml:space="preserve">Cédula de ciudadanía</t>
        </is>
      </c>
      <c r="D508">
        <v>1021393336</v>
      </c>
      <c r="E508" t="inlineStr">
        <is>
          <t xml:space="preserve">Mujer</t>
        </is>
      </c>
      <c r="F508">
        <v>22</v>
      </c>
      <c r="G508" t="b">
        <v>1</v>
      </c>
      <c r="H508" t="inlineStr">
        <is>
          <t xml:space="preserve">Bogota</t>
        </is>
      </c>
      <c r="I508" t="inlineStr">
        <is>
          <t xml:space="preserve">Bogotá</t>
        </is>
      </c>
      <c r="J508" t="inlineStr">
        <is>
          <t xml:space="preserve">Universidad Distrital Francisco José de Caldas</t>
        </is>
      </c>
      <c r="L508" t="inlineStr">
        <is>
          <t xml:space="preserve">Ingeniería Industrial</t>
        </is>
      </c>
      <c r="N508" t="b">
        <v>1</v>
      </c>
      <c r="O508" t="b">
        <v>0</v>
      </c>
      <c r="P508" t="inlineStr">
        <is>
          <t xml:space="preserve">Básico</t>
        </is>
      </c>
      <c r="Q508" t="inlineStr">
        <is>
          <t xml:space="preserve">Avanzado</t>
        </is>
      </c>
      <c r="R508" t="inlineStr">
        <is>
          <t xml:space="preserve">Logística</t>
        </is>
      </c>
      <c r="W508" t="inlineStr">
        <is>
          <t xml:space="preserve">Producción (Operaciones)</t>
        </is>
      </c>
      <c r="X508" t="inlineStr">
        <is>
          <t xml:space="preserve">Elaboración</t>
        </is>
      </c>
      <c r="AB508" t="b">
        <v>0</v>
      </c>
      <c r="AC508" t="b">
        <v>0</v>
      </c>
      <c r="AE508" t="b">
        <v>0</v>
      </c>
      <c r="AG508" t="b">
        <v>0</v>
      </c>
      <c r="AI508" t="b">
        <v>0</v>
      </c>
      <c r="AK508" t="inlineStr">
        <is>
          <t xml:space="preserve">Otros</t>
        </is>
      </c>
      <c r="AL508" t="inlineStr">
        <is>
          <t xml:space="preserve">ONE PAGER CARGADO</t>
        </is>
      </c>
      <c r="AM508" s="3">
        <v>46269</v>
      </c>
      <c r="AN508" s="4">
        <v>0.2494675925925926</v>
      </c>
      <c r="AO508">
        <v>3195377312</v>
      </c>
      <c r="AP508" t="inlineStr">
        <is>
          <t xml:space="preserve">Calle 132A 95-9, 111131 Bogota, D.C., Colombia</t>
        </is>
      </c>
      <c r="AQ508" t="inlineStr">
        <is>
          <t xml:space="preserve">DP</t>
        </is>
      </c>
      <c r="AR508">
        <v>80.3</v>
      </c>
      <c r="AS508" t="inlineStr">
        <is>
          <t xml:space="preserve">Cata</t>
        </is>
      </c>
      <c r="AT508" t="inlineStr">
        <is>
          <t xml:space="preserve">TEV Transporte T1</t>
        </is>
      </c>
      <c r="AV508" t="inlineStr">
        <is>
          <t xml:space="preserve">OK</t>
        </is>
      </c>
      <c r="AW508" t="str">
        <f>IF(L508="Otra",IF(M508="","Otra",M508&amp;""),L508&amp;"")</f>
        <v>Ingeniería Industrial</v>
      </c>
      <c r="AX508" t="str">
        <f>IF(OR(AO508="",AO508=0),"",TRIM(AO508))</f>
        <v>3195377312</v>
      </c>
      <c r="AY508" t="str">
        <f>IFERROR(INDEX(Vacantes!$C:$C,MATCH(AT508,Vacantes!$A:$A,0)),"")</f>
        <v>Cervecería de Tocancipá</v>
      </c>
      <c r="AZ508" t="str">
        <f>IFERROR(INDEX(Vacantes!$D:$D,MATCH(AT508,Vacantes!$A:$A,0)),"")</f>
        <v>27 de octubre de 2026</v>
      </c>
      <c r="BA508" t="str">
        <f>IFERROR(INDEX(Vacantes!$E:$E,MATCH(AT508,Vacantes!$A:$A,0)),"")</f>
        <v>12:30 p.m. a 4:00 p.m.</v>
      </c>
    </row>
    <row r="509" spans="1:53">
      <c r="A509" t="inlineStr">
        <is>
          <t xml:space="preserve">brayanestibenvalero@gmail.com</t>
        </is>
      </c>
      <c r="B509" t="inlineStr">
        <is>
          <t xml:space="preserve">Brayan Estiben Valero Vargas</t>
        </is>
      </c>
      <c r="C509" t="inlineStr">
        <is>
          <t xml:space="preserve">Cédula de ciudadanía</t>
        </is>
      </c>
      <c r="D509">
        <v>1022343137</v>
      </c>
      <c r="E509" t="inlineStr">
        <is>
          <t xml:space="preserve">Hombre</t>
        </is>
      </c>
      <c r="F509">
        <v>20</v>
      </c>
      <c r="G509" t="b">
        <v>1</v>
      </c>
      <c r="H509" t="inlineStr">
        <is>
          <t xml:space="preserve">Bogotá D.C.</t>
        </is>
      </c>
      <c r="I509" t="inlineStr">
        <is>
          <t xml:space="preserve">Bogotá</t>
        </is>
      </c>
      <c r="J509" t="inlineStr">
        <is>
          <t xml:space="preserve">Universidad Nacional de Colombia</t>
        </is>
      </c>
      <c r="L509" t="inlineStr">
        <is>
          <t xml:space="preserve">Ingeniería Industrial</t>
        </is>
      </c>
      <c r="N509" t="b">
        <v>1</v>
      </c>
      <c r="O509" t="b">
        <v>0</v>
      </c>
      <c r="P509" t="inlineStr">
        <is>
          <t xml:space="preserve">Avanzado</t>
        </is>
      </c>
      <c r="Q509" t="inlineStr">
        <is>
          <t xml:space="preserve">Avanzado</t>
        </is>
      </c>
      <c r="R509" t="inlineStr">
        <is>
          <t xml:space="preserve">Logística</t>
        </is>
      </c>
      <c r="W509" t="inlineStr">
        <is>
          <t xml:space="preserve">Producción (Operaciones)</t>
        </is>
      </c>
      <c r="X509" t="inlineStr">
        <is>
          <t xml:space="preserve">Calidad</t>
        </is>
      </c>
      <c r="AB509" t="b">
        <v>0</v>
      </c>
      <c r="AC509" t="b">
        <v>0</v>
      </c>
      <c r="AE509" t="b">
        <v>0</v>
      </c>
      <c r="AG509" t="b">
        <v>0</v>
      </c>
      <c r="AI509" t="b">
        <v>0</v>
      </c>
      <c r="AK509" t="inlineStr">
        <is>
          <t xml:space="preserve">Página Web Oficial</t>
        </is>
      </c>
      <c r="AL509" t="inlineStr">
        <is>
          <t xml:space="preserve">ONE PAGER CARGADO</t>
        </is>
      </c>
      <c r="AM509" s="3">
        <v>46268</v>
      </c>
      <c r="AN509" s="4">
        <v>0.4090972222222222</v>
      </c>
      <c r="AO509">
        <v>3102964054</v>
      </c>
      <c r="AP509" t="inlineStr">
        <is>
          <t xml:space="preserve">Carrera 87D 42A S-20, 110881 Bogota, D.C., Colombia</t>
        </is>
      </c>
      <c r="AQ509" t="inlineStr">
        <is>
          <t xml:space="preserve">DP</t>
        </is>
      </c>
      <c r="AR509">
        <v>87.5</v>
      </c>
      <c r="AS509" t="inlineStr">
        <is>
          <t xml:space="preserve">Cata</t>
        </is>
      </c>
      <c r="AT509" t="inlineStr">
        <is>
          <t xml:space="preserve">TEV Transporte T1</t>
        </is>
      </c>
      <c r="AV509" t="inlineStr">
        <is>
          <t xml:space="preserve">OK</t>
        </is>
      </c>
      <c r="AW509" t="str">
        <f>IF(L509="Otra",IF(M509="","Otra",M509&amp;""),L509&amp;"")</f>
        <v>Ingeniería Industrial</v>
      </c>
      <c r="AX509" t="str">
        <f>IF(OR(AO509="",AO509=0),"",TRIM(AO509))</f>
        <v>3102964054</v>
      </c>
      <c r="AY509" t="str">
        <f>IFERROR(INDEX(Vacantes!$C:$C,MATCH(AT509,Vacantes!$A:$A,0)),"")</f>
        <v>Cervecería de Tocancipá</v>
      </c>
      <c r="AZ509" t="str">
        <f>IFERROR(INDEX(Vacantes!$D:$D,MATCH(AT509,Vacantes!$A:$A,0)),"")</f>
        <v>27 de octubre de 2026</v>
      </c>
      <c r="BA509" t="str">
        <f>IFERROR(INDEX(Vacantes!$E:$E,MATCH(AT509,Vacantes!$A:$A,0)),"")</f>
        <v>12:30 p.m. a 4:00 p.m.</v>
      </c>
    </row>
    <row r="510" spans="1:53">
      <c r="A510" t="inlineStr">
        <is>
          <t xml:space="preserve">tomascamacho@javeriana.edu.co</t>
        </is>
      </c>
      <c r="B510" t="inlineStr">
        <is>
          <t xml:space="preserve">Tomas Camacho</t>
        </is>
      </c>
      <c r="C510" t="inlineStr">
        <is>
          <t xml:space="preserve">Cédula de ciudadanía</t>
        </is>
      </c>
      <c r="D510">
        <v>1025061103</v>
      </c>
      <c r="E510" t="inlineStr">
        <is>
          <t xml:space="preserve">Hombre</t>
        </is>
      </c>
      <c r="F510">
        <v>21</v>
      </c>
      <c r="G510" t="b">
        <v>1</v>
      </c>
      <c r="I510" t="inlineStr">
        <is>
          <t xml:space="preserve">Bogotá</t>
        </is>
      </c>
      <c r="J510" t="inlineStr">
        <is>
          <t xml:space="preserve">Pontificia Universidad Javeriana</t>
        </is>
      </c>
      <c r="L510" t="inlineStr">
        <is>
          <t xml:space="preserve">Ingeniería Industrial</t>
        </is>
      </c>
      <c r="N510" t="b">
        <v>0</v>
      </c>
      <c r="O510" t="b">
        <v>0</v>
      </c>
      <c r="P510" t="inlineStr">
        <is>
          <t xml:space="preserve">Avanzado</t>
        </is>
      </c>
      <c r="Q510" t="inlineStr">
        <is>
          <t xml:space="preserve">Avanzado</t>
        </is>
      </c>
      <c r="R510" t="inlineStr">
        <is>
          <t xml:space="preserve">Logística</t>
        </is>
      </c>
      <c r="W510" t="inlineStr">
        <is>
          <t xml:space="preserve">Compras</t>
        </is>
      </c>
      <c r="AB510" t="b">
        <v>0</v>
      </c>
      <c r="AC510" t="b">
        <v>0</v>
      </c>
      <c r="AE510" t="b">
        <v>0</v>
      </c>
      <c r="AG510" t="b">
        <v>0</v>
      </c>
      <c r="AI510" t="b">
        <v>0</v>
      </c>
      <c r="AK510" t="inlineStr">
        <is>
          <t xml:space="preserve">LinkedIn</t>
        </is>
      </c>
      <c r="AL510" t="inlineStr">
        <is>
          <t xml:space="preserve">ONE PAGER CARGADO</t>
        </is>
      </c>
      <c r="AM510" s="3">
        <v>46256</v>
      </c>
      <c r="AN510" s="4">
        <v>0.42510416666666667</v>
      </c>
      <c r="AO510" t="inlineStr">
        <is>
          <t xml:space="preserve"> 320 4023686</t>
        </is>
      </c>
      <c r="AP510" t="inlineStr">
        <is>
          <t xml:space="preserve">Calle 82 10-21, 110221 Bogota, D.C., Colombia</t>
        </is>
      </c>
      <c r="AQ510" t="inlineStr">
        <is>
          <t xml:space="preserve">DP</t>
        </is>
      </c>
      <c r="AR510">
        <v>85</v>
      </c>
      <c r="AS510" t="inlineStr">
        <is>
          <t xml:space="preserve">Cata</t>
        </is>
      </c>
      <c r="AT510" t="inlineStr">
        <is>
          <t xml:space="preserve">TEV Transporte T1</t>
        </is>
      </c>
      <c r="AV510" t="inlineStr">
        <is>
          <t xml:space="preserve">OK</t>
        </is>
      </c>
      <c r="AW510" t="str">
        <f>IF(L510="Otra",IF(M510="","Otra",M510&amp;""),L510&amp;"")</f>
        <v>Ingeniería Industrial</v>
      </c>
      <c r="AX510" t="str">
        <f>IF(OR(AO510="",AO510=0),"",TRIM(AO510))</f>
        <v>320 4023686</v>
      </c>
      <c r="AY510" t="str">
        <f>IFERROR(INDEX(Vacantes!$C:$C,MATCH(AT510,Vacantes!$A:$A,0)),"")</f>
        <v>Cervecería de Tocancipá</v>
      </c>
      <c r="AZ510" t="str">
        <f>IFERROR(INDEX(Vacantes!$D:$D,MATCH(AT510,Vacantes!$A:$A,0)),"")</f>
        <v>27 de octubre de 2026</v>
      </c>
      <c r="BA510" t="str">
        <f>IFERROR(INDEX(Vacantes!$E:$E,MATCH(AT510,Vacantes!$A:$A,0)),"")</f>
        <v>12:30 p.m. a 4:00 p.m.</v>
      </c>
    </row>
    <row r="511" spans="1:53">
      <c r="A511" t="inlineStr">
        <is>
          <t xml:space="preserve">juanpablofuentesfajardof@gmail.com</t>
        </is>
      </c>
      <c r="B511" t="inlineStr">
        <is>
          <t xml:space="preserve">Juan Pablo Fuentes Fajardo</t>
        </is>
      </c>
      <c r="C511" t="inlineStr">
        <is>
          <t xml:space="preserve">Cédula de ciudadanía</t>
        </is>
      </c>
      <c r="D511">
        <v>1025321038</v>
      </c>
      <c r="E511" t="inlineStr">
        <is>
          <t xml:space="preserve">Hombre</t>
        </is>
      </c>
      <c r="F511">
        <v>21</v>
      </c>
      <c r="G511" t="b">
        <v>1</v>
      </c>
      <c r="I511" t="inlineStr">
        <is>
          <t xml:space="preserve">Bogotá</t>
        </is>
      </c>
      <c r="J511" t="inlineStr">
        <is>
          <t xml:space="preserve">Escuela Colombiana de Ingeniería Julio Garavito</t>
        </is>
      </c>
      <c r="L511" t="inlineStr">
        <is>
          <t xml:space="preserve">Ingeniería Industrial</t>
        </is>
      </c>
      <c r="N511" t="b">
        <v>0</v>
      </c>
      <c r="O511" t="b">
        <v>0</v>
      </c>
      <c r="P511" t="inlineStr">
        <is>
          <t xml:space="preserve">Avanzado</t>
        </is>
      </c>
      <c r="Q511" t="inlineStr">
        <is>
          <t xml:space="preserve">Avanzado</t>
        </is>
      </c>
      <c r="R511" t="inlineStr">
        <is>
          <t xml:space="preserve">Logística</t>
        </is>
      </c>
      <c r="W511" t="inlineStr">
        <is>
          <t xml:space="preserve">Compras</t>
        </is>
      </c>
      <c r="AB511" t="b">
        <v>0</v>
      </c>
      <c r="AC511" t="b">
        <v>0</v>
      </c>
      <c r="AE511" t="b">
        <v>0</v>
      </c>
      <c r="AG511" t="b">
        <v>0</v>
      </c>
      <c r="AI511" t="b">
        <v>0</v>
      </c>
      <c r="AK511" t="inlineStr">
        <is>
          <t xml:space="preserve">Otros</t>
        </is>
      </c>
      <c r="AL511" t="inlineStr">
        <is>
          <t xml:space="preserve">ONE PAGER CARGADO</t>
        </is>
      </c>
      <c r="AM511" s="3">
        <v>46257</v>
      </c>
      <c r="AN511" s="4">
        <v>0.8778125</v>
      </c>
      <c r="AO511" t="inlineStr">
        <is>
          <t xml:space="preserve">311 4382943</t>
        </is>
      </c>
      <c r="AP511" t="inlineStr">
        <is>
          <t xml:space="preserve">Calle 193 8-27, 110141 Bogota, D.C., Colombia</t>
        </is>
      </c>
      <c r="AQ511" t="inlineStr">
        <is>
          <t xml:space="preserve">DP</t>
        </is>
      </c>
      <c r="AR511">
        <v>84.1</v>
      </c>
      <c r="AS511" t="inlineStr">
        <is>
          <t xml:space="preserve">Cata</t>
        </is>
      </c>
      <c r="AT511" t="inlineStr">
        <is>
          <t xml:space="preserve">TEV Transporte T1</t>
        </is>
      </c>
      <c r="AV511" t="inlineStr">
        <is>
          <t xml:space="preserve">OK</t>
        </is>
      </c>
      <c r="AW511" t="str">
        <f>IF(L511="Otra",IF(M511="","Otra",M511&amp;""),L511&amp;"")</f>
        <v>Ingeniería Industrial</v>
      </c>
      <c r="AX511" t="str">
        <f>IF(OR(AO511="",AO511=0),"",TRIM(AO511))</f>
        <v>311 4382943</v>
      </c>
      <c r="AY511" t="str">
        <f>IFERROR(INDEX(Vacantes!$C:$C,MATCH(AT511,Vacantes!$A:$A,0)),"")</f>
        <v>Cervecería de Tocancipá</v>
      </c>
      <c r="AZ511" t="str">
        <f>IFERROR(INDEX(Vacantes!$D:$D,MATCH(AT511,Vacantes!$A:$A,0)),"")</f>
        <v>27 de octubre de 2026</v>
      </c>
      <c r="BA511" t="str">
        <f>IFERROR(INDEX(Vacantes!$E:$E,MATCH(AT511,Vacantes!$A:$A,0)),"")</f>
        <v>12:30 p.m. a 4:00 p.m.</v>
      </c>
    </row>
    <row r="512" spans="1:53">
      <c r="A512" t="inlineStr">
        <is>
          <t xml:space="preserve">saralopezang2005@gmail.com</t>
        </is>
      </c>
      <c r="B512" t="inlineStr">
        <is>
          <t xml:space="preserve">SARA JULIANA LOPEZ ANGARITA</t>
        </is>
      </c>
      <c r="C512" t="inlineStr">
        <is>
          <t xml:space="preserve">Cédula de ciudadanía</t>
        </is>
      </c>
      <c r="D512">
        <v>1054283024</v>
      </c>
      <c r="E512" t="inlineStr">
        <is>
          <t xml:space="preserve">Mujer</t>
        </is>
      </c>
      <c r="F512">
        <v>21</v>
      </c>
      <c r="G512" t="b">
        <v>1</v>
      </c>
      <c r="H512" t="inlineStr">
        <is>
          <t xml:space="preserve">BOGOTA</t>
        </is>
      </c>
      <c r="I512" t="inlineStr">
        <is>
          <t xml:space="preserve">Bogotá</t>
        </is>
      </c>
      <c r="J512" t="inlineStr">
        <is>
          <t xml:space="preserve">Universidad de La Sabana</t>
        </is>
      </c>
      <c r="L512" t="inlineStr">
        <is>
          <t xml:space="preserve">Ingeniería Industrial</t>
        </is>
      </c>
      <c r="N512" t="b">
        <v>0</v>
      </c>
      <c r="O512" t="b">
        <v>0</v>
      </c>
      <c r="P512" t="inlineStr">
        <is>
          <t xml:space="preserve">Intermedio</t>
        </is>
      </c>
      <c r="Q512" t="inlineStr">
        <is>
          <t xml:space="preserve">Avanzado</t>
        </is>
      </c>
      <c r="R512" t="inlineStr">
        <is>
          <t xml:space="preserve">Logística</t>
        </is>
      </c>
      <c r="W512" t="inlineStr">
        <is>
          <t xml:space="preserve">Producción (Operaciones)</t>
        </is>
      </c>
      <c r="X512" t="inlineStr">
        <is>
          <t xml:space="preserve">Calidad</t>
        </is>
      </c>
      <c r="AB512" t="b">
        <v>0</v>
      </c>
      <c r="AC512" t="b">
        <v>0</v>
      </c>
      <c r="AE512" t="b">
        <v>0</v>
      </c>
      <c r="AG512" t="b">
        <v>0</v>
      </c>
      <c r="AI512" t="b">
        <v>0</v>
      </c>
      <c r="AK512" t="inlineStr">
        <is>
          <t xml:space="preserve">LinkedIn</t>
        </is>
      </c>
      <c r="AL512" t="inlineStr">
        <is>
          <t xml:space="preserve">ONE PAGER CARGADO</t>
        </is>
      </c>
      <c r="AM512" s="3">
        <v>46277</v>
      </c>
      <c r="AN512" s="4">
        <v>0.6347685185185186</v>
      </c>
      <c r="AO512" t="inlineStr">
        <is>
          <t xml:space="preserve"> 310 2708651</t>
        </is>
      </c>
      <c r="AP512" t="inlineStr">
        <is>
          <t xml:space="preserve">Avenida Carrera 72 67, Bogota, D.C., Colombia</t>
        </is>
      </c>
      <c r="AQ512" t="inlineStr">
        <is>
          <t xml:space="preserve">DP</t>
        </is>
      </c>
      <c r="AR512">
        <v>76.9</v>
      </c>
      <c r="AS512" t="inlineStr">
        <is>
          <t xml:space="preserve">Cata</t>
        </is>
      </c>
      <c r="AT512" t="inlineStr">
        <is>
          <t xml:space="preserve">TEV Transporte T1</t>
        </is>
      </c>
      <c r="AV512" t="inlineStr">
        <is>
          <t xml:space="preserve">OK</t>
        </is>
      </c>
      <c r="AW512" t="str">
        <f>IF(L512="Otra",IF(M512="","Otra",M512&amp;""),L512&amp;"")</f>
        <v>Ingeniería Industrial</v>
      </c>
      <c r="AX512" t="str">
        <f>IF(OR(AO512="",AO512=0),"",TRIM(AO512))</f>
        <v>310 2708651</v>
      </c>
      <c r="AY512" t="str">
        <f>IFERROR(INDEX(Vacantes!$C:$C,MATCH(AT512,Vacantes!$A:$A,0)),"")</f>
        <v>Cervecería de Tocancipá</v>
      </c>
      <c r="AZ512" t="str">
        <f>IFERROR(INDEX(Vacantes!$D:$D,MATCH(AT512,Vacantes!$A:$A,0)),"")</f>
        <v>27 de octubre de 2026</v>
      </c>
      <c r="BA512" t="str">
        <f>IFERROR(INDEX(Vacantes!$E:$E,MATCH(AT512,Vacantes!$A:$A,0)),"")</f>
        <v>12:30 p.m. a 4:00 p.m.</v>
      </c>
    </row>
  </sheetData>
  <conditionalFormatting sqref="AD499">
    <cfRule type="cellIs" dxfId="1" priority="4" operator="between">
      <formula>"FS"</formula>
      <formula>"PS"</formula>
    </cfRule>
    <cfRule type="containsText" dxfId="0" priority="7" operator="containsText" text="DP">
      <formula>NOT(ISERROR(SEARCH("DP",AD499)))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A8" sqref="A8:XFD8"/>
    </sheetView>
  </sheetViews>
  <sheetFormatPr baseColWidth="10" defaultColWidth="8.83203125" defaultRowHeight="13" x14ac:dyDescent="0.15"/>
  <cols>
    <col min="1" max="1" width="52" customWidth="1"/>
    <col min="2" max="2" width="22" customWidth="1"/>
    <col min="3" max="3" width="28" customWidth="1"/>
    <col min="4" max="4" width="24" customWidth="1"/>
    <col min="5" max="5" width="26" customWidth="1"/>
    <col min="6" max="6" width="46" customWidth="1"/>
  </cols>
  <sheetData>
    <row r="1" spans="1:6" x14ac:dyDescent="0.15">
      <c r="A1" s="8" t="s">
        <v>2225</v>
      </c>
      <c r="B1" s="8" t="s">
        <v>2226</v>
      </c>
      <c r="C1" s="8" t="s">
        <v>50</v>
      </c>
      <c r="D1" s="8" t="s">
        <v>51</v>
      </c>
      <c r="E1" s="8" t="s">
        <v>52</v>
      </c>
      <c r="F1" s="8" t="s">
        <v>2227</v>
      </c>
    </row>
    <row r="2" spans="1:6" x14ac:dyDescent="0.15">
      <c r="A2" t="s">
        <v>71</v>
      </c>
      <c r="B2">
        <v>127</v>
      </c>
      <c r="C2" t="s">
        <v>2228</v>
      </c>
      <c r="D2" t="s">
        <v>2229</v>
      </c>
      <c r="E2" t="s">
        <v>2230</v>
      </c>
      <c r="F2" t="s">
        <v>2231</v>
      </c>
    </row>
    <row r="3" spans="1:6" x14ac:dyDescent="0.15">
      <c r="A3" t="s">
        <v>89</v>
      </c>
      <c r="B3">
        <v>127</v>
      </c>
      <c r="C3" t="s">
        <v>2228</v>
      </c>
      <c r="D3" t="s">
        <v>2229</v>
      </c>
      <c r="E3" t="s">
        <v>2232</v>
      </c>
      <c r="F3" t="s">
        <v>2233</v>
      </c>
    </row>
    <row r="4" spans="1:6" x14ac:dyDescent="0.15">
      <c r="A4" t="s">
        <v>262</v>
      </c>
      <c r="B4">
        <v>127</v>
      </c>
      <c r="C4" t="s">
        <v>2228</v>
      </c>
      <c r="D4" t="s">
        <v>2229</v>
      </c>
      <c r="E4" t="s">
        <v>2230</v>
      </c>
      <c r="F4" t="s">
        <v>2231</v>
      </c>
    </row>
    <row r="5" spans="1:6" x14ac:dyDescent="0.15">
      <c r="A5" t="s">
        <v>442</v>
      </c>
      <c r="B5">
        <v>127</v>
      </c>
      <c r="C5" t="s">
        <v>2228</v>
      </c>
      <c r="D5" t="s">
        <v>2229</v>
      </c>
      <c r="E5" t="s">
        <v>2232</v>
      </c>
      <c r="F5" t="s">
        <v>2233</v>
      </c>
    </row>
    <row r="6" spans="1:6" x14ac:dyDescent="0.15">
      <c r="A6" t="s">
        <v>191</v>
      </c>
      <c r="B6">
        <v>127</v>
      </c>
      <c r="C6" t="s">
        <v>2228</v>
      </c>
      <c r="D6" t="s">
        <v>2229</v>
      </c>
      <c r="E6" t="s">
        <v>2232</v>
      </c>
      <c r="F6" t="s">
        <v>2233</v>
      </c>
    </row>
    <row r="7" spans="1:6" x14ac:dyDescent="0.15">
      <c r="A7" t="s">
        <v>97</v>
      </c>
      <c r="B7">
        <v>127</v>
      </c>
      <c r="C7" t="s">
        <v>2228</v>
      </c>
      <c r="D7" t="s">
        <v>2229</v>
      </c>
      <c r="E7" t="s">
        <v>2230</v>
      </c>
      <c r="F7" t="s">
        <v>2231</v>
      </c>
    </row>
    <row r="8" spans="1:6" x14ac:dyDescent="0.15">
      <c r="A8" t="s">
        <v>102</v>
      </c>
      <c r="B8">
        <v>127</v>
      </c>
      <c r="C8" t="s">
        <v>2228</v>
      </c>
      <c r="D8" t="s">
        <v>2229</v>
      </c>
      <c r="E8" t="s">
        <v>2230</v>
      </c>
      <c r="F8" t="s">
        <v>2231</v>
      </c>
    </row>
    <row r="9" spans="1:6" x14ac:dyDescent="0.15">
      <c r="A9" t="s">
        <v>113</v>
      </c>
      <c r="B9">
        <v>127</v>
      </c>
      <c r="C9" t="s">
        <v>2228</v>
      </c>
      <c r="D9" t="s">
        <v>2229</v>
      </c>
      <c r="E9" t="s">
        <v>2232</v>
      </c>
      <c r="F9" t="s">
        <v>2233</v>
      </c>
    </row>
    <row r="10" spans="1:6" x14ac:dyDescent="0.15">
      <c r="A10" t="s">
        <v>2234</v>
      </c>
      <c r="B10">
        <v>127</v>
      </c>
      <c r="C10" t="s">
        <v>2228</v>
      </c>
      <c r="D10" t="s">
        <v>2235</v>
      </c>
      <c r="E10" t="s">
        <v>2235</v>
      </c>
      <c r="F10" t="s">
        <v>2235</v>
      </c>
    </row>
    <row r="11" spans="1:6" x14ac:dyDescent="0.15">
      <c r="A11" t="s">
        <v>2236</v>
      </c>
      <c r="B11">
        <v>127</v>
      </c>
      <c r="C11" t="s">
        <v>2228</v>
      </c>
      <c r="D11" t="s">
        <v>2235</v>
      </c>
      <c r="E11" t="s">
        <v>2235</v>
      </c>
      <c r="F11" t="s">
        <v>2235</v>
      </c>
    </row>
    <row r="12" spans="1:6" x14ac:dyDescent="0.15">
      <c r="A12" t="s">
        <v>137</v>
      </c>
      <c r="B12" t="s">
        <v>2237</v>
      </c>
      <c r="C12" t="s">
        <v>2228</v>
      </c>
      <c r="D12" t="s">
        <v>2229</v>
      </c>
      <c r="E12" t="s">
        <v>2230</v>
      </c>
      <c r="F12" t="s">
        <v>2231</v>
      </c>
    </row>
    <row r="13" spans="1:6" x14ac:dyDescent="0.15">
      <c r="A13" t="s">
        <v>210</v>
      </c>
      <c r="B13">
        <v>127</v>
      </c>
      <c r="C13" t="s">
        <v>2228</v>
      </c>
      <c r="D13" t="s">
        <v>2238</v>
      </c>
      <c r="E13" t="s">
        <v>2239</v>
      </c>
      <c r="F13" t="s">
        <v>2240</v>
      </c>
    </row>
    <row r="14" spans="1:6" x14ac:dyDescent="0.15">
      <c r="A14" t="s">
        <v>841</v>
      </c>
      <c r="B14">
        <v>127</v>
      </c>
      <c r="C14" t="s">
        <v>2228</v>
      </c>
      <c r="D14" t="s">
        <v>2238</v>
      </c>
      <c r="E14" t="s">
        <v>2239</v>
      </c>
      <c r="F14" t="s">
        <v>2240</v>
      </c>
    </row>
    <row r="15" spans="1:6" x14ac:dyDescent="0.15">
      <c r="A15" t="s">
        <v>878</v>
      </c>
      <c r="B15">
        <v>127</v>
      </c>
      <c r="C15" t="s">
        <v>2228</v>
      </c>
      <c r="D15" t="s">
        <v>2238</v>
      </c>
      <c r="E15" t="s">
        <v>2239</v>
      </c>
      <c r="F15" t="s">
        <v>2240</v>
      </c>
    </row>
    <row r="16" spans="1:6" x14ac:dyDescent="0.15">
      <c r="A16" t="s">
        <v>904</v>
      </c>
      <c r="B16">
        <v>127</v>
      </c>
      <c r="C16" t="s">
        <v>2228</v>
      </c>
      <c r="D16" t="s">
        <v>2238</v>
      </c>
      <c r="E16" t="s">
        <v>2239</v>
      </c>
      <c r="F16" t="s">
        <v>2240</v>
      </c>
    </row>
    <row r="17" spans="1:6" x14ac:dyDescent="0.15">
      <c r="A17" t="s">
        <v>939</v>
      </c>
      <c r="B17">
        <v>127</v>
      </c>
      <c r="C17" t="s">
        <v>2228</v>
      </c>
      <c r="D17" t="s">
        <v>2229</v>
      </c>
      <c r="E17" t="s">
        <v>2230</v>
      </c>
      <c r="F17" t="s">
        <v>2231</v>
      </c>
    </row>
    <row r="18" spans="1:6" x14ac:dyDescent="0.15">
      <c r="A18" t="s">
        <v>156</v>
      </c>
      <c r="B18">
        <v>127</v>
      </c>
      <c r="C18" t="s">
        <v>2228</v>
      </c>
      <c r="D18" t="s">
        <v>2229</v>
      </c>
      <c r="E18" t="s">
        <v>2232</v>
      </c>
      <c r="F18" t="s">
        <v>2233</v>
      </c>
    </row>
    <row r="19" spans="1:6" x14ac:dyDescent="0.15">
      <c r="A19" t="s">
        <v>1967</v>
      </c>
      <c r="B19">
        <v>127</v>
      </c>
      <c r="C19" t="s">
        <v>2228</v>
      </c>
      <c r="D19" t="s">
        <v>2241</v>
      </c>
      <c r="E19" t="s">
        <v>2241</v>
      </c>
      <c r="F19" t="s">
        <v>2241</v>
      </c>
    </row>
    <row r="20" spans="1:6" x14ac:dyDescent="0.15">
      <c r="A20" t="inlineStr">
        <is>
          <t xml:space="preserve">TEV Transporte T1</t>
        </is>
      </c>
      <c r="B20" t="inlineStr">
        <is>
          <t xml:space="preserve">Planta Tocancipá</t>
        </is>
      </c>
      <c r="C20" t="inlineStr">
        <is>
          <t xml:space="preserve">Cervecería de Tocancipá</t>
        </is>
      </c>
      <c r="D20" t="inlineStr">
        <is>
          <t xml:space="preserve">27 de octubre de 2026</t>
        </is>
      </c>
      <c r="E20" t="inlineStr">
        <is>
          <t xml:space="preserve">12:30 p.m. a 4:00 p.m.</t>
        </is>
      </c>
      <c r="F20" t="inlineStr">
        <is>
          <t xml:space="preserve">27 de octubre de 2026, 12:30 p.m. a 4:00 p.m.</t>
        </is>
      </c>
    </row>
    <row r="21" spans="1:6" x14ac:dyDescent="0.15">
      <c r="A21" t="s">
        <v>183</v>
      </c>
      <c r="B21">
        <v>127</v>
      </c>
      <c r="C21" t="s">
        <v>2228</v>
      </c>
      <c r="D21" t="s">
        <v>2229</v>
      </c>
      <c r="E21" t="s">
        <v>2230</v>
      </c>
      <c r="F21" t="s">
        <v>2231</v>
      </c>
    </row>
    <row r="22" spans="1:6" x14ac:dyDescent="0.15">
      <c r="A22" t="s">
        <v>1005</v>
      </c>
      <c r="B22" t="s">
        <v>2243</v>
      </c>
      <c r="C22" t="s">
        <v>2244</v>
      </c>
      <c r="D22" t="s">
        <v>2245</v>
      </c>
      <c r="E22" t="s">
        <v>2246</v>
      </c>
      <c r="F22" t="s">
        <v>2247</v>
      </c>
    </row>
    <row r="23" spans="1:6" x14ac:dyDescent="0.15">
      <c r="A23" t="s">
        <v>1039</v>
      </c>
      <c r="B23" t="s">
        <v>2243</v>
      </c>
      <c r="C23" t="s">
        <v>2244</v>
      </c>
      <c r="D23" t="s">
        <v>2245</v>
      </c>
      <c r="E23" t="s">
        <v>2246</v>
      </c>
      <c r="F23" t="s">
        <v>2247</v>
      </c>
    </row>
    <row r="24" spans="1:6" x14ac:dyDescent="0.15">
      <c r="A24" t="s">
        <v>302</v>
      </c>
      <c r="B24" t="s">
        <v>2248</v>
      </c>
      <c r="C24" t="s">
        <v>2249</v>
      </c>
      <c r="D24" t="s">
        <v>2250</v>
      </c>
      <c r="E24" t="s">
        <v>2251</v>
      </c>
      <c r="F24" t="s">
        <v>2252</v>
      </c>
    </row>
    <row r="25" spans="1:6" x14ac:dyDescent="0.15">
      <c r="A25" t="s">
        <v>609</v>
      </c>
      <c r="B25" t="s">
        <v>2248</v>
      </c>
      <c r="C25" t="s">
        <v>2249</v>
      </c>
      <c r="D25" t="s">
        <v>2250</v>
      </c>
      <c r="E25" t="s">
        <v>2251</v>
      </c>
      <c r="F25" t="s">
        <v>2252</v>
      </c>
    </row>
    <row r="26" spans="1:6" x14ac:dyDescent="0.15">
      <c r="A26" t="s">
        <v>720</v>
      </c>
      <c r="B26" t="s">
        <v>2248</v>
      </c>
      <c r="C26" t="s">
        <v>2249</v>
      </c>
      <c r="D26" t="s">
        <v>2250</v>
      </c>
      <c r="E26" t="s">
        <v>2251</v>
      </c>
      <c r="F26" t="s">
        <v>2252</v>
      </c>
    </row>
    <row r="27" spans="1:6" x14ac:dyDescent="0.15">
      <c r="A27" t="s">
        <v>171</v>
      </c>
      <c r="B27" t="s">
        <v>2248</v>
      </c>
      <c r="C27" t="s">
        <v>2249</v>
      </c>
      <c r="D27" t="s">
        <v>2250</v>
      </c>
      <c r="E27" t="s">
        <v>2251</v>
      </c>
      <c r="F27" t="s">
        <v>2252</v>
      </c>
    </row>
    <row r="28" spans="1:6" x14ac:dyDescent="0.15">
      <c r="A28" t="s">
        <v>542</v>
      </c>
      <c r="B28" t="s">
        <v>2253</v>
      </c>
      <c r="C28" t="s">
        <v>2254</v>
      </c>
      <c r="D28" t="s">
        <v>2510</v>
      </c>
      <c r="E28" t="s">
        <v>2256</v>
      </c>
      <c r="F28" t="s">
        <v>2511</v>
      </c>
    </row>
    <row r="29" spans="1:6" x14ac:dyDescent="0.15">
      <c r="A29" t="s">
        <v>1107</v>
      </c>
      <c r="B29" t="s">
        <v>2253</v>
      </c>
      <c r="C29" t="s">
        <v>2254</v>
      </c>
      <c r="D29" t="s">
        <v>2510</v>
      </c>
      <c r="E29" t="s">
        <v>2256</v>
      </c>
      <c r="F29" t="s">
        <v>2511</v>
      </c>
    </row>
    <row r="30" spans="1:6" x14ac:dyDescent="0.15">
      <c r="A30" t="s">
        <v>1071</v>
      </c>
      <c r="B30" t="s">
        <v>2257</v>
      </c>
      <c r="C30" t="s">
        <v>2258</v>
      </c>
      <c r="D30" t="s">
        <v>2259</v>
      </c>
      <c r="E30" t="s">
        <v>2256</v>
      </c>
      <c r="F30" t="s">
        <v>2260</v>
      </c>
    </row>
    <row r="31" spans="1:6" x14ac:dyDescent="0.15">
      <c r="A31" t="s">
        <v>216</v>
      </c>
      <c r="B31" t="s">
        <v>2257</v>
      </c>
      <c r="C31" t="s">
        <v>2258</v>
      </c>
      <c r="D31" t="s">
        <v>2259</v>
      </c>
      <c r="E31" t="s">
        <v>2256</v>
      </c>
      <c r="F31" t="s">
        <v>2260</v>
      </c>
    </row>
    <row r="32" spans="1:6" x14ac:dyDescent="0.15">
      <c r="A32" t="s">
        <v>1519</v>
      </c>
      <c r="B32" t="s">
        <v>2261</v>
      </c>
      <c r="C32" t="s">
        <v>2262</v>
      </c>
      <c r="D32" t="inlineStr">
        <is>
          <t xml:space="preserve">21 de octubre de 2026</t>
        </is>
      </c>
      <c r="E32" t="inlineStr">
        <is>
          <t xml:space="preserve">12:30 p.m. a 4:30 p.m.</t>
        </is>
      </c>
      <c r="F32" t="inlineStr">
        <is>
          <t xml:space="preserve">21 de octubre de 2026, 12:30 p.m. a 4:30 p.m.</t>
        </is>
      </c>
    </row>
    <row r="33" spans="1:6" x14ac:dyDescent="0.15">
      <c r="A33" t="s">
        <v>2263</v>
      </c>
      <c r="B33" t="s">
        <v>2261</v>
      </c>
      <c r="C33" t="s">
        <v>2262</v>
      </c>
      <c r="D33" t="s">
        <v>2241</v>
      </c>
      <c r="E33" t="s">
        <v>2241</v>
      </c>
      <c r="F33" t="s">
        <v>2241</v>
      </c>
    </row>
    <row r="34" spans="1:6" x14ac:dyDescent="0.15">
      <c r="A34" t="s">
        <v>2264</v>
      </c>
      <c r="B34" t="s">
        <v>2261</v>
      </c>
      <c r="C34" t="s">
        <v>2262</v>
      </c>
      <c r="D34" t="s">
        <v>2241</v>
      </c>
      <c r="E34" t="s">
        <v>2241</v>
      </c>
      <c r="F34" t="s">
        <v>2235</v>
      </c>
    </row>
    <row r="35" spans="1:6" x14ac:dyDescent="0.15">
      <c r="A35" t="s">
        <v>2104</v>
      </c>
      <c r="B35" t="s">
        <v>2261</v>
      </c>
      <c r="C35" t="s">
        <v>2262</v>
      </c>
      <c r="D35" t="inlineStr">
        <is>
          <t xml:space="preserve">21 de octubre de 2026</t>
        </is>
      </c>
      <c r="E35" t="inlineStr">
        <is>
          <t xml:space="preserve">12:30 p.m. a 4:30 p.m.</t>
        </is>
      </c>
      <c r="F35" t="inlineStr">
        <is>
          <t xml:space="preserve">21 de octubre de 2026, 12:30 p.m. a 4:30 p.m.</t>
        </is>
      </c>
    </row>
    <row r="36" spans="1:6" x14ac:dyDescent="0.15">
      <c r="A36" t="s">
        <v>1098</v>
      </c>
      <c r="B36" t="s">
        <v>2265</v>
      </c>
      <c r="C36" t="s">
        <v>2266</v>
      </c>
      <c r="D36" t="s">
        <v>2267</v>
      </c>
      <c r="E36" t="s">
        <v>2268</v>
      </c>
      <c r="F36" t="s">
        <v>2269</v>
      </c>
    </row>
    <row r="37" spans="1:6" x14ac:dyDescent="0.15">
      <c r="A37" t="s">
        <v>342</v>
      </c>
      <c r="B37" t="s">
        <v>2270</v>
      </c>
      <c r="C37" t="s">
        <v>2271</v>
      </c>
      <c r="D37" t="s">
        <v>2267</v>
      </c>
      <c r="E37" t="s">
        <v>2268</v>
      </c>
      <c r="F37" t="s">
        <v>2269</v>
      </c>
    </row>
    <row r="38" spans="1:6" x14ac:dyDescent="0.15">
      <c r="A38" t="s">
        <v>2272</v>
      </c>
      <c r="B38" t="s">
        <v>2270</v>
      </c>
      <c r="C38" t="s">
        <v>2271</v>
      </c>
      <c r="D38" t="s">
        <v>2241</v>
      </c>
      <c r="E38" t="s">
        <v>2241</v>
      </c>
      <c r="F38" t="s">
        <v>2241</v>
      </c>
    </row>
    <row r="39" spans="1:6" x14ac:dyDescent="0.15">
      <c r="A39" t="s">
        <v>128</v>
      </c>
      <c r="B39" t="s">
        <v>2270</v>
      </c>
      <c r="C39" t="s">
        <v>2271</v>
      </c>
      <c r="D39" t="s">
        <v>2267</v>
      </c>
      <c r="E39" t="s">
        <v>2268</v>
      </c>
      <c r="F39" t="s">
        <v>2269</v>
      </c>
    </row>
    <row r="40" spans="1:6" x14ac:dyDescent="0.15">
      <c r="A40" t="s">
        <v>748</v>
      </c>
      <c r="B40" t="s">
        <v>2270</v>
      </c>
      <c r="C40" t="s">
        <v>2271</v>
      </c>
      <c r="D40" t="s">
        <v>2267</v>
      </c>
      <c r="E40" t="s">
        <v>2268</v>
      </c>
      <c r="F40" t="s">
        <v>2269</v>
      </c>
    </row>
    <row r="41" spans="1:6" x14ac:dyDescent="0.15">
      <c r="A41" t="s">
        <v>1202</v>
      </c>
      <c r="B41" t="s">
        <v>2270</v>
      </c>
      <c r="C41" t="s">
        <v>2271</v>
      </c>
      <c r="D41" t="s">
        <v>2267</v>
      </c>
      <c r="E41" t="s">
        <v>2268</v>
      </c>
      <c r="F41" t="s">
        <v>2269</v>
      </c>
    </row>
    <row r="42" spans="1:6" x14ac:dyDescent="0.15">
      <c r="A42" t="s">
        <v>382</v>
      </c>
      <c r="B42" t="s">
        <v>2273</v>
      </c>
      <c r="C42" t="s">
        <v>2274</v>
      </c>
      <c r="D42" t="s">
        <v>2259</v>
      </c>
      <c r="E42" t="s">
        <v>2230</v>
      </c>
      <c r="F42" t="s">
        <v>2512</v>
      </c>
    </row>
    <row r="43" spans="1:6" x14ac:dyDescent="0.15">
      <c r="A43" t="s">
        <v>580</v>
      </c>
      <c r="B43" t="s">
        <v>2273</v>
      </c>
      <c r="C43" t="s">
        <v>2274</v>
      </c>
      <c r="D43" t="s">
        <v>2259</v>
      </c>
      <c r="E43" t="s">
        <v>2230</v>
      </c>
      <c r="F43" t="s">
        <v>2512</v>
      </c>
    </row>
    <row r="44" spans="1:6" x14ac:dyDescent="0.15">
      <c r="A44" t="s">
        <v>651</v>
      </c>
      <c r="B44" t="s">
        <v>2273</v>
      </c>
      <c r="C44" t="s">
        <v>2274</v>
      </c>
      <c r="D44" t="s">
        <v>2259</v>
      </c>
      <c r="E44" t="s">
        <v>2230</v>
      </c>
      <c r="F44" t="s">
        <v>2512</v>
      </c>
    </row>
    <row r="45" spans="1:6" x14ac:dyDescent="0.15">
      <c r="A45" t="s">
        <v>695</v>
      </c>
      <c r="B45" t="s">
        <v>2273</v>
      </c>
      <c r="C45" t="s">
        <v>2274</v>
      </c>
      <c r="D45" t="s">
        <v>2259</v>
      </c>
      <c r="E45" t="s">
        <v>2230</v>
      </c>
      <c r="F45" t="s">
        <v>2512</v>
      </c>
    </row>
    <row r="46" spans="1:6" x14ac:dyDescent="0.15">
      <c r="A46" t="s">
        <v>1117</v>
      </c>
      <c r="B46" t="s">
        <v>2273</v>
      </c>
      <c r="C46" t="s">
        <v>2274</v>
      </c>
      <c r="D46" t="s">
        <v>2259</v>
      </c>
      <c r="E46" t="s">
        <v>2230</v>
      </c>
      <c r="F46" t="s">
        <v>2512</v>
      </c>
    </row>
    <row r="47" spans="1:6" x14ac:dyDescent="0.15">
      <c r="A47" t="s">
        <v>409</v>
      </c>
      <c r="B47" t="s">
        <v>2275</v>
      </c>
      <c r="C47" t="s">
        <v>2275</v>
      </c>
      <c r="D47" t="s">
        <v>2255</v>
      </c>
      <c r="E47" t="s">
        <v>2268</v>
      </c>
      <c r="F47" t="s">
        <v>2276</v>
      </c>
    </row>
    <row r="48" spans="1:6" x14ac:dyDescent="0.15">
      <c r="A48" t="s">
        <v>668</v>
      </c>
      <c r="B48" t="s">
        <v>2275</v>
      </c>
      <c r="C48" t="s">
        <v>2275</v>
      </c>
      <c r="D48" t="s">
        <v>2255</v>
      </c>
      <c r="E48" t="s">
        <v>2268</v>
      </c>
      <c r="F48" t="s">
        <v>2276</v>
      </c>
    </row>
    <row r="49" spans="1:6" x14ac:dyDescent="0.15">
      <c r="A49" t="s">
        <v>147</v>
      </c>
      <c r="B49" t="s">
        <v>2277</v>
      </c>
      <c r="C49" t="s">
        <v>2277</v>
      </c>
      <c r="D49" t="s">
        <v>2245</v>
      </c>
      <c r="E49" t="s">
        <v>2246</v>
      </c>
      <c r="F49" t="s">
        <v>2247</v>
      </c>
    </row>
    <row r="50" spans="1:6" x14ac:dyDescent="0.15">
      <c r="A50" t="s">
        <v>1256</v>
      </c>
      <c r="B50" t="s">
        <v>2277</v>
      </c>
      <c r="C50" t="s">
        <v>2277</v>
      </c>
      <c r="D50" t="s">
        <v>2245</v>
      </c>
      <c r="E50" t="s">
        <v>2246</v>
      </c>
      <c r="F50" t="s">
        <v>2247</v>
      </c>
    </row>
    <row r="51" spans="1:6" x14ac:dyDescent="0.15">
      <c r="A51" t="s">
        <v>1131</v>
      </c>
      <c r="B51" t="s">
        <v>2278</v>
      </c>
      <c r="C51" t="s">
        <v>2278</v>
      </c>
      <c r="D51" t="s">
        <v>2229</v>
      </c>
      <c r="E51" t="s">
        <v>2268</v>
      </c>
      <c r="F51" t="s">
        <v>2452</v>
      </c>
    </row>
    <row r="52" spans="1:6" x14ac:dyDescent="0.15">
      <c r="A52" t="s">
        <v>1288</v>
      </c>
      <c r="B52" t="s">
        <v>2278</v>
      </c>
      <c r="C52" t="s">
        <v>2278</v>
      </c>
      <c r="D52" t="s">
        <v>2229</v>
      </c>
      <c r="E52" t="s">
        <v>2268</v>
      </c>
      <c r="F52" t="s">
        <v>2452</v>
      </c>
    </row>
    <row r="53" spans="1:6" x14ac:dyDescent="0.15">
      <c r="A53" t="s">
        <v>178</v>
      </c>
      <c r="B53" t="s">
        <v>2279</v>
      </c>
      <c r="C53" t="s">
        <v>2279</v>
      </c>
      <c r="D53" t="s">
        <v>2250</v>
      </c>
      <c r="E53" t="s">
        <v>2453</v>
      </c>
      <c r="F53" t="s">
        <v>2454</v>
      </c>
    </row>
    <row r="54" spans="1:6" x14ac:dyDescent="0.15">
      <c r="A54" t="s">
        <v>164</v>
      </c>
      <c r="B54" t="s">
        <v>2280</v>
      </c>
      <c r="C54" t="s">
        <v>2280</v>
      </c>
      <c r="D54" t="s">
        <v>2250</v>
      </c>
      <c r="E54" t="s">
        <v>2246</v>
      </c>
      <c r="F54" t="s">
        <v>2281</v>
      </c>
    </row>
    <row r="55" spans="1:6" x14ac:dyDescent="0.15">
      <c r="A55" t="s">
        <v>1316</v>
      </c>
      <c r="B55" t="s">
        <v>2280</v>
      </c>
      <c r="C55" t="s">
        <v>2280</v>
      </c>
      <c r="D55" t="s">
        <v>2250</v>
      </c>
      <c r="E55" t="s">
        <v>2246</v>
      </c>
      <c r="F55" t="s">
        <v>2281</v>
      </c>
    </row>
    <row r="57" spans="1:6" x14ac:dyDescent="0.15">
      <c r="A57" s="9" t="s">
        <v>2282</v>
      </c>
    </row>
    <row r="58" spans="1:6" x14ac:dyDescent="0.15">
      <c r="A58" s="9" t="s">
        <v>2513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tabSelected="1" workbookViewId="0">
      <pane ySplit="6" topLeftCell="A7" activePane="bottomLeft" state="frozen"/>
      <selection pane="bottomLeft" activeCell="A25" sqref="A25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8" bestFit="1" customWidth="1"/>
  </cols>
  <sheetData>
    <row r="1" spans="1:1" ht="17" x14ac:dyDescent="0.2">
      <c r="A1" s="10" t="s">
        <v>2283</v>
      </c>
    </row>
    <row r="6" spans="1:1" x14ac:dyDescent="0.15">
      <c r="A6" t="e" vm="1">
        <v>#VALUE!</v>
      </c>
    </row>
    <row r="49" spans="1:3" x14ac:dyDescent="0.15">
      <c r="A49" s="13" t="s">
        <v>878</v>
      </c>
      <c r="B49">
        <v>1014977540</v>
      </c>
      <c r="C49" t="s">
        <v>2518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workbookViewId="0">
      <pane ySplit="6" topLeftCell="A7" activePane="bottomLeft" state="frozen"/>
      <selection pane="bottomLeft" activeCell="B19" sqref="B19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2286</v>
      </c>
    </row>
    <row r="3" spans="1:8" x14ac:dyDescent="0.15">
      <c r="A3" s="11" t="s">
        <v>50</v>
      </c>
      <c r="B3" t="s">
        <v>2275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409</v>
      </c>
      <c r="B7">
        <v>1004419222</v>
      </c>
      <c r="C7" t="s">
        <v>434</v>
      </c>
      <c r="D7" t="s">
        <v>433</v>
      </c>
      <c r="E7" t="s">
        <v>2287</v>
      </c>
      <c r="F7" t="s">
        <v>339</v>
      </c>
      <c r="G7" t="s">
        <v>2255</v>
      </c>
      <c r="H7" t="s">
        <v>2268</v>
      </c>
    </row>
    <row r="8" spans="1:8" x14ac:dyDescent="0.15">
      <c r="A8" t="s">
        <v>409</v>
      </c>
      <c r="B8">
        <v>1005784074</v>
      </c>
      <c r="C8" t="s">
        <v>426</v>
      </c>
      <c r="D8" t="s">
        <v>425</v>
      </c>
      <c r="E8" t="s">
        <v>2288</v>
      </c>
      <c r="F8" t="s">
        <v>305</v>
      </c>
      <c r="G8" t="s">
        <v>2255</v>
      </c>
      <c r="H8" t="s">
        <v>2268</v>
      </c>
    </row>
    <row r="9" spans="1:8" x14ac:dyDescent="0.15">
      <c r="A9" t="s">
        <v>409</v>
      </c>
      <c r="B9">
        <v>1006053135</v>
      </c>
      <c r="C9" t="s">
        <v>430</v>
      </c>
      <c r="D9" t="s">
        <v>429</v>
      </c>
      <c r="E9" t="s">
        <v>2289</v>
      </c>
      <c r="F9" t="s">
        <v>305</v>
      </c>
      <c r="G9" t="s">
        <v>2255</v>
      </c>
      <c r="H9" t="s">
        <v>2268</v>
      </c>
    </row>
    <row r="10" spans="1:8" x14ac:dyDescent="0.15">
      <c r="A10" t="s">
        <v>409</v>
      </c>
      <c r="B10">
        <v>1083752386</v>
      </c>
      <c r="C10" t="s">
        <v>422</v>
      </c>
      <c r="D10" t="s">
        <v>421</v>
      </c>
      <c r="E10" t="s">
        <v>2290</v>
      </c>
      <c r="F10" t="s">
        <v>305</v>
      </c>
      <c r="G10" t="s">
        <v>2255</v>
      </c>
      <c r="H10" t="s">
        <v>2268</v>
      </c>
    </row>
    <row r="11" spans="1:8" x14ac:dyDescent="0.15">
      <c r="A11" t="s">
        <v>409</v>
      </c>
      <c r="B11">
        <v>1085896222</v>
      </c>
      <c r="C11" t="s">
        <v>411</v>
      </c>
      <c r="D11" t="s">
        <v>410</v>
      </c>
      <c r="E11" t="s">
        <v>2291</v>
      </c>
      <c r="F11" t="s">
        <v>414</v>
      </c>
      <c r="G11" t="s">
        <v>2255</v>
      </c>
      <c r="H11" t="s">
        <v>2268</v>
      </c>
    </row>
    <row r="12" spans="1:8" x14ac:dyDescent="0.15">
      <c r="A12" t="s">
        <v>409</v>
      </c>
      <c r="B12">
        <v>1109665069</v>
      </c>
      <c r="C12" t="s">
        <v>1624</v>
      </c>
      <c r="D12" t="s">
        <v>1623</v>
      </c>
      <c r="E12" t="s">
        <v>2455</v>
      </c>
      <c r="F12" t="s">
        <v>143</v>
      </c>
      <c r="G12" t="s">
        <v>2255</v>
      </c>
      <c r="H12" t="s">
        <v>2268</v>
      </c>
    </row>
    <row r="13" spans="1:8" x14ac:dyDescent="0.15">
      <c r="A13" t="s">
        <v>409</v>
      </c>
      <c r="B13">
        <v>1110283459</v>
      </c>
      <c r="C13" t="s">
        <v>405</v>
      </c>
      <c r="D13" t="s">
        <v>404</v>
      </c>
      <c r="E13" t="s">
        <v>2292</v>
      </c>
      <c r="F13" t="s">
        <v>339</v>
      </c>
      <c r="G13" t="s">
        <v>2255</v>
      </c>
      <c r="H13" t="s">
        <v>2268</v>
      </c>
    </row>
    <row r="14" spans="1:8" x14ac:dyDescent="0.15">
      <c r="A14" t="s">
        <v>409</v>
      </c>
      <c r="B14">
        <v>1117013881</v>
      </c>
      <c r="C14" t="s">
        <v>418</v>
      </c>
      <c r="D14" t="s">
        <v>417</v>
      </c>
      <c r="E14" t="s">
        <v>2293</v>
      </c>
      <c r="F14" t="s">
        <v>305</v>
      </c>
      <c r="G14" t="s">
        <v>2255</v>
      </c>
      <c r="H14" t="s">
        <v>2268</v>
      </c>
    </row>
    <row r="15" spans="1:8" x14ac:dyDescent="0.15">
      <c r="A15" t="s">
        <v>668</v>
      </c>
      <c r="B15">
        <v>1002777341</v>
      </c>
      <c r="C15" t="s">
        <v>684</v>
      </c>
      <c r="D15" t="s">
        <v>683</v>
      </c>
      <c r="E15" t="s">
        <v>2294</v>
      </c>
      <c r="F15" t="s">
        <v>143</v>
      </c>
      <c r="G15" t="s">
        <v>2255</v>
      </c>
      <c r="H15" t="s">
        <v>2268</v>
      </c>
    </row>
    <row r="16" spans="1:8" x14ac:dyDescent="0.15">
      <c r="A16" t="s">
        <v>668</v>
      </c>
      <c r="B16">
        <v>1004154247</v>
      </c>
      <c r="C16" t="s">
        <v>674</v>
      </c>
      <c r="D16" t="s">
        <v>673</v>
      </c>
      <c r="E16" t="s">
        <v>2295</v>
      </c>
      <c r="F16" t="s">
        <v>143</v>
      </c>
      <c r="G16" t="s">
        <v>2255</v>
      </c>
      <c r="H16" t="s">
        <v>2268</v>
      </c>
    </row>
    <row r="17" spans="1:8" x14ac:dyDescent="0.15">
      <c r="A17" t="s">
        <v>668</v>
      </c>
      <c r="B17">
        <v>1004691011</v>
      </c>
      <c r="C17" t="s">
        <v>678</v>
      </c>
      <c r="D17" t="s">
        <v>677</v>
      </c>
      <c r="E17" t="s">
        <v>2441</v>
      </c>
      <c r="F17" t="s">
        <v>612</v>
      </c>
      <c r="G17" t="s">
        <v>2255</v>
      </c>
      <c r="H17" t="s">
        <v>2268</v>
      </c>
    </row>
    <row r="18" spans="1:8" x14ac:dyDescent="0.15">
      <c r="A18" t="s">
        <v>668</v>
      </c>
      <c r="B18">
        <v>1006101876</v>
      </c>
      <c r="C18" t="s">
        <v>666</v>
      </c>
      <c r="D18" t="s">
        <v>665</v>
      </c>
      <c r="E18" t="s">
        <v>2296</v>
      </c>
      <c r="F18" t="s">
        <v>305</v>
      </c>
      <c r="G18" t="s">
        <v>2255</v>
      </c>
      <c r="H18" t="s">
        <v>2268</v>
      </c>
    </row>
    <row r="19" spans="1:8" x14ac:dyDescent="0.15">
      <c r="A19" t="s">
        <v>668</v>
      </c>
      <c r="B19">
        <v>1006427742</v>
      </c>
      <c r="C19" t="s">
        <v>670</v>
      </c>
      <c r="D19" t="s">
        <v>669</v>
      </c>
      <c r="E19" t="s">
        <v>2297</v>
      </c>
      <c r="F19" t="s">
        <v>143</v>
      </c>
      <c r="G19" t="s">
        <v>2255</v>
      </c>
      <c r="H19" t="s">
        <v>2268</v>
      </c>
    </row>
    <row r="20" spans="1:8" x14ac:dyDescent="0.15">
      <c r="A20" t="s">
        <v>668</v>
      </c>
      <c r="B20">
        <v>1088589197</v>
      </c>
      <c r="C20" t="s">
        <v>1825</v>
      </c>
      <c r="D20" t="s">
        <v>1824</v>
      </c>
      <c r="E20" t="s">
        <v>2456</v>
      </c>
      <c r="F20" t="s">
        <v>143</v>
      </c>
      <c r="G20" t="s">
        <v>2255</v>
      </c>
      <c r="H20" t="s">
        <v>2268</v>
      </c>
    </row>
    <row r="21" spans="1:8" x14ac:dyDescent="0.15">
      <c r="A21" t="s">
        <v>668</v>
      </c>
      <c r="B21">
        <v>1089512175</v>
      </c>
      <c r="C21" t="s">
        <v>680</v>
      </c>
      <c r="D21" t="s">
        <v>679</v>
      </c>
      <c r="E21" t="s">
        <v>2298</v>
      </c>
      <c r="F21" t="s">
        <v>143</v>
      </c>
      <c r="G21" t="s">
        <v>2255</v>
      </c>
      <c r="H21" t="s">
        <v>2268</v>
      </c>
    </row>
    <row r="22" spans="1:8" x14ac:dyDescent="0.15">
      <c r="A22" t="s">
        <v>668</v>
      </c>
      <c r="B22">
        <v>1193600407</v>
      </c>
      <c r="C22" t="s">
        <v>688</v>
      </c>
      <c r="D22" t="s">
        <v>687</v>
      </c>
      <c r="E22" t="s">
        <v>2299</v>
      </c>
      <c r="F22" t="s">
        <v>124</v>
      </c>
      <c r="G22" t="s">
        <v>2255</v>
      </c>
      <c r="H22" t="s">
        <v>2268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>
      <pane ySplit="6" topLeftCell="A7" activePane="bottomLeft" state="frozen"/>
      <selection pane="bottomLeft" activeCell="A42" sqref="A42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2300</v>
      </c>
    </row>
    <row r="3" spans="1:8" x14ac:dyDescent="0.15">
      <c r="A3" s="11" t="s">
        <v>50</v>
      </c>
      <c r="B3" t="s">
        <v>2274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382</v>
      </c>
      <c r="B7">
        <v>1107835167</v>
      </c>
      <c r="C7" t="s">
        <v>653</v>
      </c>
      <c r="D7" t="s">
        <v>652</v>
      </c>
      <c r="E7" t="s">
        <v>2313</v>
      </c>
      <c r="F7" t="s">
        <v>386</v>
      </c>
      <c r="G7" t="s">
        <v>2259</v>
      </c>
      <c r="H7" t="s">
        <v>2230</v>
      </c>
    </row>
    <row r="8" spans="1:8" x14ac:dyDescent="0.15">
      <c r="A8" t="s">
        <v>382</v>
      </c>
      <c r="B8">
        <v>1108558815</v>
      </c>
      <c r="C8" t="s">
        <v>396</v>
      </c>
      <c r="D8" t="s">
        <v>395</v>
      </c>
      <c r="E8" t="s">
        <v>2301</v>
      </c>
      <c r="F8" t="s">
        <v>305</v>
      </c>
      <c r="G8" t="s">
        <v>2259</v>
      </c>
      <c r="H8" t="s">
        <v>2230</v>
      </c>
    </row>
    <row r="9" spans="1:8" x14ac:dyDescent="0.15">
      <c r="A9" t="s">
        <v>382</v>
      </c>
      <c r="B9">
        <v>1113152043</v>
      </c>
      <c r="C9" t="s">
        <v>1616</v>
      </c>
      <c r="D9" t="s">
        <v>1615</v>
      </c>
      <c r="E9" t="s">
        <v>2457</v>
      </c>
      <c r="F9" t="s">
        <v>143</v>
      </c>
      <c r="G9" t="s">
        <v>2259</v>
      </c>
      <c r="H9" t="s">
        <v>2230</v>
      </c>
    </row>
    <row r="10" spans="1:8" x14ac:dyDescent="0.15">
      <c r="A10" t="s">
        <v>382</v>
      </c>
      <c r="B10">
        <v>1126965198</v>
      </c>
      <c r="C10" t="s">
        <v>377</v>
      </c>
      <c r="D10" t="s">
        <v>376</v>
      </c>
      <c r="E10" t="s">
        <v>2302</v>
      </c>
      <c r="F10" t="s">
        <v>143</v>
      </c>
      <c r="G10" t="s">
        <v>2259</v>
      </c>
      <c r="H10" t="s">
        <v>2230</v>
      </c>
    </row>
    <row r="11" spans="1:8" x14ac:dyDescent="0.15">
      <c r="A11" t="s">
        <v>382</v>
      </c>
      <c r="B11">
        <v>1193249727</v>
      </c>
      <c r="C11" t="s">
        <v>400</v>
      </c>
      <c r="D11" t="s">
        <v>399</v>
      </c>
      <c r="E11" t="s">
        <v>2303</v>
      </c>
      <c r="F11" t="s">
        <v>305</v>
      </c>
      <c r="G11" t="s">
        <v>2259</v>
      </c>
      <c r="H11" t="s">
        <v>2230</v>
      </c>
    </row>
    <row r="12" spans="1:8" x14ac:dyDescent="0.15">
      <c r="A12" t="s">
        <v>580</v>
      </c>
      <c r="B12">
        <v>1005935212</v>
      </c>
      <c r="C12" t="s">
        <v>587</v>
      </c>
      <c r="D12" t="s">
        <v>586</v>
      </c>
      <c r="E12" t="s">
        <v>2304</v>
      </c>
      <c r="F12" t="s">
        <v>339</v>
      </c>
      <c r="G12" t="s">
        <v>2259</v>
      </c>
      <c r="H12" t="s">
        <v>2230</v>
      </c>
    </row>
    <row r="13" spans="1:8" x14ac:dyDescent="0.15">
      <c r="A13" t="s">
        <v>580</v>
      </c>
      <c r="B13">
        <v>1037776478</v>
      </c>
      <c r="C13" t="s">
        <v>601</v>
      </c>
      <c r="D13" t="s">
        <v>600</v>
      </c>
      <c r="E13" t="s">
        <v>2305</v>
      </c>
      <c r="F13" t="s">
        <v>602</v>
      </c>
      <c r="G13" t="s">
        <v>2259</v>
      </c>
      <c r="H13" t="s">
        <v>2230</v>
      </c>
    </row>
    <row r="14" spans="1:8" x14ac:dyDescent="0.15">
      <c r="A14" t="s">
        <v>580</v>
      </c>
      <c r="B14">
        <v>1062275043</v>
      </c>
      <c r="C14" t="s">
        <v>582</v>
      </c>
      <c r="D14" t="s">
        <v>581</v>
      </c>
      <c r="E14" t="s">
        <v>2306</v>
      </c>
      <c r="F14" t="s">
        <v>299</v>
      </c>
      <c r="G14" t="s">
        <v>2259</v>
      </c>
      <c r="H14" t="s">
        <v>2230</v>
      </c>
    </row>
    <row r="15" spans="1:8" x14ac:dyDescent="0.15">
      <c r="A15" t="s">
        <v>580</v>
      </c>
      <c r="B15">
        <v>1105363099</v>
      </c>
      <c r="C15" t="s">
        <v>591</v>
      </c>
      <c r="D15" t="s">
        <v>590</v>
      </c>
      <c r="E15" t="s">
        <v>2307</v>
      </c>
      <c r="F15" t="s">
        <v>305</v>
      </c>
      <c r="G15" t="s">
        <v>2259</v>
      </c>
      <c r="H15" t="s">
        <v>2230</v>
      </c>
    </row>
    <row r="16" spans="1:8" x14ac:dyDescent="0.15">
      <c r="A16" t="s">
        <v>580</v>
      </c>
      <c r="B16">
        <v>1105368091</v>
      </c>
      <c r="C16" t="s">
        <v>596</v>
      </c>
      <c r="D16" t="s">
        <v>595</v>
      </c>
      <c r="E16" t="s">
        <v>2308</v>
      </c>
      <c r="F16" t="s">
        <v>597</v>
      </c>
      <c r="G16" t="s">
        <v>2259</v>
      </c>
      <c r="H16" t="s">
        <v>2230</v>
      </c>
    </row>
    <row r="17" spans="1:8" x14ac:dyDescent="0.15">
      <c r="A17" t="s">
        <v>580</v>
      </c>
      <c r="B17">
        <v>1105369065</v>
      </c>
      <c r="C17" t="s">
        <v>1795</v>
      </c>
      <c r="D17" t="s">
        <v>1794</v>
      </c>
      <c r="E17" t="s">
        <v>1796</v>
      </c>
      <c r="F17" t="s">
        <v>143</v>
      </c>
      <c r="G17" t="s">
        <v>2259</v>
      </c>
      <c r="H17" t="s">
        <v>2230</v>
      </c>
    </row>
    <row r="18" spans="1:8" x14ac:dyDescent="0.15">
      <c r="A18" t="s">
        <v>580</v>
      </c>
      <c r="B18">
        <v>1107042882</v>
      </c>
      <c r="C18" t="s">
        <v>1383</v>
      </c>
      <c r="D18" t="s">
        <v>1382</v>
      </c>
      <c r="E18" t="s">
        <v>2309</v>
      </c>
      <c r="F18" t="s">
        <v>143</v>
      </c>
      <c r="G18" t="s">
        <v>2259</v>
      </c>
      <c r="H18" t="s">
        <v>2230</v>
      </c>
    </row>
    <row r="19" spans="1:8" x14ac:dyDescent="0.15">
      <c r="A19" t="s">
        <v>580</v>
      </c>
      <c r="B19">
        <v>1110362238</v>
      </c>
      <c r="C19" t="s">
        <v>578</v>
      </c>
      <c r="D19" t="s">
        <v>577</v>
      </c>
      <c r="E19" t="s">
        <v>2310</v>
      </c>
      <c r="F19" t="s">
        <v>339</v>
      </c>
      <c r="G19" t="s">
        <v>2259</v>
      </c>
      <c r="H19" t="s">
        <v>2230</v>
      </c>
    </row>
    <row r="20" spans="1:8" x14ac:dyDescent="0.15">
      <c r="A20" t="s">
        <v>651</v>
      </c>
      <c r="B20">
        <v>1006098987</v>
      </c>
      <c r="C20" t="s">
        <v>1401</v>
      </c>
      <c r="D20" t="s">
        <v>1400</v>
      </c>
      <c r="E20" t="s">
        <v>1402</v>
      </c>
      <c r="F20" t="s">
        <v>386</v>
      </c>
      <c r="G20" t="s">
        <v>2259</v>
      </c>
      <c r="H20" t="s">
        <v>2230</v>
      </c>
    </row>
    <row r="21" spans="1:8" x14ac:dyDescent="0.15">
      <c r="A21" t="s">
        <v>651</v>
      </c>
      <c r="B21">
        <v>1059354950</v>
      </c>
      <c r="C21" t="s">
        <v>1392</v>
      </c>
      <c r="D21" t="s">
        <v>1391</v>
      </c>
      <c r="E21" t="s">
        <v>2311</v>
      </c>
      <c r="F21" t="s">
        <v>386</v>
      </c>
      <c r="G21" t="s">
        <v>2259</v>
      </c>
      <c r="H21" t="s">
        <v>2230</v>
      </c>
    </row>
    <row r="22" spans="1:8" x14ac:dyDescent="0.15">
      <c r="A22" t="s">
        <v>651</v>
      </c>
      <c r="B22">
        <v>1087119111</v>
      </c>
      <c r="C22" t="s">
        <v>658</v>
      </c>
      <c r="D22" t="s">
        <v>657</v>
      </c>
      <c r="E22" t="s">
        <v>2312</v>
      </c>
      <c r="F22" t="s">
        <v>143</v>
      </c>
      <c r="G22" t="s">
        <v>2259</v>
      </c>
      <c r="H22" t="s">
        <v>2230</v>
      </c>
    </row>
    <row r="23" spans="1:8" x14ac:dyDescent="0.15">
      <c r="A23" t="s">
        <v>651</v>
      </c>
      <c r="B23">
        <v>1105363383</v>
      </c>
      <c r="C23" t="s">
        <v>1404</v>
      </c>
      <c r="D23" t="s">
        <v>1403</v>
      </c>
      <c r="E23" t="s">
        <v>1405</v>
      </c>
      <c r="F23" t="s">
        <v>386</v>
      </c>
      <c r="G23" t="s">
        <v>2259</v>
      </c>
      <c r="H23" t="s">
        <v>2230</v>
      </c>
    </row>
    <row r="24" spans="1:8" x14ac:dyDescent="0.15">
      <c r="A24" t="s">
        <v>651</v>
      </c>
      <c r="B24">
        <v>1192724020</v>
      </c>
      <c r="C24" t="s">
        <v>1397</v>
      </c>
      <c r="D24" t="s">
        <v>1396</v>
      </c>
      <c r="E24" t="s">
        <v>2314</v>
      </c>
      <c r="F24" t="s">
        <v>640</v>
      </c>
      <c r="G24" t="s">
        <v>2259</v>
      </c>
      <c r="H24" t="s">
        <v>2230</v>
      </c>
    </row>
    <row r="25" spans="1:8" x14ac:dyDescent="0.15">
      <c r="A25" t="s">
        <v>651</v>
      </c>
      <c r="B25">
        <v>1193069331</v>
      </c>
      <c r="C25" t="s">
        <v>648</v>
      </c>
      <c r="D25" t="s">
        <v>647</v>
      </c>
      <c r="E25" t="s">
        <v>649</v>
      </c>
      <c r="F25" t="s">
        <v>386</v>
      </c>
      <c r="G25" t="s">
        <v>2259</v>
      </c>
      <c r="H25" t="s">
        <v>2230</v>
      </c>
    </row>
    <row r="26" spans="1:8" x14ac:dyDescent="0.15">
      <c r="A26" t="s">
        <v>695</v>
      </c>
      <c r="B26">
        <v>1006907583</v>
      </c>
      <c r="C26" t="s">
        <v>1829</v>
      </c>
      <c r="D26" t="s">
        <v>1828</v>
      </c>
      <c r="E26" t="s">
        <v>2458</v>
      </c>
      <c r="F26" t="s">
        <v>305</v>
      </c>
      <c r="G26" t="s">
        <v>2259</v>
      </c>
      <c r="H26" t="s">
        <v>2230</v>
      </c>
    </row>
    <row r="27" spans="1:8" x14ac:dyDescent="0.15">
      <c r="A27" t="s">
        <v>695</v>
      </c>
      <c r="B27">
        <v>1107844181</v>
      </c>
      <c r="C27" t="s">
        <v>697</v>
      </c>
      <c r="D27" t="s">
        <v>696</v>
      </c>
      <c r="E27" t="s">
        <v>2315</v>
      </c>
      <c r="F27" t="s">
        <v>143</v>
      </c>
      <c r="G27" t="s">
        <v>2259</v>
      </c>
      <c r="H27" t="s">
        <v>2230</v>
      </c>
    </row>
    <row r="28" spans="1:8" x14ac:dyDescent="0.15">
      <c r="A28" t="s">
        <v>695</v>
      </c>
      <c r="B28">
        <v>1112389571</v>
      </c>
      <c r="C28" t="s">
        <v>712</v>
      </c>
      <c r="D28" t="s">
        <v>711</v>
      </c>
      <c r="E28" t="s">
        <v>2316</v>
      </c>
      <c r="F28" t="s">
        <v>709</v>
      </c>
      <c r="G28" t="s">
        <v>2259</v>
      </c>
      <c r="H28" t="s">
        <v>2230</v>
      </c>
    </row>
    <row r="29" spans="1:8" x14ac:dyDescent="0.15">
      <c r="A29" t="s">
        <v>695</v>
      </c>
      <c r="B29">
        <v>1114541928</v>
      </c>
      <c r="C29" t="s">
        <v>702</v>
      </c>
      <c r="D29" t="s">
        <v>701</v>
      </c>
      <c r="E29" t="s">
        <v>2317</v>
      </c>
      <c r="F29" t="s">
        <v>705</v>
      </c>
      <c r="G29" t="s">
        <v>2259</v>
      </c>
      <c r="H29" t="s">
        <v>2230</v>
      </c>
    </row>
    <row r="30" spans="1:8" x14ac:dyDescent="0.15">
      <c r="A30" t="s">
        <v>695</v>
      </c>
      <c r="B30">
        <v>1115574468</v>
      </c>
      <c r="C30" t="s">
        <v>1407</v>
      </c>
      <c r="D30" t="s">
        <v>1406</v>
      </c>
      <c r="E30" t="s">
        <v>2318</v>
      </c>
      <c r="F30" t="s">
        <v>305</v>
      </c>
      <c r="G30" t="s">
        <v>2259</v>
      </c>
      <c r="H30" t="s">
        <v>2230</v>
      </c>
    </row>
    <row r="31" spans="1:8" x14ac:dyDescent="0.15">
      <c r="A31" t="s">
        <v>695</v>
      </c>
      <c r="B31">
        <v>1121198799</v>
      </c>
      <c r="C31" t="s">
        <v>708</v>
      </c>
      <c r="D31" t="s">
        <v>707</v>
      </c>
      <c r="E31" t="s">
        <v>2319</v>
      </c>
      <c r="F31" t="s">
        <v>709</v>
      </c>
      <c r="G31" t="s">
        <v>2259</v>
      </c>
      <c r="H31" t="s">
        <v>2230</v>
      </c>
    </row>
    <row r="32" spans="1:8" x14ac:dyDescent="0.15">
      <c r="A32" t="s">
        <v>695</v>
      </c>
      <c r="B32">
        <v>1193324017</v>
      </c>
      <c r="C32" t="s">
        <v>1411</v>
      </c>
      <c r="D32" t="s">
        <v>1410</v>
      </c>
      <c r="E32" t="s">
        <v>2320</v>
      </c>
      <c r="F32" t="s">
        <v>124</v>
      </c>
      <c r="G32" t="s">
        <v>2259</v>
      </c>
      <c r="H32" t="s">
        <v>2230</v>
      </c>
    </row>
    <row r="33" spans="1:8" x14ac:dyDescent="0.15">
      <c r="A33" t="s">
        <v>1117</v>
      </c>
      <c r="B33">
        <v>1006493321</v>
      </c>
      <c r="C33" t="s">
        <v>2042</v>
      </c>
      <c r="D33" t="s">
        <v>2041</v>
      </c>
      <c r="E33" t="s">
        <v>2459</v>
      </c>
      <c r="F33" t="s">
        <v>143</v>
      </c>
      <c r="G33" t="s">
        <v>2259</v>
      </c>
      <c r="H33" t="s">
        <v>2230</v>
      </c>
    </row>
    <row r="34" spans="1:8" x14ac:dyDescent="0.15">
      <c r="A34" t="s">
        <v>1117</v>
      </c>
      <c r="B34">
        <v>1010036742</v>
      </c>
      <c r="C34" t="s">
        <v>1473</v>
      </c>
      <c r="D34" t="s">
        <v>1472</v>
      </c>
      <c r="E34" t="s">
        <v>2321</v>
      </c>
      <c r="F34" t="s">
        <v>277</v>
      </c>
      <c r="G34" t="s">
        <v>2259</v>
      </c>
      <c r="H34" t="s">
        <v>2230</v>
      </c>
    </row>
    <row r="35" spans="1:8" x14ac:dyDescent="0.15">
      <c r="A35" t="s">
        <v>1117</v>
      </c>
      <c r="B35">
        <v>1081272383</v>
      </c>
      <c r="C35" t="s">
        <v>2038</v>
      </c>
      <c r="D35" t="s">
        <v>2037</v>
      </c>
      <c r="E35" t="s">
        <v>2514</v>
      </c>
      <c r="F35" t="s">
        <v>107</v>
      </c>
      <c r="G35" t="s">
        <v>2259</v>
      </c>
      <c r="H35" t="s">
        <v>2230</v>
      </c>
    </row>
    <row r="36" spans="1:8" x14ac:dyDescent="0.15">
      <c r="A36" t="s">
        <v>1117</v>
      </c>
      <c r="B36">
        <v>1111540492</v>
      </c>
      <c r="C36" t="s">
        <v>1123</v>
      </c>
      <c r="D36" t="s">
        <v>1122</v>
      </c>
      <c r="E36" t="s">
        <v>2322</v>
      </c>
      <c r="F36" t="s">
        <v>1124</v>
      </c>
      <c r="G36" t="s">
        <v>2259</v>
      </c>
      <c r="H36" t="s">
        <v>2230</v>
      </c>
    </row>
    <row r="37" spans="1:8" x14ac:dyDescent="0.15">
      <c r="A37" t="s">
        <v>1117</v>
      </c>
      <c r="B37">
        <v>1112041540</v>
      </c>
      <c r="C37" t="s">
        <v>1119</v>
      </c>
      <c r="D37" t="s">
        <v>1118</v>
      </c>
      <c r="E37" t="s">
        <v>2323</v>
      </c>
      <c r="F37" t="s">
        <v>117</v>
      </c>
      <c r="G37" t="s">
        <v>2259</v>
      </c>
      <c r="H37" t="s">
        <v>2230</v>
      </c>
    </row>
    <row r="38" spans="1:8" x14ac:dyDescent="0.15">
      <c r="A38" t="s">
        <v>1117</v>
      </c>
      <c r="B38">
        <v>1112618688</v>
      </c>
      <c r="C38" t="s">
        <v>1113</v>
      </c>
      <c r="D38" t="s">
        <v>1112</v>
      </c>
      <c r="E38" t="s">
        <v>2324</v>
      </c>
      <c r="F38" t="s">
        <v>143</v>
      </c>
      <c r="G38" t="s">
        <v>2259</v>
      </c>
      <c r="H38" t="s">
        <v>2230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5.1640625" bestFit="1" customWidth="1"/>
  </cols>
  <sheetData>
    <row r="1" spans="1:8" ht="17" x14ac:dyDescent="0.2">
      <c r="A1" s="10" t="s">
        <v>2325</v>
      </c>
    </row>
    <row r="3" spans="1:8" x14ac:dyDescent="0.15">
      <c r="A3" s="11" t="s">
        <v>50</v>
      </c>
      <c r="B3" t="s">
        <v>2262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1519</v>
      </c>
      <c r="B7">
        <v>1029981862</v>
      </c>
      <c r="C7" t="s">
        <v>1516</v>
      </c>
      <c r="D7" t="s">
        <v>1515</v>
      </c>
      <c r="E7" t="s">
        <v>2460</v>
      </c>
      <c r="F7" t="s">
        <v>143</v>
      </c>
      <c r="G7" t="s">
        <v>2241</v>
      </c>
      <c r="H7" t="s">
        <v>2241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2326</v>
      </c>
    </row>
    <row r="3" spans="1:8" x14ac:dyDescent="0.15">
      <c r="A3" s="11" t="s">
        <v>50</v>
      </c>
      <c r="B3" t="s">
        <v>2277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147</v>
      </c>
      <c r="B7">
        <v>1023523325</v>
      </c>
      <c r="C7" t="s">
        <v>798</v>
      </c>
      <c r="D7" t="s">
        <v>797</v>
      </c>
      <c r="E7" t="s">
        <v>2327</v>
      </c>
      <c r="F7" t="s">
        <v>107</v>
      </c>
      <c r="G7" t="s">
        <v>2245</v>
      </c>
      <c r="H7" t="s">
        <v>2246</v>
      </c>
    </row>
    <row r="8" spans="1:8" x14ac:dyDescent="0.15">
      <c r="A8" t="s">
        <v>147</v>
      </c>
      <c r="B8">
        <v>1023523538</v>
      </c>
      <c r="C8" t="s">
        <v>1876</v>
      </c>
      <c r="D8" t="s">
        <v>1875</v>
      </c>
      <c r="E8" t="s">
        <v>2461</v>
      </c>
      <c r="F8" t="s">
        <v>107</v>
      </c>
      <c r="G8" t="s">
        <v>2245</v>
      </c>
      <c r="H8" t="s">
        <v>2246</v>
      </c>
    </row>
    <row r="9" spans="1:8" x14ac:dyDescent="0.15">
      <c r="A9" t="s">
        <v>147</v>
      </c>
      <c r="B9">
        <v>1025880974</v>
      </c>
      <c r="C9" t="s">
        <v>794</v>
      </c>
      <c r="D9" t="s">
        <v>793</v>
      </c>
      <c r="E9" t="s">
        <v>2328</v>
      </c>
      <c r="F9" t="s">
        <v>107</v>
      </c>
      <c r="G9" t="s">
        <v>2245</v>
      </c>
      <c r="H9" t="s">
        <v>2246</v>
      </c>
    </row>
    <row r="10" spans="1:8" x14ac:dyDescent="0.15">
      <c r="A10" t="s">
        <v>147</v>
      </c>
      <c r="B10">
        <v>1034987448</v>
      </c>
      <c r="C10" t="s">
        <v>803</v>
      </c>
      <c r="D10" t="s">
        <v>802</v>
      </c>
      <c r="E10" t="s">
        <v>2329</v>
      </c>
      <c r="F10" t="s">
        <v>134</v>
      </c>
      <c r="G10" t="s">
        <v>2245</v>
      </c>
      <c r="H10" t="s">
        <v>2246</v>
      </c>
    </row>
    <row r="11" spans="1:8" x14ac:dyDescent="0.15">
      <c r="A11" t="s">
        <v>147</v>
      </c>
      <c r="B11">
        <v>1037670821</v>
      </c>
      <c r="C11" t="s">
        <v>1426</v>
      </c>
      <c r="D11" t="s">
        <v>1425</v>
      </c>
      <c r="E11" t="s">
        <v>2330</v>
      </c>
      <c r="F11" t="s">
        <v>134</v>
      </c>
      <c r="G11" t="s">
        <v>2245</v>
      </c>
      <c r="H11" t="s">
        <v>2246</v>
      </c>
    </row>
    <row r="12" spans="1:8" x14ac:dyDescent="0.15">
      <c r="A12" t="s">
        <v>147</v>
      </c>
      <c r="B12">
        <v>1068417699</v>
      </c>
      <c r="C12" t="s">
        <v>1888</v>
      </c>
      <c r="D12" t="s">
        <v>1887</v>
      </c>
      <c r="E12" t="s">
        <v>2462</v>
      </c>
      <c r="F12" t="s">
        <v>143</v>
      </c>
      <c r="G12" t="s">
        <v>2245</v>
      </c>
      <c r="H12" t="s">
        <v>2246</v>
      </c>
    </row>
    <row r="13" spans="1:8" x14ac:dyDescent="0.15">
      <c r="A13" t="s">
        <v>147</v>
      </c>
      <c r="B13">
        <v>1125781473</v>
      </c>
      <c r="C13" t="s">
        <v>1336</v>
      </c>
      <c r="D13" t="s">
        <v>1335</v>
      </c>
      <c r="E13" t="s">
        <v>1337</v>
      </c>
      <c r="F13" t="s">
        <v>134</v>
      </c>
      <c r="G13" t="s">
        <v>2245</v>
      </c>
      <c r="H13" t="s">
        <v>2246</v>
      </c>
    </row>
    <row r="14" spans="1:8" x14ac:dyDescent="0.15">
      <c r="A14" t="s">
        <v>1256</v>
      </c>
      <c r="B14">
        <v>1001095936</v>
      </c>
      <c r="C14" t="s">
        <v>1270</v>
      </c>
      <c r="D14" t="s">
        <v>1269</v>
      </c>
      <c r="E14" t="s">
        <v>2331</v>
      </c>
      <c r="F14" t="s">
        <v>143</v>
      </c>
      <c r="G14" t="s">
        <v>2245</v>
      </c>
      <c r="H14" t="s">
        <v>2246</v>
      </c>
    </row>
    <row r="15" spans="1:8" x14ac:dyDescent="0.15">
      <c r="A15" t="s">
        <v>1256</v>
      </c>
      <c r="B15">
        <v>1011510808</v>
      </c>
      <c r="C15" t="s">
        <v>1262</v>
      </c>
      <c r="D15" t="s">
        <v>1261</v>
      </c>
      <c r="E15" t="s">
        <v>2332</v>
      </c>
      <c r="F15" t="s">
        <v>1263</v>
      </c>
      <c r="G15" t="s">
        <v>2245</v>
      </c>
      <c r="H15" t="s">
        <v>2246</v>
      </c>
    </row>
    <row r="16" spans="1:8" x14ac:dyDescent="0.15">
      <c r="A16" t="s">
        <v>1256</v>
      </c>
      <c r="B16">
        <v>1013457902</v>
      </c>
      <c r="C16" t="s">
        <v>1501</v>
      </c>
      <c r="D16" t="s">
        <v>1500</v>
      </c>
      <c r="E16" t="s">
        <v>2333</v>
      </c>
      <c r="F16" t="s">
        <v>117</v>
      </c>
      <c r="G16" t="s">
        <v>2245</v>
      </c>
      <c r="H16" t="s">
        <v>2246</v>
      </c>
    </row>
    <row r="17" spans="1:8" x14ac:dyDescent="0.15">
      <c r="A17" t="s">
        <v>1256</v>
      </c>
      <c r="B17">
        <v>1018232610</v>
      </c>
      <c r="C17" t="s">
        <v>1267</v>
      </c>
      <c r="D17" t="s">
        <v>1266</v>
      </c>
      <c r="E17" t="s">
        <v>2334</v>
      </c>
      <c r="F17" t="s">
        <v>134</v>
      </c>
      <c r="G17" t="s">
        <v>2245</v>
      </c>
      <c r="H17" t="s">
        <v>2246</v>
      </c>
    </row>
    <row r="18" spans="1:8" x14ac:dyDescent="0.15">
      <c r="A18" t="s">
        <v>1256</v>
      </c>
      <c r="B18">
        <v>1027740396</v>
      </c>
      <c r="C18" t="s">
        <v>1258</v>
      </c>
      <c r="D18" t="s">
        <v>1257</v>
      </c>
      <c r="E18" t="s">
        <v>1259</v>
      </c>
      <c r="F18" t="s">
        <v>134</v>
      </c>
      <c r="G18" t="s">
        <v>2245</v>
      </c>
      <c r="H18" t="s">
        <v>2246</v>
      </c>
    </row>
    <row r="19" spans="1:8" x14ac:dyDescent="0.15">
      <c r="A19" t="s">
        <v>1256</v>
      </c>
      <c r="B19">
        <v>1033257311</v>
      </c>
      <c r="C19" t="s">
        <v>1253</v>
      </c>
      <c r="D19" t="s">
        <v>1252</v>
      </c>
      <c r="E19" t="s">
        <v>2335</v>
      </c>
      <c r="F19" t="s">
        <v>107</v>
      </c>
      <c r="G19" t="s">
        <v>2245</v>
      </c>
      <c r="H19" t="s">
        <v>2246</v>
      </c>
    </row>
    <row r="20" spans="1:8" x14ac:dyDescent="0.15">
      <c r="A20" t="s">
        <v>1256</v>
      </c>
      <c r="B20">
        <v>1035973289</v>
      </c>
      <c r="C20" t="s">
        <v>2189</v>
      </c>
      <c r="D20" t="s">
        <v>2188</v>
      </c>
      <c r="E20" t="s">
        <v>2463</v>
      </c>
      <c r="F20" t="s">
        <v>107</v>
      </c>
      <c r="G20" t="s">
        <v>2245</v>
      </c>
      <c r="H20" t="s">
        <v>2246</v>
      </c>
    </row>
    <row r="21" spans="1:8" x14ac:dyDescent="0.15">
      <c r="A21" t="s">
        <v>1256</v>
      </c>
      <c r="B21">
        <v>1042241820</v>
      </c>
      <c r="C21" t="s">
        <v>1276</v>
      </c>
      <c r="D21" t="s">
        <v>1275</v>
      </c>
      <c r="E21" t="s">
        <v>2336</v>
      </c>
      <c r="F21" t="s">
        <v>117</v>
      </c>
      <c r="G21" t="s">
        <v>2245</v>
      </c>
      <c r="H21" t="s">
        <v>2246</v>
      </c>
    </row>
    <row r="22" spans="1:8" x14ac:dyDescent="0.15">
      <c r="A22" t="s">
        <v>1256</v>
      </c>
      <c r="B22">
        <v>1097492556</v>
      </c>
      <c r="C22" t="s">
        <v>1282</v>
      </c>
      <c r="D22" t="s">
        <v>1281</v>
      </c>
      <c r="E22" t="s">
        <v>2337</v>
      </c>
      <c r="F22" t="s">
        <v>134</v>
      </c>
      <c r="G22" t="s">
        <v>2245</v>
      </c>
      <c r="H22" t="s">
        <v>2246</v>
      </c>
    </row>
    <row r="23" spans="1:8" x14ac:dyDescent="0.15">
      <c r="A23" t="s">
        <v>1256</v>
      </c>
      <c r="B23">
        <v>1105361230</v>
      </c>
      <c r="C23" t="s">
        <v>1279</v>
      </c>
      <c r="D23" t="s">
        <v>1278</v>
      </c>
      <c r="E23" t="s">
        <v>2338</v>
      </c>
      <c r="F23" t="s">
        <v>117</v>
      </c>
      <c r="G23" t="s">
        <v>2245</v>
      </c>
      <c r="H23" t="s">
        <v>2246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2339</v>
      </c>
    </row>
    <row r="3" spans="1:8" x14ac:dyDescent="0.15">
      <c r="A3" s="11" t="s">
        <v>50</v>
      </c>
      <c r="B3" t="s">
        <v>2244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1005</v>
      </c>
      <c r="B7">
        <v>1004368328</v>
      </c>
      <c r="C7" t="s">
        <v>1001</v>
      </c>
      <c r="D7" t="s">
        <v>1000</v>
      </c>
      <c r="E7" t="s">
        <v>2340</v>
      </c>
      <c r="F7" t="s">
        <v>143</v>
      </c>
      <c r="G7" t="s">
        <v>2245</v>
      </c>
      <c r="H7" t="s">
        <v>2246</v>
      </c>
    </row>
    <row r="8" spans="1:8" x14ac:dyDescent="0.15">
      <c r="A8" t="s">
        <v>1005</v>
      </c>
      <c r="B8">
        <v>1042241995</v>
      </c>
      <c r="C8" t="s">
        <v>1024</v>
      </c>
      <c r="D8" t="s">
        <v>1023</v>
      </c>
      <c r="E8" t="s">
        <v>2341</v>
      </c>
      <c r="F8" t="s">
        <v>143</v>
      </c>
      <c r="G8" t="s">
        <v>2245</v>
      </c>
      <c r="H8" t="s">
        <v>2246</v>
      </c>
    </row>
    <row r="9" spans="1:8" x14ac:dyDescent="0.15">
      <c r="A9" t="s">
        <v>1005</v>
      </c>
      <c r="B9">
        <v>1043665142</v>
      </c>
      <c r="C9" t="s">
        <v>1028</v>
      </c>
      <c r="D9" t="s">
        <v>1027</v>
      </c>
      <c r="E9" t="s">
        <v>2342</v>
      </c>
      <c r="F9" t="s">
        <v>612</v>
      </c>
      <c r="G9" t="s">
        <v>2245</v>
      </c>
      <c r="H9" t="s">
        <v>2246</v>
      </c>
    </row>
    <row r="10" spans="1:8" x14ac:dyDescent="0.15">
      <c r="A10" t="s">
        <v>1005</v>
      </c>
      <c r="B10">
        <v>1044210202</v>
      </c>
      <c r="C10" t="s">
        <v>1007</v>
      </c>
      <c r="D10" t="s">
        <v>1006</v>
      </c>
      <c r="E10" t="s">
        <v>2343</v>
      </c>
      <c r="F10" t="s">
        <v>143</v>
      </c>
      <c r="G10" t="s">
        <v>2245</v>
      </c>
      <c r="H10" t="s">
        <v>2246</v>
      </c>
    </row>
    <row r="11" spans="1:8" x14ac:dyDescent="0.15">
      <c r="A11" t="s">
        <v>1005</v>
      </c>
      <c r="B11">
        <v>1082470342</v>
      </c>
      <c r="C11" t="s">
        <v>1032</v>
      </c>
      <c r="D11" t="s">
        <v>1031</v>
      </c>
      <c r="E11" t="s">
        <v>2344</v>
      </c>
      <c r="F11" t="s">
        <v>640</v>
      </c>
      <c r="G11" t="s">
        <v>2245</v>
      </c>
      <c r="H11" t="s">
        <v>2246</v>
      </c>
    </row>
    <row r="12" spans="1:8" x14ac:dyDescent="0.15">
      <c r="A12" t="s">
        <v>1005</v>
      </c>
      <c r="B12">
        <v>1107836866</v>
      </c>
      <c r="C12" t="s">
        <v>1461</v>
      </c>
      <c r="D12" t="s">
        <v>1460</v>
      </c>
      <c r="E12" t="s">
        <v>2345</v>
      </c>
      <c r="F12" t="s">
        <v>143</v>
      </c>
      <c r="G12" t="s">
        <v>2245</v>
      </c>
      <c r="H12" t="s">
        <v>2246</v>
      </c>
    </row>
    <row r="13" spans="1:8" x14ac:dyDescent="0.15">
      <c r="A13" t="s">
        <v>1005</v>
      </c>
      <c r="B13">
        <v>1129506759</v>
      </c>
      <c r="C13" t="s">
        <v>1013</v>
      </c>
      <c r="D13" t="s">
        <v>1012</v>
      </c>
      <c r="E13" t="s">
        <v>1014</v>
      </c>
      <c r="F13" t="s">
        <v>143</v>
      </c>
      <c r="G13" t="s">
        <v>2245</v>
      </c>
      <c r="H13" t="s">
        <v>2246</v>
      </c>
    </row>
    <row r="14" spans="1:8" x14ac:dyDescent="0.15">
      <c r="A14" t="s">
        <v>1005</v>
      </c>
      <c r="B14">
        <v>1141320197</v>
      </c>
      <c r="C14" t="s">
        <v>1017</v>
      </c>
      <c r="D14" t="s">
        <v>1016</v>
      </c>
      <c r="E14" t="s">
        <v>2346</v>
      </c>
      <c r="F14" t="s">
        <v>1020</v>
      </c>
      <c r="G14" t="s">
        <v>2245</v>
      </c>
      <c r="H14" t="s">
        <v>2246</v>
      </c>
    </row>
    <row r="15" spans="1:8" x14ac:dyDescent="0.15">
      <c r="A15" t="s">
        <v>1039</v>
      </c>
      <c r="B15">
        <v>1004501029</v>
      </c>
      <c r="C15" t="s">
        <v>1065</v>
      </c>
      <c r="D15" t="s">
        <v>1064</v>
      </c>
      <c r="E15" t="s">
        <v>2347</v>
      </c>
      <c r="F15" t="s">
        <v>143</v>
      </c>
      <c r="G15" t="s">
        <v>2245</v>
      </c>
      <c r="H15" t="s">
        <v>2246</v>
      </c>
    </row>
    <row r="16" spans="1:8" x14ac:dyDescent="0.15">
      <c r="A16" t="s">
        <v>1039</v>
      </c>
      <c r="B16">
        <v>1043665416</v>
      </c>
      <c r="C16" t="s">
        <v>1056</v>
      </c>
      <c r="D16" t="s">
        <v>1055</v>
      </c>
      <c r="E16" t="s">
        <v>2348</v>
      </c>
      <c r="F16" t="s">
        <v>143</v>
      </c>
      <c r="G16" t="s">
        <v>2245</v>
      </c>
      <c r="H16" t="s">
        <v>2246</v>
      </c>
    </row>
    <row r="17" spans="1:8" x14ac:dyDescent="0.15">
      <c r="A17" t="s">
        <v>1039</v>
      </c>
      <c r="B17">
        <v>1043673339</v>
      </c>
      <c r="C17" t="s">
        <v>1061</v>
      </c>
      <c r="D17" t="s">
        <v>1060</v>
      </c>
      <c r="E17" t="s">
        <v>2349</v>
      </c>
      <c r="F17" t="s">
        <v>143</v>
      </c>
      <c r="G17" t="s">
        <v>2245</v>
      </c>
      <c r="H17" t="s">
        <v>2246</v>
      </c>
    </row>
    <row r="18" spans="1:8" x14ac:dyDescent="0.15">
      <c r="A18" t="s">
        <v>1039</v>
      </c>
      <c r="B18">
        <v>1045166605</v>
      </c>
      <c r="C18" t="s">
        <v>1041</v>
      </c>
      <c r="D18" t="s">
        <v>1040</v>
      </c>
      <c r="E18" t="s">
        <v>2350</v>
      </c>
      <c r="F18" t="s">
        <v>1043</v>
      </c>
      <c r="G18" t="s">
        <v>2245</v>
      </c>
      <c r="H18" t="s">
        <v>2246</v>
      </c>
    </row>
    <row r="19" spans="1:8" x14ac:dyDescent="0.15">
      <c r="A19" t="s">
        <v>1039</v>
      </c>
      <c r="B19">
        <v>1082840858</v>
      </c>
      <c r="C19" t="s">
        <v>1918</v>
      </c>
      <c r="D19" t="s">
        <v>1917</v>
      </c>
      <c r="E19" t="s">
        <v>2464</v>
      </c>
      <c r="F19" t="s">
        <v>134</v>
      </c>
      <c r="G19" t="s">
        <v>2245</v>
      </c>
      <c r="H19" t="s">
        <v>2246</v>
      </c>
    </row>
    <row r="20" spans="1:8" x14ac:dyDescent="0.15">
      <c r="A20" t="s">
        <v>1039</v>
      </c>
      <c r="B20">
        <v>1123622199</v>
      </c>
      <c r="C20" t="s">
        <v>1036</v>
      </c>
      <c r="D20" t="s">
        <v>1035</v>
      </c>
      <c r="E20" t="s">
        <v>2351</v>
      </c>
      <c r="F20" t="s">
        <v>143</v>
      </c>
      <c r="G20" t="s">
        <v>2245</v>
      </c>
      <c r="H20" t="s">
        <v>2246</v>
      </c>
    </row>
    <row r="21" spans="1:8" x14ac:dyDescent="0.15">
      <c r="A21" t="s">
        <v>1039</v>
      </c>
      <c r="B21">
        <v>1139424257</v>
      </c>
      <c r="C21" t="s">
        <v>1047</v>
      </c>
      <c r="D21" t="s">
        <v>1046</v>
      </c>
      <c r="E21" t="s">
        <v>2352</v>
      </c>
      <c r="F21" t="s">
        <v>1043</v>
      </c>
      <c r="G21" t="s">
        <v>2245</v>
      </c>
      <c r="H21" t="s">
        <v>2246</v>
      </c>
    </row>
    <row r="22" spans="1:8" x14ac:dyDescent="0.15">
      <c r="A22" t="s">
        <v>1039</v>
      </c>
      <c r="B22">
        <v>1140906335</v>
      </c>
      <c r="C22" t="s">
        <v>1052</v>
      </c>
      <c r="D22" t="s">
        <v>1051</v>
      </c>
      <c r="E22" t="s">
        <v>2353</v>
      </c>
      <c r="F22" t="s">
        <v>135</v>
      </c>
      <c r="G22" t="s">
        <v>2245</v>
      </c>
      <c r="H22" t="s">
        <v>2246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6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2354</v>
      </c>
    </row>
    <row r="3" spans="1:8" x14ac:dyDescent="0.15">
      <c r="A3" s="11" t="s">
        <v>50</v>
      </c>
      <c r="B3" t="s">
        <v>2249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302</v>
      </c>
      <c r="B7">
        <v>1007764065</v>
      </c>
      <c r="C7" t="s">
        <v>309</v>
      </c>
      <c r="D7" t="s">
        <v>308</v>
      </c>
      <c r="E7" t="s">
        <v>2355</v>
      </c>
      <c r="F7" t="s">
        <v>305</v>
      </c>
      <c r="G7" t="s">
        <v>2250</v>
      </c>
      <c r="H7" t="s">
        <v>2251</v>
      </c>
    </row>
    <row r="8" spans="1:8" x14ac:dyDescent="0.15">
      <c r="A8" t="s">
        <v>302</v>
      </c>
      <c r="B8">
        <v>1010151670</v>
      </c>
      <c r="C8" t="s">
        <v>1596</v>
      </c>
      <c r="D8" t="s">
        <v>1595</v>
      </c>
      <c r="E8" t="s">
        <v>2465</v>
      </c>
      <c r="F8" t="s">
        <v>393</v>
      </c>
      <c r="G8" t="s">
        <v>2250</v>
      </c>
      <c r="H8" t="s">
        <v>2251</v>
      </c>
    </row>
    <row r="9" spans="1:8" x14ac:dyDescent="0.15">
      <c r="A9" t="s">
        <v>302</v>
      </c>
      <c r="B9">
        <v>1041970241</v>
      </c>
      <c r="C9" t="s">
        <v>296</v>
      </c>
      <c r="D9" t="s">
        <v>295</v>
      </c>
      <c r="E9" t="s">
        <v>2441</v>
      </c>
      <c r="F9" t="s">
        <v>299</v>
      </c>
      <c r="G9" t="s">
        <v>2250</v>
      </c>
      <c r="H9" t="s">
        <v>2251</v>
      </c>
    </row>
    <row r="10" spans="1:8" x14ac:dyDescent="0.15">
      <c r="A10" t="s">
        <v>302</v>
      </c>
      <c r="B10">
        <v>1042244929</v>
      </c>
      <c r="C10" t="s">
        <v>318</v>
      </c>
      <c r="D10" t="s">
        <v>317</v>
      </c>
      <c r="E10" t="s">
        <v>2356</v>
      </c>
      <c r="F10" t="s">
        <v>143</v>
      </c>
      <c r="G10" t="s">
        <v>2250</v>
      </c>
      <c r="H10" t="s">
        <v>2251</v>
      </c>
    </row>
    <row r="11" spans="1:8" x14ac:dyDescent="0.15">
      <c r="A11" t="s">
        <v>302</v>
      </c>
      <c r="B11">
        <v>1045226956</v>
      </c>
      <c r="C11" t="s">
        <v>323</v>
      </c>
      <c r="D11" t="s">
        <v>322</v>
      </c>
      <c r="E11" t="s">
        <v>325</v>
      </c>
      <c r="F11" t="s">
        <v>305</v>
      </c>
      <c r="G11" t="s">
        <v>2250</v>
      </c>
      <c r="H11" t="s">
        <v>2251</v>
      </c>
    </row>
    <row r="12" spans="1:8" x14ac:dyDescent="0.15">
      <c r="A12" t="s">
        <v>302</v>
      </c>
      <c r="B12">
        <v>1048264316</v>
      </c>
      <c r="C12" t="s">
        <v>331</v>
      </c>
      <c r="D12" t="s">
        <v>330</v>
      </c>
      <c r="E12" t="s">
        <v>2357</v>
      </c>
      <c r="F12" t="s">
        <v>305</v>
      </c>
      <c r="G12" t="s">
        <v>2250</v>
      </c>
      <c r="H12" t="s">
        <v>2251</v>
      </c>
    </row>
    <row r="13" spans="1:8" x14ac:dyDescent="0.15">
      <c r="A13" t="s">
        <v>302</v>
      </c>
      <c r="B13">
        <v>1048264627</v>
      </c>
      <c r="C13" t="s">
        <v>313</v>
      </c>
      <c r="D13" t="s">
        <v>312</v>
      </c>
      <c r="E13" t="s">
        <v>2358</v>
      </c>
      <c r="F13" t="s">
        <v>305</v>
      </c>
      <c r="G13" t="s">
        <v>2250</v>
      </c>
      <c r="H13" t="s">
        <v>2251</v>
      </c>
    </row>
    <row r="14" spans="1:8" x14ac:dyDescent="0.15">
      <c r="A14" t="s">
        <v>302</v>
      </c>
      <c r="B14">
        <v>1048434816</v>
      </c>
      <c r="C14" t="s">
        <v>1592</v>
      </c>
      <c r="D14" t="s">
        <v>1591</v>
      </c>
      <c r="E14" t="s">
        <v>2466</v>
      </c>
      <c r="F14" t="s">
        <v>143</v>
      </c>
      <c r="G14" t="s">
        <v>2250</v>
      </c>
      <c r="H14" t="s">
        <v>2251</v>
      </c>
    </row>
    <row r="15" spans="1:8" x14ac:dyDescent="0.15">
      <c r="A15" t="s">
        <v>302</v>
      </c>
      <c r="B15">
        <v>1048434954</v>
      </c>
      <c r="C15" t="s">
        <v>304</v>
      </c>
      <c r="D15" t="s">
        <v>303</v>
      </c>
      <c r="E15" t="s">
        <v>2359</v>
      </c>
      <c r="F15" t="s">
        <v>305</v>
      </c>
      <c r="G15" t="s">
        <v>2250</v>
      </c>
      <c r="H15" t="s">
        <v>2251</v>
      </c>
    </row>
    <row r="16" spans="1:8" x14ac:dyDescent="0.15">
      <c r="A16" t="s">
        <v>302</v>
      </c>
      <c r="B16">
        <v>1052946093</v>
      </c>
      <c r="C16" t="s">
        <v>328</v>
      </c>
      <c r="D16" t="s">
        <v>327</v>
      </c>
      <c r="E16" t="s">
        <v>2360</v>
      </c>
      <c r="F16" t="s">
        <v>305</v>
      </c>
      <c r="G16" t="s">
        <v>2250</v>
      </c>
      <c r="H16" t="s">
        <v>2251</v>
      </c>
    </row>
    <row r="17" spans="1:8" x14ac:dyDescent="0.15">
      <c r="A17" t="s">
        <v>609</v>
      </c>
      <c r="B17">
        <v>1001825014</v>
      </c>
      <c r="C17" t="s">
        <v>622</v>
      </c>
      <c r="D17" t="s">
        <v>621</v>
      </c>
      <c r="E17" t="s">
        <v>2361</v>
      </c>
      <c r="F17" t="s">
        <v>143</v>
      </c>
      <c r="G17" t="s">
        <v>2250</v>
      </c>
      <c r="H17" t="s">
        <v>2251</v>
      </c>
    </row>
    <row r="18" spans="1:8" x14ac:dyDescent="0.15">
      <c r="A18" t="s">
        <v>609</v>
      </c>
      <c r="B18">
        <v>1002163133</v>
      </c>
      <c r="C18" t="s">
        <v>611</v>
      </c>
      <c r="D18" t="s">
        <v>610</v>
      </c>
      <c r="E18" t="s">
        <v>2362</v>
      </c>
      <c r="F18" t="s">
        <v>612</v>
      </c>
      <c r="G18" t="s">
        <v>2250</v>
      </c>
      <c r="H18" t="s">
        <v>2251</v>
      </c>
    </row>
    <row r="19" spans="1:8" x14ac:dyDescent="0.15">
      <c r="A19" t="s">
        <v>609</v>
      </c>
      <c r="B19">
        <v>1002163280</v>
      </c>
      <c r="C19" t="s">
        <v>635</v>
      </c>
      <c r="D19" t="s">
        <v>634</v>
      </c>
      <c r="E19" t="s">
        <v>2363</v>
      </c>
      <c r="F19" t="s">
        <v>612</v>
      </c>
      <c r="G19" t="s">
        <v>2250</v>
      </c>
      <c r="H19" t="s">
        <v>2251</v>
      </c>
    </row>
    <row r="20" spans="1:8" x14ac:dyDescent="0.15">
      <c r="A20" t="s">
        <v>609</v>
      </c>
      <c r="B20">
        <v>1042242843</v>
      </c>
      <c r="C20" t="s">
        <v>625</v>
      </c>
      <c r="D20" t="s">
        <v>624</v>
      </c>
      <c r="E20" t="s">
        <v>2364</v>
      </c>
      <c r="F20" t="s">
        <v>612</v>
      </c>
      <c r="G20" t="s">
        <v>2250</v>
      </c>
      <c r="H20" t="s">
        <v>2251</v>
      </c>
    </row>
    <row r="21" spans="1:8" x14ac:dyDescent="0.15">
      <c r="A21" t="s">
        <v>609</v>
      </c>
      <c r="B21">
        <v>1042247753</v>
      </c>
      <c r="C21" t="s">
        <v>606</v>
      </c>
      <c r="D21" t="s">
        <v>605</v>
      </c>
      <c r="E21" t="s">
        <v>2365</v>
      </c>
      <c r="F21" t="s">
        <v>143</v>
      </c>
      <c r="G21" t="s">
        <v>2250</v>
      </c>
      <c r="H21" t="s">
        <v>2251</v>
      </c>
    </row>
    <row r="22" spans="1:8" x14ac:dyDescent="0.15">
      <c r="A22" t="s">
        <v>609</v>
      </c>
      <c r="B22">
        <v>1042849137</v>
      </c>
      <c r="C22" t="s">
        <v>638</v>
      </c>
      <c r="D22" t="s">
        <v>637</v>
      </c>
      <c r="E22" t="s">
        <v>2366</v>
      </c>
      <c r="F22" t="s">
        <v>640</v>
      </c>
      <c r="G22" t="s">
        <v>2250</v>
      </c>
      <c r="H22" t="s">
        <v>2251</v>
      </c>
    </row>
    <row r="23" spans="1:8" x14ac:dyDescent="0.15">
      <c r="A23" t="s">
        <v>609</v>
      </c>
      <c r="B23">
        <v>1042852030</v>
      </c>
      <c r="C23" t="s">
        <v>616</v>
      </c>
      <c r="D23" t="s">
        <v>615</v>
      </c>
      <c r="E23" t="s">
        <v>2367</v>
      </c>
      <c r="F23" t="s">
        <v>124</v>
      </c>
      <c r="G23" t="s">
        <v>2250</v>
      </c>
      <c r="H23" t="s">
        <v>2251</v>
      </c>
    </row>
    <row r="24" spans="1:8" x14ac:dyDescent="0.15">
      <c r="A24" t="s">
        <v>609</v>
      </c>
      <c r="B24">
        <v>1043116135</v>
      </c>
      <c r="C24" t="s">
        <v>1803</v>
      </c>
      <c r="D24" t="s">
        <v>1802</v>
      </c>
      <c r="E24" t="s">
        <v>2467</v>
      </c>
      <c r="F24" t="s">
        <v>612</v>
      </c>
      <c r="G24" t="s">
        <v>2250</v>
      </c>
      <c r="H24" t="s">
        <v>2251</v>
      </c>
    </row>
    <row r="25" spans="1:8" x14ac:dyDescent="0.15">
      <c r="A25" t="s">
        <v>609</v>
      </c>
      <c r="B25">
        <v>1043132420</v>
      </c>
      <c r="C25" t="s">
        <v>630</v>
      </c>
      <c r="D25" t="s">
        <v>629</v>
      </c>
      <c r="E25" t="s">
        <v>2368</v>
      </c>
      <c r="F25" t="s">
        <v>612</v>
      </c>
      <c r="G25" t="s">
        <v>2250</v>
      </c>
      <c r="H25" t="s">
        <v>2251</v>
      </c>
    </row>
    <row r="26" spans="1:8" x14ac:dyDescent="0.15">
      <c r="A26" t="s">
        <v>609</v>
      </c>
      <c r="B26">
        <v>1043644222</v>
      </c>
      <c r="C26" t="s">
        <v>1387</v>
      </c>
      <c r="D26" t="s">
        <v>1386</v>
      </c>
      <c r="E26" t="s">
        <v>1389</v>
      </c>
      <c r="F26" t="s">
        <v>1388</v>
      </c>
      <c r="G26" t="s">
        <v>2250</v>
      </c>
      <c r="H26" t="s">
        <v>2251</v>
      </c>
    </row>
    <row r="27" spans="1:8" x14ac:dyDescent="0.15">
      <c r="A27" t="s">
        <v>609</v>
      </c>
      <c r="B27">
        <v>1193588753</v>
      </c>
      <c r="C27" t="s">
        <v>644</v>
      </c>
      <c r="D27" t="s">
        <v>643</v>
      </c>
      <c r="E27" t="s">
        <v>2369</v>
      </c>
      <c r="F27" t="s">
        <v>612</v>
      </c>
      <c r="G27" t="s">
        <v>2250</v>
      </c>
      <c r="H27" t="s">
        <v>2251</v>
      </c>
    </row>
    <row r="28" spans="1:8" x14ac:dyDescent="0.15">
      <c r="A28" t="s">
        <v>720</v>
      </c>
      <c r="B28">
        <v>1007219010</v>
      </c>
      <c r="C28" t="s">
        <v>722</v>
      </c>
      <c r="D28" t="s">
        <v>721</v>
      </c>
      <c r="E28" t="s">
        <v>2370</v>
      </c>
      <c r="F28" t="s">
        <v>143</v>
      </c>
      <c r="G28" t="s">
        <v>2250</v>
      </c>
      <c r="H28" t="s">
        <v>2251</v>
      </c>
    </row>
    <row r="29" spans="1:8" x14ac:dyDescent="0.15">
      <c r="A29" t="s">
        <v>720</v>
      </c>
      <c r="B29">
        <v>1007786770</v>
      </c>
      <c r="C29" t="s">
        <v>715</v>
      </c>
      <c r="D29" t="s">
        <v>714</v>
      </c>
      <c r="E29" t="s">
        <v>2371</v>
      </c>
      <c r="F29" t="s">
        <v>305</v>
      </c>
      <c r="G29" t="s">
        <v>2250</v>
      </c>
      <c r="H29" t="s">
        <v>2251</v>
      </c>
    </row>
    <row r="30" spans="1:8" x14ac:dyDescent="0.15">
      <c r="A30" t="s">
        <v>720</v>
      </c>
      <c r="B30">
        <v>1034986459</v>
      </c>
      <c r="C30" t="s">
        <v>733</v>
      </c>
      <c r="D30" t="s">
        <v>732</v>
      </c>
      <c r="E30" t="s">
        <v>2372</v>
      </c>
      <c r="F30" t="s">
        <v>143</v>
      </c>
      <c r="G30" t="s">
        <v>2250</v>
      </c>
      <c r="H30" t="s">
        <v>2251</v>
      </c>
    </row>
    <row r="31" spans="1:8" x14ac:dyDescent="0.15">
      <c r="A31" t="s">
        <v>720</v>
      </c>
      <c r="B31">
        <v>1042243983</v>
      </c>
      <c r="C31" t="s">
        <v>741</v>
      </c>
      <c r="D31" t="s">
        <v>740</v>
      </c>
      <c r="E31" t="s">
        <v>2373</v>
      </c>
      <c r="F31" t="s">
        <v>612</v>
      </c>
      <c r="G31" t="s">
        <v>2250</v>
      </c>
      <c r="H31" t="s">
        <v>2251</v>
      </c>
    </row>
    <row r="32" spans="1:8" x14ac:dyDescent="0.15">
      <c r="A32" t="s">
        <v>720</v>
      </c>
      <c r="B32">
        <v>1042247728</v>
      </c>
      <c r="C32" t="s">
        <v>727</v>
      </c>
      <c r="D32" t="s">
        <v>726</v>
      </c>
      <c r="E32" t="s">
        <v>2374</v>
      </c>
      <c r="F32" t="s">
        <v>709</v>
      </c>
      <c r="G32" t="s">
        <v>2250</v>
      </c>
      <c r="H32" t="s">
        <v>2251</v>
      </c>
    </row>
    <row r="33" spans="1:8" x14ac:dyDescent="0.15">
      <c r="A33" t="s">
        <v>720</v>
      </c>
      <c r="B33">
        <v>1048064341</v>
      </c>
      <c r="C33" t="s">
        <v>1799</v>
      </c>
      <c r="D33" t="s">
        <v>1798</v>
      </c>
      <c r="E33" t="s">
        <v>2468</v>
      </c>
      <c r="F33" t="s">
        <v>612</v>
      </c>
      <c r="G33" t="s">
        <v>2250</v>
      </c>
      <c r="H33" t="s">
        <v>2251</v>
      </c>
    </row>
    <row r="34" spans="1:8" x14ac:dyDescent="0.15">
      <c r="A34" t="s">
        <v>720</v>
      </c>
      <c r="B34">
        <v>1062954988</v>
      </c>
      <c r="C34" t="s">
        <v>1838</v>
      </c>
      <c r="D34" t="s">
        <v>1837</v>
      </c>
      <c r="E34" t="s">
        <v>2469</v>
      </c>
      <c r="F34" t="s">
        <v>143</v>
      </c>
      <c r="G34" t="s">
        <v>2250</v>
      </c>
      <c r="H34" t="s">
        <v>2251</v>
      </c>
    </row>
    <row r="35" spans="1:8" x14ac:dyDescent="0.15">
      <c r="A35" t="s">
        <v>720</v>
      </c>
      <c r="B35">
        <v>1062956742</v>
      </c>
      <c r="C35" t="s">
        <v>1833</v>
      </c>
      <c r="D35" t="s">
        <v>1832</v>
      </c>
      <c r="E35" t="s">
        <v>2470</v>
      </c>
      <c r="F35" t="s">
        <v>143</v>
      </c>
      <c r="G35" t="s">
        <v>2250</v>
      </c>
      <c r="H35" t="s">
        <v>2251</v>
      </c>
    </row>
    <row r="36" spans="1:8" x14ac:dyDescent="0.15">
      <c r="A36" t="s">
        <v>720</v>
      </c>
      <c r="B36">
        <v>1129510305</v>
      </c>
      <c r="C36" t="s">
        <v>737</v>
      </c>
      <c r="D36" t="s">
        <v>736</v>
      </c>
      <c r="E36" t="s">
        <v>2375</v>
      </c>
      <c r="F36" t="s">
        <v>709</v>
      </c>
      <c r="G36" t="s">
        <v>2250</v>
      </c>
      <c r="H36" t="s">
        <v>2251</v>
      </c>
    </row>
    <row r="37" spans="1:8" x14ac:dyDescent="0.15">
      <c r="A37" t="s">
        <v>171</v>
      </c>
      <c r="B37">
        <v>1001823066</v>
      </c>
      <c r="C37" t="s">
        <v>2097</v>
      </c>
      <c r="D37" t="s">
        <v>2096</v>
      </c>
      <c r="E37" t="s">
        <v>2471</v>
      </c>
      <c r="F37" t="s">
        <v>107</v>
      </c>
      <c r="G37" t="s">
        <v>2250</v>
      </c>
      <c r="H37" t="s">
        <v>2251</v>
      </c>
    </row>
    <row r="38" spans="1:8" x14ac:dyDescent="0.15">
      <c r="A38" t="s">
        <v>171</v>
      </c>
      <c r="B38">
        <v>1001945971</v>
      </c>
      <c r="C38" t="s">
        <v>1184</v>
      </c>
      <c r="D38" t="s">
        <v>1183</v>
      </c>
      <c r="E38" t="s">
        <v>2376</v>
      </c>
      <c r="F38" t="s">
        <v>79</v>
      </c>
      <c r="G38" t="s">
        <v>2250</v>
      </c>
      <c r="H38" t="s">
        <v>2251</v>
      </c>
    </row>
    <row r="39" spans="1:8" x14ac:dyDescent="0.15">
      <c r="A39" t="s">
        <v>171</v>
      </c>
      <c r="B39">
        <v>1005626243</v>
      </c>
      <c r="C39" t="s">
        <v>1167</v>
      </c>
      <c r="D39" t="s">
        <v>1166</v>
      </c>
      <c r="E39" t="s">
        <v>1170</v>
      </c>
      <c r="F39" t="s">
        <v>521</v>
      </c>
      <c r="G39" t="s">
        <v>2250</v>
      </c>
      <c r="H39" t="s">
        <v>2251</v>
      </c>
    </row>
    <row r="40" spans="1:8" x14ac:dyDescent="0.15">
      <c r="A40" t="s">
        <v>171</v>
      </c>
      <c r="B40">
        <v>1043296135</v>
      </c>
      <c r="C40" t="s">
        <v>1177</v>
      </c>
      <c r="D40" t="s">
        <v>1176</v>
      </c>
      <c r="E40" t="s">
        <v>2377</v>
      </c>
      <c r="F40" t="s">
        <v>107</v>
      </c>
      <c r="G40" t="s">
        <v>2250</v>
      </c>
      <c r="H40" t="s">
        <v>2251</v>
      </c>
    </row>
    <row r="41" spans="1:8" x14ac:dyDescent="0.15">
      <c r="A41" t="s">
        <v>171</v>
      </c>
      <c r="B41">
        <v>1043964085</v>
      </c>
      <c r="C41" t="s">
        <v>1173</v>
      </c>
      <c r="D41" t="s">
        <v>1172</v>
      </c>
      <c r="E41" t="s">
        <v>1174</v>
      </c>
      <c r="F41" t="s">
        <v>143</v>
      </c>
      <c r="G41" t="s">
        <v>2250</v>
      </c>
      <c r="H41" t="s">
        <v>2251</v>
      </c>
    </row>
    <row r="42" spans="1:8" x14ac:dyDescent="0.15">
      <c r="A42" t="s">
        <v>171</v>
      </c>
      <c r="B42">
        <v>1044210712</v>
      </c>
      <c r="C42" t="s">
        <v>1195</v>
      </c>
      <c r="D42" t="s">
        <v>1194</v>
      </c>
      <c r="E42" t="s">
        <v>1196</v>
      </c>
      <c r="F42" t="s">
        <v>107</v>
      </c>
      <c r="G42" t="s">
        <v>2250</v>
      </c>
      <c r="H42" t="s">
        <v>2251</v>
      </c>
    </row>
    <row r="43" spans="1:8" x14ac:dyDescent="0.15">
      <c r="A43" t="s">
        <v>171</v>
      </c>
      <c r="B43">
        <v>1047034256</v>
      </c>
      <c r="C43" t="s">
        <v>1486</v>
      </c>
      <c r="D43" t="s">
        <v>1485</v>
      </c>
      <c r="E43" t="s">
        <v>2378</v>
      </c>
      <c r="F43" t="s">
        <v>277</v>
      </c>
      <c r="G43" t="s">
        <v>2250</v>
      </c>
      <c r="H43" t="s">
        <v>2251</v>
      </c>
    </row>
    <row r="44" spans="1:8" x14ac:dyDescent="0.15">
      <c r="A44" t="s">
        <v>171</v>
      </c>
      <c r="B44">
        <v>1050839158</v>
      </c>
      <c r="C44" t="s">
        <v>1192</v>
      </c>
      <c r="D44" t="s">
        <v>1191</v>
      </c>
      <c r="E44" t="s">
        <v>2379</v>
      </c>
      <c r="F44" t="s">
        <v>107</v>
      </c>
      <c r="G44" t="s">
        <v>2250</v>
      </c>
      <c r="H44" t="s">
        <v>2251</v>
      </c>
    </row>
    <row r="45" spans="1:8" x14ac:dyDescent="0.15">
      <c r="A45" t="s">
        <v>171</v>
      </c>
      <c r="B45">
        <v>1102840967</v>
      </c>
      <c r="C45" t="s">
        <v>1181</v>
      </c>
      <c r="D45" t="s">
        <v>1180</v>
      </c>
      <c r="E45" t="s">
        <v>2380</v>
      </c>
      <c r="F45" t="s">
        <v>277</v>
      </c>
      <c r="G45" t="s">
        <v>2250</v>
      </c>
      <c r="H45" t="s">
        <v>2251</v>
      </c>
    </row>
    <row r="46" spans="1:8" x14ac:dyDescent="0.15">
      <c r="A46" t="s">
        <v>171</v>
      </c>
      <c r="B46">
        <v>1129539518</v>
      </c>
      <c r="C46" t="s">
        <v>1188</v>
      </c>
      <c r="D46" t="s">
        <v>1187</v>
      </c>
      <c r="E46" t="s">
        <v>2381</v>
      </c>
      <c r="F46" t="s">
        <v>107</v>
      </c>
      <c r="G46" t="s">
        <v>2250</v>
      </c>
      <c r="H46" t="s">
        <v>2251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8" bestFit="1" customWidth="1"/>
  </cols>
  <sheetData>
    <row r="1" spans="1:8" ht="17" x14ac:dyDescent="0.2">
      <c r="A1" s="10" t="s">
        <v>2382</v>
      </c>
    </row>
    <row r="3" spans="1:8" x14ac:dyDescent="0.15">
      <c r="A3" s="11" t="s">
        <v>50</v>
      </c>
      <c r="B3" t="s">
        <v>2279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178</v>
      </c>
      <c r="B7">
        <v>1000951426</v>
      </c>
      <c r="C7" t="s">
        <v>1225</v>
      </c>
      <c r="D7" t="s">
        <v>1224</v>
      </c>
      <c r="E7" t="s">
        <v>2383</v>
      </c>
      <c r="F7" t="s">
        <v>107</v>
      </c>
      <c r="G7" t="s">
        <v>2250</v>
      </c>
      <c r="H7" t="s">
        <v>2453</v>
      </c>
    </row>
    <row r="8" spans="1:8" x14ac:dyDescent="0.15">
      <c r="A8" t="s">
        <v>178</v>
      </c>
      <c r="B8">
        <v>1042243295</v>
      </c>
      <c r="C8" t="s">
        <v>1229</v>
      </c>
      <c r="D8" t="s">
        <v>1228</v>
      </c>
      <c r="E8" t="s">
        <v>2384</v>
      </c>
      <c r="F8" t="s">
        <v>134</v>
      </c>
      <c r="G8" t="s">
        <v>2250</v>
      </c>
      <c r="H8" t="s">
        <v>2453</v>
      </c>
    </row>
    <row r="9" spans="1:8" x14ac:dyDescent="0.15">
      <c r="A9" t="s">
        <v>178</v>
      </c>
      <c r="B9">
        <v>1043652925</v>
      </c>
      <c r="C9" t="s">
        <v>1233</v>
      </c>
      <c r="D9" t="s">
        <v>1232</v>
      </c>
      <c r="E9" t="s">
        <v>2385</v>
      </c>
      <c r="F9" t="s">
        <v>134</v>
      </c>
      <c r="G9" t="s">
        <v>2250</v>
      </c>
      <c r="H9" t="s">
        <v>2453</v>
      </c>
    </row>
    <row r="10" spans="1:8" x14ac:dyDescent="0.15">
      <c r="A10" t="s">
        <v>178</v>
      </c>
      <c r="B10">
        <v>1065588728</v>
      </c>
      <c r="C10" t="s">
        <v>2154</v>
      </c>
      <c r="D10" t="s">
        <v>2153</v>
      </c>
      <c r="E10" t="s">
        <v>2472</v>
      </c>
      <c r="F10" t="s">
        <v>134</v>
      </c>
      <c r="G10" t="s">
        <v>2250</v>
      </c>
      <c r="H10" t="s">
        <v>2453</v>
      </c>
    </row>
    <row r="11" spans="1:8" x14ac:dyDescent="0.15">
      <c r="A11" t="s">
        <v>178</v>
      </c>
      <c r="B11">
        <v>1082856658</v>
      </c>
      <c r="C11" t="s">
        <v>1494</v>
      </c>
      <c r="D11" t="s">
        <v>1493</v>
      </c>
      <c r="E11" t="s">
        <v>2386</v>
      </c>
      <c r="F11" t="s">
        <v>134</v>
      </c>
      <c r="G11" t="s">
        <v>2250</v>
      </c>
      <c r="H11" t="s">
        <v>2453</v>
      </c>
    </row>
    <row r="12" spans="1:8" x14ac:dyDescent="0.15">
      <c r="A12" t="s">
        <v>178</v>
      </c>
      <c r="B12">
        <v>1082873539</v>
      </c>
      <c r="C12" t="s">
        <v>1223</v>
      </c>
      <c r="D12" t="s">
        <v>1222</v>
      </c>
      <c r="E12" t="s">
        <v>2387</v>
      </c>
      <c r="F12" t="s">
        <v>143</v>
      </c>
      <c r="G12" t="s">
        <v>2250</v>
      </c>
      <c r="H12" t="s">
        <v>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workbookViewId="0">
      <pane ySplit="6" topLeftCell="A7" activePane="bottomLeft" state="frozen"/>
      <selection pane="bottomLeft" activeCell="F20" sqref="F20:F23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2388</v>
      </c>
    </row>
    <row r="3" spans="1:8" x14ac:dyDescent="0.15">
      <c r="A3" s="11" t="s">
        <v>50</v>
      </c>
      <c r="B3" t="s">
        <v>2254</v>
      </c>
    </row>
    <row r="4" spans="1:8" x14ac:dyDescent="0.15">
      <c r="A4" s="11" t="s">
        <v>46</v>
      </c>
      <c r="B4" t="s">
        <v>2517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542</v>
      </c>
      <c r="B7">
        <v>1002455397</v>
      </c>
      <c r="C7" t="s">
        <v>537</v>
      </c>
      <c r="D7" t="s">
        <v>536</v>
      </c>
      <c r="E7" t="s">
        <v>540</v>
      </c>
      <c r="F7" t="s">
        <v>305</v>
      </c>
      <c r="G7" t="s">
        <v>2510</v>
      </c>
      <c r="H7" t="s">
        <v>2256</v>
      </c>
    </row>
    <row r="8" spans="1:8" x14ac:dyDescent="0.15">
      <c r="A8" t="s">
        <v>542</v>
      </c>
      <c r="B8">
        <v>1006554579</v>
      </c>
      <c r="C8" t="s">
        <v>1729</v>
      </c>
      <c r="D8" t="s">
        <v>1728</v>
      </c>
      <c r="E8" t="s">
        <v>2473</v>
      </c>
      <c r="F8" t="s">
        <v>143</v>
      </c>
      <c r="G8" t="s">
        <v>2510</v>
      </c>
      <c r="H8" t="s">
        <v>2256</v>
      </c>
    </row>
    <row r="9" spans="1:8" x14ac:dyDescent="0.15">
      <c r="A9" t="s">
        <v>542</v>
      </c>
      <c r="B9">
        <v>1006734815</v>
      </c>
      <c r="C9" t="s">
        <v>1376</v>
      </c>
      <c r="D9" t="s">
        <v>1375</v>
      </c>
      <c r="E9" t="s">
        <v>2389</v>
      </c>
      <c r="F9" t="s">
        <v>143</v>
      </c>
      <c r="G9" t="s">
        <v>2510</v>
      </c>
      <c r="H9" t="s">
        <v>2256</v>
      </c>
    </row>
    <row r="10" spans="1:8" x14ac:dyDescent="0.15">
      <c r="A10" t="s">
        <v>542</v>
      </c>
      <c r="B10">
        <v>1052381342</v>
      </c>
      <c r="C10" t="s">
        <v>552</v>
      </c>
      <c r="D10" t="s">
        <v>551</v>
      </c>
      <c r="E10" t="s">
        <v>556</v>
      </c>
      <c r="F10" t="s">
        <v>143</v>
      </c>
      <c r="G10" t="s">
        <v>2510</v>
      </c>
      <c r="H10" t="s">
        <v>2256</v>
      </c>
    </row>
    <row r="11" spans="1:8" x14ac:dyDescent="0.15">
      <c r="A11" t="s">
        <v>542</v>
      </c>
      <c r="B11">
        <v>1053442581</v>
      </c>
      <c r="C11" t="s">
        <v>547</v>
      </c>
      <c r="D11" t="s">
        <v>546</v>
      </c>
      <c r="E11" t="s">
        <v>2390</v>
      </c>
      <c r="F11" t="s">
        <v>143</v>
      </c>
      <c r="G11" t="s">
        <v>2510</v>
      </c>
      <c r="H11" t="s">
        <v>2256</v>
      </c>
    </row>
    <row r="12" spans="1:8" x14ac:dyDescent="0.15">
      <c r="A12" t="s">
        <v>542</v>
      </c>
      <c r="B12">
        <v>1056798003</v>
      </c>
      <c r="C12" t="s">
        <v>1373</v>
      </c>
      <c r="D12" t="s">
        <v>1372</v>
      </c>
      <c r="E12" t="s">
        <v>2391</v>
      </c>
      <c r="F12" t="s">
        <v>143</v>
      </c>
      <c r="G12" t="s">
        <v>2510</v>
      </c>
      <c r="H12" t="s">
        <v>2256</v>
      </c>
    </row>
    <row r="13" spans="1:8" x14ac:dyDescent="0.15">
      <c r="A13" t="s">
        <v>542</v>
      </c>
      <c r="B13">
        <v>1057570417</v>
      </c>
      <c r="C13" t="s">
        <v>1733</v>
      </c>
      <c r="D13" t="s">
        <v>1732</v>
      </c>
      <c r="E13" t="s">
        <v>2474</v>
      </c>
      <c r="F13" t="s">
        <v>640</v>
      </c>
      <c r="G13" t="s">
        <v>2510</v>
      </c>
      <c r="H13" t="s">
        <v>2256</v>
      </c>
    </row>
    <row r="14" spans="1:8" x14ac:dyDescent="0.15">
      <c r="A14" t="s">
        <v>542</v>
      </c>
      <c r="B14">
        <v>1118533053</v>
      </c>
      <c r="C14" t="s">
        <v>544</v>
      </c>
      <c r="D14" t="s">
        <v>543</v>
      </c>
      <c r="E14" t="s">
        <v>2392</v>
      </c>
      <c r="F14" t="s">
        <v>305</v>
      </c>
      <c r="G14" t="s">
        <v>2510</v>
      </c>
      <c r="H14" t="s">
        <v>2256</v>
      </c>
    </row>
    <row r="15" spans="1:8" x14ac:dyDescent="0.15">
      <c r="A15" t="s">
        <v>542</v>
      </c>
      <c r="B15" t="s">
        <v>2515</v>
      </c>
      <c r="C15" t="s">
        <v>2507</v>
      </c>
      <c r="D15" t="s">
        <v>2506</v>
      </c>
      <c r="E15" t="s">
        <v>2508</v>
      </c>
      <c r="F15" t="s">
        <v>356</v>
      </c>
      <c r="G15" t="s">
        <v>2510</v>
      </c>
      <c r="H15" t="s">
        <v>2256</v>
      </c>
    </row>
    <row r="16" spans="1:8" x14ac:dyDescent="0.15">
      <c r="A16" t="s">
        <v>542</v>
      </c>
      <c r="B16">
        <v>1050090351</v>
      </c>
      <c r="C16" t="s">
        <v>2501</v>
      </c>
      <c r="D16" t="s">
        <v>2500</v>
      </c>
      <c r="E16" t="s">
        <v>2502</v>
      </c>
      <c r="F16" t="s">
        <v>356</v>
      </c>
      <c r="G16" t="s">
        <v>2510</v>
      </c>
      <c r="H16" t="s">
        <v>2256</v>
      </c>
    </row>
    <row r="17" spans="1:8" x14ac:dyDescent="0.15">
      <c r="A17" t="s">
        <v>1107</v>
      </c>
      <c r="B17">
        <v>1002459278</v>
      </c>
      <c r="C17" t="s">
        <v>1109</v>
      </c>
      <c r="D17" t="s">
        <v>1108</v>
      </c>
      <c r="E17" t="s">
        <v>2393</v>
      </c>
      <c r="F17" t="s">
        <v>1110</v>
      </c>
      <c r="G17" t="s">
        <v>2510</v>
      </c>
      <c r="H17" t="s">
        <v>2256</v>
      </c>
    </row>
    <row r="18" spans="1:8" x14ac:dyDescent="0.15">
      <c r="A18" t="s">
        <v>1107</v>
      </c>
      <c r="B18">
        <v>1002559370</v>
      </c>
      <c r="C18" t="s">
        <v>1103</v>
      </c>
      <c r="D18" t="s">
        <v>1102</v>
      </c>
      <c r="E18" t="s">
        <v>2394</v>
      </c>
      <c r="F18" t="s">
        <v>1104</v>
      </c>
      <c r="G18" t="s">
        <v>2510</v>
      </c>
      <c r="H18" t="s">
        <v>2256</v>
      </c>
    </row>
    <row r="19" spans="1:8" x14ac:dyDescent="0.15">
      <c r="A19" t="s">
        <v>1107</v>
      </c>
      <c r="B19">
        <v>1002697466</v>
      </c>
      <c r="C19" t="s">
        <v>2016</v>
      </c>
      <c r="D19" t="s">
        <v>2015</v>
      </c>
      <c r="E19" t="s">
        <v>2516</v>
      </c>
      <c r="F19" t="s">
        <v>143</v>
      </c>
      <c r="G19" t="s">
        <v>2510</v>
      </c>
      <c r="H19" t="s">
        <v>2256</v>
      </c>
    </row>
    <row r="20" spans="1:8" x14ac:dyDescent="0.15">
      <c r="A20" t="s">
        <v>1107</v>
      </c>
      <c r="B20">
        <v>1057214413</v>
      </c>
      <c r="C20" t="s">
        <v>1469</v>
      </c>
      <c r="D20" t="s">
        <v>1468</v>
      </c>
      <c r="E20" t="s">
        <v>1470</v>
      </c>
      <c r="F20" t="s">
        <v>521</v>
      </c>
      <c r="G20" t="s">
        <v>2510</v>
      </c>
      <c r="H20" t="s">
        <v>2256</v>
      </c>
    </row>
    <row r="21" spans="1:8" x14ac:dyDescent="0.15">
      <c r="A21" t="s">
        <v>1107</v>
      </c>
      <c r="B21">
        <v>1057978536</v>
      </c>
      <c r="C21" t="s">
        <v>2020</v>
      </c>
      <c r="D21" t="s">
        <v>2019</v>
      </c>
      <c r="E21" t="s">
        <v>2475</v>
      </c>
      <c r="F21" t="s">
        <v>521</v>
      </c>
      <c r="G21" t="s">
        <v>2510</v>
      </c>
      <c r="H21" t="s">
        <v>2256</v>
      </c>
    </row>
    <row r="22" spans="1:8" x14ac:dyDescent="0.15">
      <c r="A22" t="s">
        <v>1107</v>
      </c>
      <c r="B22" t="s">
        <v>2515</v>
      </c>
      <c r="C22" t="s">
        <v>2027</v>
      </c>
      <c r="D22" t="s">
        <v>2026</v>
      </c>
      <c r="E22" t="s">
        <v>2028</v>
      </c>
      <c r="F22" t="s">
        <v>521</v>
      </c>
      <c r="G22" t="s">
        <v>2510</v>
      </c>
      <c r="H22" t="s">
        <v>2256</v>
      </c>
    </row>
    <row r="23" spans="1:8" x14ac:dyDescent="0.15">
      <c r="A23" t="s">
        <v>1107</v>
      </c>
      <c r="B23" t="s">
        <v>2515</v>
      </c>
      <c r="C23" t="s">
        <v>2023</v>
      </c>
      <c r="D23" t="s">
        <v>2022</v>
      </c>
      <c r="E23" t="s">
        <v>2024</v>
      </c>
      <c r="F23" t="s">
        <v>521</v>
      </c>
      <c r="G23" t="s">
        <v>2510</v>
      </c>
      <c r="H23" t="s">
        <v>2256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2395</v>
      </c>
    </row>
    <row r="3" spans="1:8" x14ac:dyDescent="0.15">
      <c r="A3" s="11" t="s">
        <v>50</v>
      </c>
      <c r="B3" t="s">
        <v>2280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164</v>
      </c>
      <c r="B7">
        <v>1084331089</v>
      </c>
      <c r="C7" t="s">
        <v>1153</v>
      </c>
      <c r="D7" t="s">
        <v>1152</v>
      </c>
      <c r="E7" t="s">
        <v>2396</v>
      </c>
      <c r="F7" t="s">
        <v>521</v>
      </c>
      <c r="G7" t="s">
        <v>2250</v>
      </c>
      <c r="H7" t="s">
        <v>2246</v>
      </c>
    </row>
    <row r="8" spans="1:8" x14ac:dyDescent="0.15">
      <c r="A8" t="s">
        <v>164</v>
      </c>
      <c r="B8">
        <v>1086754228</v>
      </c>
      <c r="C8" t="s">
        <v>2064</v>
      </c>
      <c r="D8" t="s">
        <v>2063</v>
      </c>
      <c r="E8" t="s">
        <v>2476</v>
      </c>
      <c r="F8" t="s">
        <v>107</v>
      </c>
      <c r="G8" t="s">
        <v>2250</v>
      </c>
      <c r="H8" t="s">
        <v>2246</v>
      </c>
    </row>
    <row r="9" spans="1:8" x14ac:dyDescent="0.15">
      <c r="A9" t="s">
        <v>164</v>
      </c>
      <c r="B9">
        <v>1098609475</v>
      </c>
      <c r="C9" t="s">
        <v>2072</v>
      </c>
      <c r="D9" t="s">
        <v>2071</v>
      </c>
      <c r="E9" t="s">
        <v>2477</v>
      </c>
      <c r="F9" t="s">
        <v>143</v>
      </c>
      <c r="G9" t="s">
        <v>2250</v>
      </c>
      <c r="H9" t="s">
        <v>2246</v>
      </c>
    </row>
    <row r="10" spans="1:8" x14ac:dyDescent="0.15">
      <c r="A10" t="s">
        <v>164</v>
      </c>
      <c r="B10">
        <v>1114541627</v>
      </c>
      <c r="C10" t="s">
        <v>2076</v>
      </c>
      <c r="D10" t="s">
        <v>2075</v>
      </c>
      <c r="E10" t="s">
        <v>2478</v>
      </c>
      <c r="F10" t="s">
        <v>107</v>
      </c>
      <c r="G10" t="s">
        <v>2250</v>
      </c>
      <c r="H10" t="s">
        <v>2246</v>
      </c>
    </row>
    <row r="11" spans="1:8" x14ac:dyDescent="0.15">
      <c r="A11" t="s">
        <v>164</v>
      </c>
      <c r="B11">
        <v>1193290817</v>
      </c>
      <c r="C11" t="s">
        <v>1477</v>
      </c>
      <c r="D11" t="s">
        <v>1476</v>
      </c>
      <c r="E11" t="s">
        <v>2397</v>
      </c>
      <c r="F11" t="s">
        <v>772</v>
      </c>
      <c r="G11" t="s">
        <v>2250</v>
      </c>
      <c r="H11" t="s">
        <v>2246</v>
      </c>
    </row>
    <row r="12" spans="1:8" x14ac:dyDescent="0.15">
      <c r="A12" t="s">
        <v>1316</v>
      </c>
      <c r="B12">
        <v>1002965497</v>
      </c>
      <c r="C12" t="s">
        <v>2218</v>
      </c>
      <c r="D12" t="s">
        <v>2217</v>
      </c>
      <c r="E12" t="s">
        <v>2479</v>
      </c>
      <c r="F12" t="s">
        <v>107</v>
      </c>
      <c r="G12" t="s">
        <v>2250</v>
      </c>
      <c r="H12" t="s">
        <v>2246</v>
      </c>
    </row>
    <row r="13" spans="1:8" x14ac:dyDescent="0.15">
      <c r="A13" t="s">
        <v>1316</v>
      </c>
      <c r="B13">
        <v>1006016564</v>
      </c>
      <c r="C13" t="s">
        <v>1324</v>
      </c>
      <c r="D13" t="s">
        <v>1323</v>
      </c>
      <c r="E13" t="s">
        <v>2398</v>
      </c>
      <c r="F13" t="s">
        <v>117</v>
      </c>
      <c r="G13" t="s">
        <v>2250</v>
      </c>
      <c r="H13" t="s">
        <v>2246</v>
      </c>
    </row>
    <row r="14" spans="1:8" x14ac:dyDescent="0.15">
      <c r="A14" t="s">
        <v>1316</v>
      </c>
      <c r="B14">
        <v>1006493201</v>
      </c>
      <c r="C14" t="s">
        <v>2221</v>
      </c>
      <c r="D14" t="s">
        <v>2220</v>
      </c>
      <c r="E14" t="s">
        <v>2480</v>
      </c>
      <c r="F14" t="s">
        <v>772</v>
      </c>
      <c r="G14" t="s">
        <v>2250</v>
      </c>
      <c r="H14" t="s">
        <v>2246</v>
      </c>
    </row>
    <row r="15" spans="1:8" x14ac:dyDescent="0.15">
      <c r="A15" t="s">
        <v>1316</v>
      </c>
      <c r="B15">
        <v>1010960473</v>
      </c>
      <c r="C15" t="s">
        <v>1328</v>
      </c>
      <c r="D15" t="s">
        <v>1327</v>
      </c>
      <c r="E15" t="s">
        <v>2399</v>
      </c>
      <c r="F15" t="s">
        <v>107</v>
      </c>
      <c r="G15" t="s">
        <v>2250</v>
      </c>
      <c r="H15" t="s">
        <v>2246</v>
      </c>
    </row>
    <row r="16" spans="1:8" x14ac:dyDescent="0.15">
      <c r="A16" t="s">
        <v>1316</v>
      </c>
      <c r="B16">
        <v>1105364869</v>
      </c>
      <c r="C16" t="s">
        <v>1506</v>
      </c>
      <c r="D16" t="s">
        <v>1505</v>
      </c>
      <c r="E16" t="s">
        <v>1508</v>
      </c>
      <c r="F16" t="s">
        <v>1507</v>
      </c>
      <c r="G16" t="s">
        <v>2250</v>
      </c>
      <c r="H16" t="s">
        <v>2246</v>
      </c>
    </row>
    <row r="17" spans="1:8" x14ac:dyDescent="0.15">
      <c r="A17" t="s">
        <v>1316</v>
      </c>
      <c r="B17">
        <v>1105365016</v>
      </c>
      <c r="C17" t="s">
        <v>1313</v>
      </c>
      <c r="D17" t="s">
        <v>1312</v>
      </c>
      <c r="E17" t="s">
        <v>2400</v>
      </c>
      <c r="F17" t="s">
        <v>117</v>
      </c>
      <c r="G17" t="s">
        <v>2250</v>
      </c>
      <c r="H17" t="s">
        <v>2246</v>
      </c>
    </row>
    <row r="18" spans="1:8" x14ac:dyDescent="0.15">
      <c r="A18" t="s">
        <v>1316</v>
      </c>
      <c r="B18">
        <v>1105928637</v>
      </c>
      <c r="C18" t="s">
        <v>1511</v>
      </c>
      <c r="D18" t="s">
        <v>1510</v>
      </c>
      <c r="E18" t="s">
        <v>2441</v>
      </c>
      <c r="F18" t="s">
        <v>79</v>
      </c>
      <c r="G18" t="s">
        <v>2250</v>
      </c>
      <c r="H18" t="s">
        <v>2246</v>
      </c>
    </row>
    <row r="19" spans="1:8" x14ac:dyDescent="0.15">
      <c r="A19" t="s">
        <v>1316</v>
      </c>
      <c r="B19">
        <v>1109185610</v>
      </c>
      <c r="C19" t="s">
        <v>1318</v>
      </c>
      <c r="D19" t="s">
        <v>1317</v>
      </c>
      <c r="E19" t="s">
        <v>1321</v>
      </c>
      <c r="F19" t="s">
        <v>107</v>
      </c>
      <c r="G19" t="s">
        <v>2250</v>
      </c>
      <c r="H19" t="s">
        <v>2246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1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2401</v>
      </c>
    </row>
    <row r="3" spans="1:8" x14ac:dyDescent="0.15">
      <c r="A3" s="11" t="s">
        <v>50</v>
      </c>
      <c r="B3" t="s">
        <v>2258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1071</v>
      </c>
      <c r="B7">
        <v>1002528206</v>
      </c>
      <c r="C7" t="s">
        <v>1083</v>
      </c>
      <c r="D7" t="s">
        <v>1082</v>
      </c>
      <c r="E7" t="s">
        <v>2402</v>
      </c>
      <c r="F7" t="s">
        <v>305</v>
      </c>
      <c r="G7" t="s">
        <v>2259</v>
      </c>
      <c r="H7" t="s">
        <v>2256</v>
      </c>
    </row>
    <row r="8" spans="1:8" x14ac:dyDescent="0.15">
      <c r="A8" t="s">
        <v>1071</v>
      </c>
      <c r="B8">
        <v>1004795078</v>
      </c>
      <c r="C8" t="s">
        <v>1931</v>
      </c>
      <c r="D8" t="s">
        <v>1930</v>
      </c>
      <c r="E8" t="s">
        <v>2481</v>
      </c>
      <c r="F8" t="s">
        <v>612</v>
      </c>
      <c r="G8" t="s">
        <v>2259</v>
      </c>
      <c r="H8" t="s">
        <v>2256</v>
      </c>
    </row>
    <row r="9" spans="1:8" x14ac:dyDescent="0.15">
      <c r="A9" t="s">
        <v>1071</v>
      </c>
      <c r="B9">
        <v>1005260233</v>
      </c>
      <c r="C9" t="s">
        <v>1073</v>
      </c>
      <c r="D9" t="s">
        <v>1072</v>
      </c>
      <c r="E9" t="s">
        <v>2403</v>
      </c>
      <c r="F9" t="s">
        <v>305</v>
      </c>
      <c r="G9" t="s">
        <v>2259</v>
      </c>
      <c r="H9" t="s">
        <v>2256</v>
      </c>
    </row>
    <row r="10" spans="1:8" x14ac:dyDescent="0.15">
      <c r="A10" t="s">
        <v>1071</v>
      </c>
      <c r="B10">
        <v>1005334499</v>
      </c>
      <c r="C10" t="s">
        <v>1936</v>
      </c>
      <c r="D10" t="s">
        <v>1935</v>
      </c>
      <c r="E10" t="s">
        <v>2482</v>
      </c>
      <c r="F10" t="s">
        <v>143</v>
      </c>
      <c r="G10" t="s">
        <v>2259</v>
      </c>
      <c r="H10" t="s">
        <v>2256</v>
      </c>
    </row>
    <row r="11" spans="1:8" x14ac:dyDescent="0.15">
      <c r="A11" t="s">
        <v>1071</v>
      </c>
      <c r="B11">
        <v>1085037242</v>
      </c>
      <c r="C11" t="s">
        <v>1090</v>
      </c>
      <c r="D11" t="s">
        <v>1089</v>
      </c>
      <c r="E11" t="s">
        <v>1091</v>
      </c>
      <c r="F11" t="s">
        <v>143</v>
      </c>
      <c r="G11" t="s">
        <v>2259</v>
      </c>
      <c r="H11" t="s">
        <v>2256</v>
      </c>
    </row>
    <row r="12" spans="1:8" x14ac:dyDescent="0.15">
      <c r="A12" t="s">
        <v>1071</v>
      </c>
      <c r="B12">
        <v>1096800652</v>
      </c>
      <c r="C12" t="s">
        <v>1076</v>
      </c>
      <c r="D12" t="s">
        <v>1075</v>
      </c>
      <c r="E12" t="s">
        <v>2404</v>
      </c>
      <c r="F12" t="s">
        <v>124</v>
      </c>
      <c r="G12" t="s">
        <v>2259</v>
      </c>
      <c r="H12" t="s">
        <v>2256</v>
      </c>
    </row>
    <row r="13" spans="1:8" x14ac:dyDescent="0.15">
      <c r="A13" t="s">
        <v>1071</v>
      </c>
      <c r="B13">
        <v>1097093780</v>
      </c>
      <c r="C13" t="s">
        <v>1463</v>
      </c>
      <c r="D13" t="s">
        <v>1462</v>
      </c>
      <c r="E13" t="s">
        <v>2405</v>
      </c>
      <c r="F13" t="s">
        <v>612</v>
      </c>
      <c r="G13" t="s">
        <v>2259</v>
      </c>
      <c r="H13" t="s">
        <v>2256</v>
      </c>
    </row>
    <row r="14" spans="1:8" x14ac:dyDescent="0.15">
      <c r="A14" t="s">
        <v>1071</v>
      </c>
      <c r="B14">
        <v>1097094457</v>
      </c>
      <c r="C14" t="s">
        <v>1068</v>
      </c>
      <c r="D14" t="s">
        <v>1067</v>
      </c>
      <c r="E14" t="s">
        <v>1069</v>
      </c>
      <c r="F14" t="s">
        <v>612</v>
      </c>
      <c r="G14" t="s">
        <v>2259</v>
      </c>
      <c r="H14" t="s">
        <v>2256</v>
      </c>
    </row>
    <row r="15" spans="1:8" x14ac:dyDescent="0.15">
      <c r="A15" t="s">
        <v>1071</v>
      </c>
      <c r="B15">
        <v>1098612128</v>
      </c>
      <c r="C15" t="s">
        <v>1086</v>
      </c>
      <c r="D15" t="s">
        <v>1085</v>
      </c>
      <c r="E15" t="s">
        <v>2406</v>
      </c>
      <c r="F15" t="s">
        <v>612</v>
      </c>
      <c r="G15" t="s">
        <v>2259</v>
      </c>
      <c r="H15" t="s">
        <v>2256</v>
      </c>
    </row>
    <row r="16" spans="1:8" x14ac:dyDescent="0.15">
      <c r="A16" t="s">
        <v>1071</v>
      </c>
      <c r="B16">
        <v>1130266716</v>
      </c>
      <c r="C16" t="s">
        <v>1080</v>
      </c>
      <c r="D16" t="s">
        <v>1079</v>
      </c>
      <c r="E16" t="s">
        <v>2407</v>
      </c>
      <c r="F16" t="s">
        <v>612</v>
      </c>
      <c r="G16" t="s">
        <v>2259</v>
      </c>
      <c r="H16" t="s">
        <v>2256</v>
      </c>
    </row>
    <row r="17" spans="1:8" x14ac:dyDescent="0.15">
      <c r="A17" t="s">
        <v>216</v>
      </c>
      <c r="B17">
        <v>1004898829</v>
      </c>
      <c r="C17" t="s">
        <v>1156</v>
      </c>
      <c r="D17" t="s">
        <v>1155</v>
      </c>
      <c r="E17" t="s">
        <v>2408</v>
      </c>
      <c r="F17" t="s">
        <v>143</v>
      </c>
      <c r="G17" t="s">
        <v>2259</v>
      </c>
      <c r="H17" t="s">
        <v>2256</v>
      </c>
    </row>
    <row r="18" spans="1:8" x14ac:dyDescent="0.15">
      <c r="A18" t="s">
        <v>216</v>
      </c>
      <c r="B18">
        <v>1005479785</v>
      </c>
      <c r="C18" t="s">
        <v>1481</v>
      </c>
      <c r="D18" t="s">
        <v>1480</v>
      </c>
      <c r="E18" t="s">
        <v>2409</v>
      </c>
      <c r="F18" t="s">
        <v>107</v>
      </c>
      <c r="G18" t="s">
        <v>2259</v>
      </c>
      <c r="H18" t="s">
        <v>2256</v>
      </c>
    </row>
    <row r="19" spans="1:8" x14ac:dyDescent="0.15">
      <c r="A19" t="s">
        <v>216</v>
      </c>
      <c r="B19">
        <v>1097094297</v>
      </c>
      <c r="C19" t="s">
        <v>1160</v>
      </c>
      <c r="D19" t="s">
        <v>1159</v>
      </c>
      <c r="E19" t="s">
        <v>2410</v>
      </c>
      <c r="F19" t="s">
        <v>143</v>
      </c>
      <c r="G19" t="s">
        <v>2259</v>
      </c>
      <c r="H19" t="s">
        <v>2256</v>
      </c>
    </row>
    <row r="20" spans="1:8" x14ac:dyDescent="0.15">
      <c r="A20" t="s">
        <v>216</v>
      </c>
      <c r="B20">
        <v>1101753789</v>
      </c>
      <c r="C20" t="s">
        <v>1163</v>
      </c>
      <c r="D20" t="s">
        <v>1162</v>
      </c>
      <c r="E20" t="s">
        <v>2411</v>
      </c>
      <c r="F20" t="s">
        <v>134</v>
      </c>
      <c r="G20" t="s">
        <v>2259</v>
      </c>
      <c r="H20" t="s">
        <v>2256</v>
      </c>
    </row>
    <row r="21" spans="1:8" x14ac:dyDescent="0.15">
      <c r="A21" t="s">
        <v>216</v>
      </c>
      <c r="B21">
        <v>1193553981</v>
      </c>
      <c r="C21" t="s">
        <v>2094</v>
      </c>
      <c r="D21" t="s">
        <v>2093</v>
      </c>
      <c r="E21" t="s">
        <v>2483</v>
      </c>
      <c r="F21" t="s">
        <v>107</v>
      </c>
      <c r="G21" t="s">
        <v>2259</v>
      </c>
      <c r="H21" t="s">
        <v>2256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9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2412</v>
      </c>
    </row>
    <row r="3" spans="1:8" x14ac:dyDescent="0.15">
      <c r="A3" s="11" t="s">
        <v>50</v>
      </c>
      <c r="B3" t="s">
        <v>2271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342</v>
      </c>
      <c r="B7">
        <v>1000159919</v>
      </c>
      <c r="C7" t="s">
        <v>355</v>
      </c>
      <c r="D7" t="s">
        <v>354</v>
      </c>
      <c r="E7" t="s">
        <v>2413</v>
      </c>
      <c r="F7" t="s">
        <v>356</v>
      </c>
      <c r="G7" t="s">
        <v>2267</v>
      </c>
      <c r="H7" t="s">
        <v>2268</v>
      </c>
    </row>
    <row r="8" spans="1:8" x14ac:dyDescent="0.15">
      <c r="A8" t="s">
        <v>342</v>
      </c>
      <c r="B8">
        <v>1000698418</v>
      </c>
      <c r="C8" t="s">
        <v>348</v>
      </c>
      <c r="D8" t="s">
        <v>347</v>
      </c>
      <c r="E8" t="s">
        <v>2414</v>
      </c>
      <c r="F8" t="s">
        <v>305</v>
      </c>
      <c r="G8" t="s">
        <v>2267</v>
      </c>
      <c r="H8" t="s">
        <v>2268</v>
      </c>
    </row>
    <row r="9" spans="1:8" x14ac:dyDescent="0.15">
      <c r="A9" t="s">
        <v>342</v>
      </c>
      <c r="B9">
        <v>1003908604</v>
      </c>
      <c r="C9" t="s">
        <v>364</v>
      </c>
      <c r="D9" t="s">
        <v>363</v>
      </c>
      <c r="E9" t="s">
        <v>367</v>
      </c>
      <c r="F9" t="s">
        <v>339</v>
      </c>
      <c r="G9" t="s">
        <v>2267</v>
      </c>
      <c r="H9" t="s">
        <v>2268</v>
      </c>
    </row>
    <row r="10" spans="1:8" x14ac:dyDescent="0.15">
      <c r="A10" t="s">
        <v>342</v>
      </c>
      <c r="B10">
        <v>1005849189</v>
      </c>
      <c r="C10" t="s">
        <v>360</v>
      </c>
      <c r="D10" t="s">
        <v>359</v>
      </c>
      <c r="E10" t="s">
        <v>2415</v>
      </c>
      <c r="F10" t="s">
        <v>305</v>
      </c>
      <c r="G10" t="s">
        <v>2267</v>
      </c>
      <c r="H10" t="s">
        <v>2268</v>
      </c>
    </row>
    <row r="11" spans="1:8" x14ac:dyDescent="0.15">
      <c r="A11" t="s">
        <v>342</v>
      </c>
      <c r="B11">
        <v>1031806915</v>
      </c>
      <c r="C11" t="s">
        <v>336</v>
      </c>
      <c r="D11" t="s">
        <v>335</v>
      </c>
      <c r="E11" t="s">
        <v>340</v>
      </c>
      <c r="F11" t="s">
        <v>339</v>
      </c>
      <c r="G11" t="s">
        <v>2267</v>
      </c>
      <c r="H11" t="s">
        <v>2268</v>
      </c>
    </row>
    <row r="12" spans="1:8" x14ac:dyDescent="0.15">
      <c r="A12" t="s">
        <v>342</v>
      </c>
      <c r="B12">
        <v>1034276263</v>
      </c>
      <c r="C12" t="s">
        <v>344</v>
      </c>
      <c r="D12" t="s">
        <v>343</v>
      </c>
      <c r="E12" t="s">
        <v>2416</v>
      </c>
      <c r="F12" t="s">
        <v>305</v>
      </c>
      <c r="G12" t="s">
        <v>2267</v>
      </c>
      <c r="H12" t="s">
        <v>2268</v>
      </c>
    </row>
    <row r="13" spans="1:8" x14ac:dyDescent="0.15">
      <c r="A13" t="s">
        <v>342</v>
      </c>
      <c r="B13">
        <v>1054543116</v>
      </c>
      <c r="C13" t="s">
        <v>370</v>
      </c>
      <c r="D13" t="s">
        <v>369</v>
      </c>
      <c r="E13" t="s">
        <v>2417</v>
      </c>
      <c r="F13" t="s">
        <v>373</v>
      </c>
      <c r="G13" t="s">
        <v>2267</v>
      </c>
      <c r="H13" t="s">
        <v>2268</v>
      </c>
    </row>
    <row r="14" spans="1:8" x14ac:dyDescent="0.15">
      <c r="A14" t="s">
        <v>342</v>
      </c>
      <c r="B14">
        <v>1097783237</v>
      </c>
      <c r="C14" t="s">
        <v>1603</v>
      </c>
      <c r="D14" t="s">
        <v>1602</v>
      </c>
      <c r="E14" t="s">
        <v>2484</v>
      </c>
      <c r="F14" t="s">
        <v>305</v>
      </c>
      <c r="G14" t="s">
        <v>2267</v>
      </c>
      <c r="H14" t="s">
        <v>2268</v>
      </c>
    </row>
    <row r="15" spans="1:8" x14ac:dyDescent="0.15">
      <c r="A15" t="s">
        <v>342</v>
      </c>
      <c r="B15">
        <v>1116612016</v>
      </c>
      <c r="C15" t="s">
        <v>351</v>
      </c>
      <c r="D15" t="s">
        <v>350</v>
      </c>
      <c r="E15" t="s">
        <v>2418</v>
      </c>
      <c r="F15" t="s">
        <v>305</v>
      </c>
      <c r="G15" t="s">
        <v>2267</v>
      </c>
      <c r="H15" t="s">
        <v>2268</v>
      </c>
    </row>
    <row r="16" spans="1:8" x14ac:dyDescent="0.15">
      <c r="A16" t="s">
        <v>128</v>
      </c>
      <c r="B16">
        <v>1003565150</v>
      </c>
      <c r="C16" t="s">
        <v>1379</v>
      </c>
      <c r="D16" t="s">
        <v>1378</v>
      </c>
      <c r="E16" t="s">
        <v>2419</v>
      </c>
      <c r="F16" t="s">
        <v>356</v>
      </c>
      <c r="G16" t="s">
        <v>2267</v>
      </c>
      <c r="H16" t="s">
        <v>2268</v>
      </c>
    </row>
    <row r="17" spans="1:8" x14ac:dyDescent="0.15">
      <c r="A17" t="s">
        <v>128</v>
      </c>
      <c r="B17">
        <v>1011081594</v>
      </c>
      <c r="C17" t="s">
        <v>1781</v>
      </c>
      <c r="D17" t="s">
        <v>1780</v>
      </c>
      <c r="E17" t="s">
        <v>2485</v>
      </c>
      <c r="F17" t="s">
        <v>305</v>
      </c>
      <c r="G17" t="s">
        <v>2267</v>
      </c>
      <c r="H17" t="s">
        <v>2268</v>
      </c>
    </row>
    <row r="18" spans="1:8" x14ac:dyDescent="0.15">
      <c r="A18" t="s">
        <v>128</v>
      </c>
      <c r="B18">
        <v>1050604600</v>
      </c>
      <c r="C18" t="s">
        <v>1340</v>
      </c>
      <c r="D18" t="s">
        <v>1339</v>
      </c>
      <c r="E18" t="s">
        <v>2420</v>
      </c>
      <c r="F18" t="s">
        <v>134</v>
      </c>
      <c r="G18" t="s">
        <v>2267</v>
      </c>
      <c r="H18" t="s">
        <v>2268</v>
      </c>
    </row>
    <row r="19" spans="1:8" x14ac:dyDescent="0.15">
      <c r="A19" t="s">
        <v>128</v>
      </c>
      <c r="B19">
        <v>1053325985</v>
      </c>
      <c r="C19" t="s">
        <v>559</v>
      </c>
      <c r="D19" t="s">
        <v>558</v>
      </c>
      <c r="E19" t="s">
        <v>2421</v>
      </c>
      <c r="F19" t="s">
        <v>305</v>
      </c>
      <c r="G19" t="s">
        <v>2267</v>
      </c>
      <c r="H19" t="s">
        <v>2268</v>
      </c>
    </row>
    <row r="20" spans="1:8" x14ac:dyDescent="0.15">
      <c r="A20" t="s">
        <v>128</v>
      </c>
      <c r="B20">
        <v>1076240691</v>
      </c>
      <c r="C20" t="s">
        <v>563</v>
      </c>
      <c r="D20" t="s">
        <v>562</v>
      </c>
      <c r="E20" t="s">
        <v>2422</v>
      </c>
      <c r="F20" t="s">
        <v>143</v>
      </c>
      <c r="G20" t="s">
        <v>2267</v>
      </c>
      <c r="H20" t="s">
        <v>2268</v>
      </c>
    </row>
    <row r="21" spans="1:8" x14ac:dyDescent="0.15">
      <c r="A21" t="s">
        <v>128</v>
      </c>
      <c r="B21">
        <v>1076648963</v>
      </c>
      <c r="C21" t="s">
        <v>567</v>
      </c>
      <c r="D21" t="s">
        <v>566</v>
      </c>
      <c r="E21" t="s">
        <v>2423</v>
      </c>
      <c r="F21" t="s">
        <v>124</v>
      </c>
      <c r="G21" t="s">
        <v>2267</v>
      </c>
      <c r="H21" t="s">
        <v>2268</v>
      </c>
    </row>
    <row r="22" spans="1:8" x14ac:dyDescent="0.15">
      <c r="A22" t="s">
        <v>128</v>
      </c>
      <c r="B22">
        <v>1120561289</v>
      </c>
      <c r="C22" t="s">
        <v>572</v>
      </c>
      <c r="D22" t="s">
        <v>571</v>
      </c>
      <c r="E22" t="s">
        <v>2424</v>
      </c>
      <c r="F22" t="s">
        <v>574</v>
      </c>
      <c r="G22" t="s">
        <v>2267</v>
      </c>
      <c r="H22" t="s">
        <v>2268</v>
      </c>
    </row>
    <row r="23" spans="1:8" x14ac:dyDescent="0.15">
      <c r="A23" t="s">
        <v>748</v>
      </c>
      <c r="B23">
        <v>1000327103</v>
      </c>
      <c r="C23" t="s">
        <v>759</v>
      </c>
      <c r="D23" t="s">
        <v>758</v>
      </c>
      <c r="E23" t="s">
        <v>2425</v>
      </c>
      <c r="F23" t="s">
        <v>124</v>
      </c>
      <c r="G23" t="s">
        <v>2267</v>
      </c>
      <c r="H23" t="s">
        <v>2268</v>
      </c>
    </row>
    <row r="24" spans="1:8" x14ac:dyDescent="0.15">
      <c r="A24" t="s">
        <v>748</v>
      </c>
      <c r="B24">
        <v>1003190023</v>
      </c>
      <c r="C24" t="s">
        <v>1858</v>
      </c>
      <c r="D24" t="s">
        <v>1857</v>
      </c>
      <c r="E24" t="s">
        <v>2486</v>
      </c>
      <c r="F24" t="s">
        <v>612</v>
      </c>
      <c r="G24" t="s">
        <v>2267</v>
      </c>
      <c r="H24" t="s">
        <v>2268</v>
      </c>
    </row>
    <row r="25" spans="1:8" x14ac:dyDescent="0.15">
      <c r="A25" t="s">
        <v>748</v>
      </c>
      <c r="B25">
        <v>1007106198</v>
      </c>
      <c r="C25" t="s">
        <v>745</v>
      </c>
      <c r="D25" t="s">
        <v>744</v>
      </c>
      <c r="E25" t="s">
        <v>2426</v>
      </c>
      <c r="F25" t="s">
        <v>305</v>
      </c>
      <c r="G25" t="s">
        <v>2267</v>
      </c>
      <c r="H25" t="s">
        <v>2268</v>
      </c>
    </row>
    <row r="26" spans="1:8" x14ac:dyDescent="0.15">
      <c r="A26" t="s">
        <v>748</v>
      </c>
      <c r="B26">
        <v>1010164509</v>
      </c>
      <c r="C26" t="s">
        <v>1415</v>
      </c>
      <c r="D26" t="s">
        <v>1414</v>
      </c>
      <c r="E26" t="s">
        <v>2427</v>
      </c>
      <c r="F26" t="s">
        <v>305</v>
      </c>
      <c r="G26" t="s">
        <v>2267</v>
      </c>
      <c r="H26" t="s">
        <v>2268</v>
      </c>
    </row>
    <row r="27" spans="1:8" x14ac:dyDescent="0.15">
      <c r="A27" t="s">
        <v>748</v>
      </c>
      <c r="B27">
        <v>1011081455</v>
      </c>
      <c r="C27" t="s">
        <v>1850</v>
      </c>
      <c r="D27" t="s">
        <v>1849</v>
      </c>
      <c r="E27" t="s">
        <v>2487</v>
      </c>
      <c r="F27" t="s">
        <v>705</v>
      </c>
      <c r="G27" t="s">
        <v>2267</v>
      </c>
      <c r="H27" t="s">
        <v>2268</v>
      </c>
    </row>
    <row r="28" spans="1:8" x14ac:dyDescent="0.15">
      <c r="A28" t="s">
        <v>748</v>
      </c>
      <c r="B28">
        <v>1013099587</v>
      </c>
      <c r="C28" t="s">
        <v>1854</v>
      </c>
      <c r="D28" t="s">
        <v>1853</v>
      </c>
      <c r="E28" t="s">
        <v>2488</v>
      </c>
      <c r="F28" t="s">
        <v>612</v>
      </c>
      <c r="G28" t="s">
        <v>2267</v>
      </c>
      <c r="H28" t="s">
        <v>2268</v>
      </c>
    </row>
    <row r="29" spans="1:8" x14ac:dyDescent="0.15">
      <c r="A29" t="s">
        <v>748</v>
      </c>
      <c r="B29">
        <v>1013108958</v>
      </c>
      <c r="C29" t="s">
        <v>750</v>
      </c>
      <c r="D29" t="s">
        <v>749</v>
      </c>
      <c r="E29" t="s">
        <v>2428</v>
      </c>
      <c r="F29" t="s">
        <v>612</v>
      </c>
      <c r="G29" t="s">
        <v>2267</v>
      </c>
      <c r="H29" t="s">
        <v>2268</v>
      </c>
    </row>
    <row r="30" spans="1:8" x14ac:dyDescent="0.15">
      <c r="A30" t="s">
        <v>748</v>
      </c>
      <c r="B30">
        <v>1023162766</v>
      </c>
      <c r="C30" t="s">
        <v>753</v>
      </c>
      <c r="D30" t="s">
        <v>752</v>
      </c>
      <c r="E30" t="s">
        <v>2429</v>
      </c>
      <c r="F30" t="s">
        <v>755</v>
      </c>
      <c r="G30" t="s">
        <v>2267</v>
      </c>
      <c r="H30" t="s">
        <v>2268</v>
      </c>
    </row>
    <row r="31" spans="1:8" x14ac:dyDescent="0.15">
      <c r="A31" t="s">
        <v>748</v>
      </c>
      <c r="B31">
        <v>1034658511</v>
      </c>
      <c r="C31" t="s">
        <v>763</v>
      </c>
      <c r="D31" t="s">
        <v>762</v>
      </c>
      <c r="E31" t="s">
        <v>2430</v>
      </c>
      <c r="F31" t="s">
        <v>124</v>
      </c>
      <c r="G31" t="s">
        <v>2267</v>
      </c>
      <c r="H31" t="s">
        <v>2268</v>
      </c>
    </row>
    <row r="32" spans="1:8" x14ac:dyDescent="0.15">
      <c r="A32" t="s">
        <v>748</v>
      </c>
      <c r="B32">
        <v>1076242124</v>
      </c>
      <c r="C32" t="s">
        <v>1419</v>
      </c>
      <c r="D32" t="s">
        <v>1418</v>
      </c>
      <c r="E32" t="s">
        <v>2431</v>
      </c>
      <c r="F32" t="s">
        <v>612</v>
      </c>
      <c r="G32" t="s">
        <v>2267</v>
      </c>
      <c r="H32" t="s">
        <v>2268</v>
      </c>
    </row>
    <row r="33" spans="1:8" x14ac:dyDescent="0.15">
      <c r="A33" t="s">
        <v>1202</v>
      </c>
      <c r="B33">
        <v>1013258565</v>
      </c>
      <c r="C33" t="s">
        <v>1217</v>
      </c>
      <c r="D33" t="s">
        <v>1216</v>
      </c>
      <c r="E33" t="s">
        <v>1220</v>
      </c>
      <c r="F33" t="s">
        <v>1219</v>
      </c>
      <c r="G33" t="s">
        <v>2267</v>
      </c>
      <c r="H33" t="s">
        <v>2268</v>
      </c>
    </row>
    <row r="34" spans="1:8" x14ac:dyDescent="0.15">
      <c r="A34" t="s">
        <v>1202</v>
      </c>
      <c r="B34">
        <v>1018514708</v>
      </c>
      <c r="C34" t="s">
        <v>1204</v>
      </c>
      <c r="D34" t="s">
        <v>1203</v>
      </c>
      <c r="E34" t="s">
        <v>2432</v>
      </c>
      <c r="F34" t="s">
        <v>107</v>
      </c>
      <c r="G34" t="s">
        <v>2267</v>
      </c>
      <c r="H34" t="s">
        <v>2268</v>
      </c>
    </row>
    <row r="35" spans="1:8" x14ac:dyDescent="0.15">
      <c r="A35" t="s">
        <v>1202</v>
      </c>
      <c r="B35">
        <v>1019038060</v>
      </c>
      <c r="C35" t="s">
        <v>1213</v>
      </c>
      <c r="D35" t="s">
        <v>1212</v>
      </c>
      <c r="E35" t="s">
        <v>2433</v>
      </c>
      <c r="F35" t="s">
        <v>117</v>
      </c>
      <c r="G35" t="s">
        <v>2267</v>
      </c>
      <c r="H35" t="s">
        <v>2268</v>
      </c>
    </row>
    <row r="36" spans="1:8" x14ac:dyDescent="0.15">
      <c r="A36" t="s">
        <v>1202</v>
      </c>
      <c r="B36">
        <v>1033098791</v>
      </c>
      <c r="C36" t="s">
        <v>2143</v>
      </c>
      <c r="D36" t="s">
        <v>2142</v>
      </c>
      <c r="E36" t="s">
        <v>2144</v>
      </c>
      <c r="F36" t="s">
        <v>143</v>
      </c>
      <c r="G36" t="s">
        <v>2267</v>
      </c>
      <c r="H36" t="s">
        <v>2268</v>
      </c>
    </row>
    <row r="37" spans="1:8" x14ac:dyDescent="0.15">
      <c r="A37" t="s">
        <v>1202</v>
      </c>
      <c r="B37">
        <v>1034280833</v>
      </c>
      <c r="C37" t="s">
        <v>1208</v>
      </c>
      <c r="D37" t="s">
        <v>1207</v>
      </c>
      <c r="E37" t="s">
        <v>2434</v>
      </c>
      <c r="F37" t="s">
        <v>1043</v>
      </c>
      <c r="G37" t="s">
        <v>2267</v>
      </c>
      <c r="H37" t="s">
        <v>2268</v>
      </c>
    </row>
    <row r="38" spans="1:8" x14ac:dyDescent="0.15">
      <c r="A38" t="s">
        <v>1202</v>
      </c>
      <c r="B38">
        <v>1076241749</v>
      </c>
      <c r="C38" t="s">
        <v>1198</v>
      </c>
      <c r="D38" t="s">
        <v>1197</v>
      </c>
      <c r="E38" t="s">
        <v>2435</v>
      </c>
      <c r="F38" t="s">
        <v>143</v>
      </c>
      <c r="G38" t="s">
        <v>2267</v>
      </c>
      <c r="H38" t="s">
        <v>2268</v>
      </c>
    </row>
    <row r="39" spans="1:8" x14ac:dyDescent="0.15">
      <c r="A39" t="s">
        <v>1202</v>
      </c>
      <c r="B39">
        <v>1091965068</v>
      </c>
      <c r="C39" t="s">
        <v>1491</v>
      </c>
      <c r="D39" t="s">
        <v>1490</v>
      </c>
      <c r="E39" t="s">
        <v>2436</v>
      </c>
      <c r="F39" t="s">
        <v>143</v>
      </c>
      <c r="G39" t="s">
        <v>2267</v>
      </c>
      <c r="H39" t="s">
        <v>2268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3" x14ac:dyDescent="0.15"/>
  <cols>
    <col min="1" max="1" width="44" customWidth="1"/>
    <col min="2" max="2" width="14" customWidth="1"/>
    <col min="3" max="3" width="36" customWidth="1"/>
    <col min="4" max="4" width="34" customWidth="1"/>
    <col min="5" max="5" width="16" customWidth="1"/>
    <col min="6" max="6" width="34" customWidth="1"/>
    <col min="7" max="7" width="22" customWidth="1"/>
    <col min="8" max="8" width="19" bestFit="1" customWidth="1"/>
  </cols>
  <sheetData>
    <row r="1" spans="1:8" ht="17" x14ac:dyDescent="0.2">
      <c r="A1" s="10" t="s">
        <v>2437</v>
      </c>
    </row>
    <row r="3" spans="1:8" x14ac:dyDescent="0.15">
      <c r="A3" s="11" t="s">
        <v>50</v>
      </c>
      <c r="B3" t="s">
        <v>2266</v>
      </c>
    </row>
    <row r="4" spans="1:8" x14ac:dyDescent="0.15">
      <c r="A4" s="11" t="s">
        <v>46</v>
      </c>
      <c r="B4" t="s">
        <v>221</v>
      </c>
    </row>
    <row r="6" spans="1:8" x14ac:dyDescent="0.15">
      <c r="A6" s="11" t="s">
        <v>2225</v>
      </c>
      <c r="B6" s="11" t="s">
        <v>2284</v>
      </c>
      <c r="C6" s="11" t="s">
        <v>1</v>
      </c>
      <c r="D6" s="11" t="s">
        <v>2285</v>
      </c>
      <c r="E6" s="11" t="s">
        <v>49</v>
      </c>
      <c r="F6" s="11" t="s">
        <v>48</v>
      </c>
      <c r="G6" s="11" t="s">
        <v>51</v>
      </c>
      <c r="H6" s="11" t="s">
        <v>52</v>
      </c>
    </row>
    <row r="7" spans="1:8" x14ac:dyDescent="0.15">
      <c r="A7" t="s">
        <v>1098</v>
      </c>
      <c r="B7">
        <v>1000953816</v>
      </c>
      <c r="C7" t="s">
        <v>1939</v>
      </c>
      <c r="D7" t="s">
        <v>1938</v>
      </c>
      <c r="E7" t="s">
        <v>2489</v>
      </c>
      <c r="F7" t="s">
        <v>1941</v>
      </c>
      <c r="G7" t="s">
        <v>2267</v>
      </c>
      <c r="H7" t="s">
        <v>2268</v>
      </c>
    </row>
    <row r="8" spans="1:8" x14ac:dyDescent="0.15">
      <c r="A8" t="s">
        <v>1098</v>
      </c>
      <c r="B8">
        <v>1003912861</v>
      </c>
      <c r="C8" t="s">
        <v>1949</v>
      </c>
      <c r="D8" t="s">
        <v>1948</v>
      </c>
      <c r="E8" t="s">
        <v>2490</v>
      </c>
      <c r="F8" t="s">
        <v>709</v>
      </c>
      <c r="G8" t="s">
        <v>2267</v>
      </c>
      <c r="H8" t="s">
        <v>2268</v>
      </c>
    </row>
    <row r="9" spans="1:8" x14ac:dyDescent="0.15">
      <c r="A9" t="s">
        <v>1098</v>
      </c>
      <c r="B9">
        <v>1013260438</v>
      </c>
      <c r="C9" t="s">
        <v>1100</v>
      </c>
      <c r="D9" t="s">
        <v>1099</v>
      </c>
      <c r="E9" t="s">
        <v>2438</v>
      </c>
      <c r="F9" t="s">
        <v>143</v>
      </c>
      <c r="G9" t="s">
        <v>2267</v>
      </c>
      <c r="H9" t="s">
        <v>2268</v>
      </c>
    </row>
    <row r="10" spans="1:8" x14ac:dyDescent="0.15">
      <c r="A10" t="s">
        <v>1098</v>
      </c>
      <c r="B10">
        <v>1014738447</v>
      </c>
      <c r="C10" t="s">
        <v>1094</v>
      </c>
      <c r="D10" t="s">
        <v>1093</v>
      </c>
      <c r="E10" t="s">
        <v>2439</v>
      </c>
      <c r="F10" t="s">
        <v>755</v>
      </c>
      <c r="G10" t="s">
        <v>2267</v>
      </c>
      <c r="H10" t="s">
        <v>2268</v>
      </c>
    </row>
    <row r="11" spans="1:8" x14ac:dyDescent="0.15">
      <c r="A11" t="s">
        <v>1098</v>
      </c>
      <c r="B11">
        <v>1016947267</v>
      </c>
      <c r="C11" t="s">
        <v>1466</v>
      </c>
      <c r="D11" t="s">
        <v>1465</v>
      </c>
      <c r="E11" t="s">
        <v>2440</v>
      </c>
      <c r="F11" t="s">
        <v>143</v>
      </c>
      <c r="G11" t="s">
        <v>2267</v>
      </c>
      <c r="H11" t="s">
        <v>2268</v>
      </c>
    </row>
    <row r="12" spans="1:8" x14ac:dyDescent="0.15">
      <c r="A12" t="s">
        <v>1098</v>
      </c>
      <c r="B12">
        <v>1054372023</v>
      </c>
      <c r="C12" t="s">
        <v>1953</v>
      </c>
      <c r="D12" t="s">
        <v>1952</v>
      </c>
      <c r="E12" t="s">
        <v>2491</v>
      </c>
      <c r="F12" t="s">
        <v>709</v>
      </c>
      <c r="G12" t="s">
        <v>2267</v>
      </c>
      <c r="H12" t="s">
        <v>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Maestra</vt:lpstr>
      <vt:lpstr>Vacantes</vt:lpstr>
      <vt:lpstr>127 - R.CENTRO</vt:lpstr>
      <vt:lpstr>INDUGRAL</vt:lpstr>
      <vt:lpstr>C.CALI</vt:lpstr>
      <vt:lpstr>C.MEDELLÍN</vt:lpstr>
      <vt:lpstr>R.ANDES</vt:lpstr>
      <vt:lpstr>C.ATLÁNTICO</vt:lpstr>
      <vt:lpstr>C.BARRANQUILLA</vt:lpstr>
      <vt:lpstr>R.NORTE</vt:lpstr>
      <vt:lpstr>C.BOYACÁ</vt:lpstr>
      <vt:lpstr>R.SUR</vt:lpstr>
      <vt:lpstr>C.BUCARAMANGA</vt:lpstr>
      <vt:lpstr>C.TOCANCIPÁ</vt:lpstr>
      <vt:lpstr>C.TIBITÓ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Catalina Matiz Rodriguez</cp:lastModifiedBy>
  <dcterms:created xsi:type="dcterms:W3CDTF">2026-10-08T18:20:04Z</dcterms:created>
  <dcterms:modified xsi:type="dcterms:W3CDTF">2026-10-16T16:28:21Z</dcterms:modified>
</cp:coreProperties>
</file>